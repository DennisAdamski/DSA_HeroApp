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DieseArbeitsmappe" defaultThemeVersion="166925"/>
  <mc:AlternateContent xmlns:mc="http://schemas.openxmlformats.org/markup-compatibility/2006">
    <mc:Choice Requires="x15">
      <x15ac:absPath xmlns:x15ac="http://schemas.microsoft.com/office/spreadsheetml/2010/11/ac" url="https://d.docs.live.net/6123B6D7ADAF152B/Rollenspiel/DSA/"/>
    </mc:Choice>
  </mc:AlternateContent>
  <xr:revisionPtr revIDLastSave="2235" documentId="8_{AE7CEA6A-27EE-40DF-B5BF-136B9F17E4A6}" xr6:coauthVersionLast="47" xr6:coauthVersionMax="47" xr10:uidLastSave="{2A5E6DE4-F75F-4908-B02E-51ADDB766438}"/>
  <bookViews>
    <workbookView xWindow="-120" yWindow="-120" windowWidth="29040" windowHeight="15720" activeTab="2" xr2:uid="{32D01D03-31A3-4F73-AA80-15316F573ACF}"/>
  </bookViews>
  <sheets>
    <sheet name="Eigenschaften" sheetId="1" r:id="rId1"/>
    <sheet name="Talente" sheetId="8" state="hidden" r:id="rId2"/>
    <sheet name="Fertigkeiten &amp; Talente" sheetId="2" r:id="rId3"/>
    <sheet name="Magie" sheetId="14" state="hidden" r:id="rId4"/>
    <sheet name="Zauberliste" sheetId="12" r:id="rId5"/>
    <sheet name="Rituale" sheetId="15" r:id="rId6"/>
    <sheet name="Verbindungen" sheetId="13" r:id="rId7"/>
    <sheet name="Inventar" sheetId="10" r:id="rId8"/>
    <sheet name="Waffen" sheetId="6" r:id="rId9"/>
    <sheet name="Kampftechniken" sheetId="5" r:id="rId10"/>
    <sheet name="Nahkampf" sheetId="3" r:id="rId11"/>
    <sheet name="Fernkampf" sheetId="9" r:id="rId12"/>
    <sheet name="Notizen" sheetId="11" r:id="rId13"/>
    <sheet name="Rechner" sheetId="4" r:id="rId14"/>
  </sheets>
  <definedNames>
    <definedName name="_xlnm._FilterDatabase" localSheetId="2" hidden="1">'Fertigkeiten &amp; Talente'!$A$3:$AC$3</definedName>
    <definedName name="_xlnm._FilterDatabase" localSheetId="4" hidden="1">Zauberliste!$A$32:$BB$320</definedName>
    <definedName name="Anderthalbhänder">Waffen!$B$4:$B$8</definedName>
    <definedName name="Dolche">Waffen!$B$9:$B$27</definedName>
    <definedName name="Fechtwaffen">Waffen!$B$28:$B$36</definedName>
    <definedName name="Fernkampftalente">Kampftechniken!$B$24:$B$33</definedName>
    <definedName name="Hände">Waffen!$B$156</definedName>
    <definedName name="Hiebwaffen">Waffen!$B$37:$B$61</definedName>
    <definedName name="Infanteriewaffen">Waffen!$B$62:$B$73</definedName>
    <definedName name="Kettenstäbe">Waffen!$B$74:$B$75</definedName>
    <definedName name="Kettenwaffen">Waffen!$B$76:$B$81</definedName>
    <definedName name="Lanzenreiten">Waffen!$B$82:$B$84</definedName>
    <definedName name="Lernkomplexität">Rechner!$A$17:$B$25</definedName>
    <definedName name="ManoeverTabelle">Nahkampfwaffen[[Ausfall]:[Wuchtschlag]]</definedName>
    <definedName name="Nahkampftalente">Kampftechniken!$B$4:$B$20</definedName>
    <definedName name="NahkampfWaffenTabelle">Nahkampfwaffen[Waffe]</definedName>
    <definedName name="Peitsche">Waffen!$B$85</definedName>
    <definedName name="Raufen">Waffen!$B$156</definedName>
    <definedName name="Ringen">Waffen!$B$157</definedName>
    <definedName name="Säbel">Waffen!$B$86:$B$98</definedName>
    <definedName name="Schwerter">Waffen!$B$99:$B$112</definedName>
    <definedName name="Speere">Waffen!$B$113:$B$127</definedName>
    <definedName name="Stäbe">Waffen!$B$128:$B$130</definedName>
    <definedName name="Zweihand_Hiebwaffen">Waffen!$B$133:$B$146</definedName>
    <definedName name="Zweihandflegel">Waffen!$B$131:$B$132</definedName>
    <definedName name="Zweihandschwerter_Säbel">Waffen!$B$147:$B$155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1" i="1" l="1"/>
  <c r="M134" i="2" l="1"/>
  <c r="S57" i="12" a="1"/>
  <c r="S57" i="12" s="1"/>
  <c r="L57" i="12" s="1"/>
  <c r="S56" i="12" a="1"/>
  <c r="S56" i="12" s="1"/>
  <c r="S55" i="12" a="1"/>
  <c r="S55" i="12" s="1"/>
  <c r="L55" i="12" s="1"/>
  <c r="S52" i="12" a="1"/>
  <c r="S52" i="12" s="1"/>
  <c r="L52" i="12" s="1"/>
  <c r="S53" i="12" a="1"/>
  <c r="S53" i="12" s="1"/>
  <c r="S36" i="12" a="1"/>
  <c r="S36" i="12" s="1"/>
  <c r="L36" i="12" s="1"/>
  <c r="S51" i="12" a="1"/>
  <c r="S51" i="12" s="1"/>
  <c r="L51" i="12" s="1"/>
  <c r="S50" i="12" a="1"/>
  <c r="S50" i="12" s="1"/>
  <c r="L50" i="12" s="1"/>
  <c r="S49" i="12" a="1"/>
  <c r="S48" i="12" a="1"/>
  <c r="S48" i="12" s="1"/>
  <c r="L48" i="12" s="1"/>
  <c r="S47" i="12" a="1"/>
  <c r="S47" i="12" s="1"/>
  <c r="S46" i="12" a="1"/>
  <c r="S45" i="12" a="1"/>
  <c r="S45" i="12" s="1"/>
  <c r="S44" i="12" a="1"/>
  <c r="S44" i="12" s="1"/>
  <c r="S43" i="12" a="1"/>
  <c r="S43" i="12" s="1"/>
  <c r="L43" i="12" s="1"/>
  <c r="S42" i="12" a="1"/>
  <c r="S42" i="12" s="1"/>
  <c r="S41" i="12" a="1"/>
  <c r="S41" i="12" s="1"/>
  <c r="S40" i="12" a="1"/>
  <c r="N40" i="12" s="1"/>
  <c r="S39" i="12" a="1"/>
  <c r="S39" i="12" s="1"/>
  <c r="L39" i="12" s="1"/>
  <c r="S38" i="12" a="1"/>
  <c r="S37" i="12" a="1"/>
  <c r="S37" i="12" s="1"/>
  <c r="L37" i="12" s="1"/>
  <c r="S235" i="12" a="1"/>
  <c r="S35" i="12" a="1"/>
  <c r="S35" i="12" s="1"/>
  <c r="L35" i="12" s="1"/>
  <c r="S34" i="12" a="1"/>
  <c r="S34" i="12" s="1"/>
  <c r="S33" i="12" a="1"/>
  <c r="S33" i="12" s="1"/>
  <c r="L33" i="12" s="1"/>
  <c r="V33" i="12"/>
  <c r="V34" i="12"/>
  <c r="V35" i="12"/>
  <c r="V235" i="12"/>
  <c r="V37" i="12"/>
  <c r="V38" i="12"/>
  <c r="V39" i="12"/>
  <c r="V40" i="12"/>
  <c r="V41" i="12"/>
  <c r="V42" i="12"/>
  <c r="V43" i="12"/>
  <c r="V44" i="12"/>
  <c r="V45" i="12"/>
  <c r="V46" i="12"/>
  <c r="V47" i="12"/>
  <c r="V48" i="12"/>
  <c r="V49" i="12"/>
  <c r="V50" i="12"/>
  <c r="V51" i="12"/>
  <c r="V36" i="12"/>
  <c r="V53" i="12"/>
  <c r="V52" i="12"/>
  <c r="V55" i="12"/>
  <c r="V56" i="12"/>
  <c r="V57" i="12"/>
  <c r="J140" i="12"/>
  <c r="V31" i="12"/>
  <c r="W31" i="12"/>
  <c r="X31" i="12"/>
  <c r="Y31" i="12"/>
  <c r="Z31" i="12"/>
  <c r="AA31" i="12"/>
  <c r="AB31" i="12"/>
  <c r="AC31" i="12"/>
  <c r="AD31" i="12"/>
  <c r="AE31" i="12"/>
  <c r="AF31" i="12"/>
  <c r="AG31" i="12"/>
  <c r="AH31" i="12"/>
  <c r="AI31" i="12"/>
  <c r="AJ31" i="12"/>
  <c r="AK31" i="12"/>
  <c r="AL31" i="12"/>
  <c r="AM31" i="12"/>
  <c r="AN31" i="12"/>
  <c r="AO31" i="12"/>
  <c r="AP31" i="12"/>
  <c r="AQ31" i="12"/>
  <c r="AR31" i="12"/>
  <c r="AS31" i="12"/>
  <c r="AT31" i="12"/>
  <c r="AU31" i="12"/>
  <c r="AV31" i="12"/>
  <c r="V140" i="12"/>
  <c r="W140" i="12"/>
  <c r="X140" i="12"/>
  <c r="Y140" i="12"/>
  <c r="Z140" i="12"/>
  <c r="AA140" i="12"/>
  <c r="AB140" i="12"/>
  <c r="AC140" i="12"/>
  <c r="AD140" i="12"/>
  <c r="AE140" i="12"/>
  <c r="AF140" i="12"/>
  <c r="AG140" i="12"/>
  <c r="AH140" i="12"/>
  <c r="AI140" i="12"/>
  <c r="AJ140" i="12"/>
  <c r="AK140" i="12"/>
  <c r="AL140" i="12"/>
  <c r="AM140" i="12"/>
  <c r="AN140" i="12"/>
  <c r="AO140" i="12"/>
  <c r="AP140" i="12"/>
  <c r="AQ140" i="12"/>
  <c r="AR140" i="12"/>
  <c r="AS140" i="12"/>
  <c r="AT140" i="12"/>
  <c r="AU140" i="12"/>
  <c r="AV140" i="12"/>
  <c r="J141" i="12"/>
  <c r="X141" i="12"/>
  <c r="AF141" i="12"/>
  <c r="J142" i="12"/>
  <c r="X142" i="12"/>
  <c r="AF142" i="12"/>
  <c r="J143" i="12"/>
  <c r="X143" i="12"/>
  <c r="AF143" i="12"/>
  <c r="J144" i="12"/>
  <c r="X144" i="12"/>
  <c r="AF144" i="12"/>
  <c r="J145" i="12"/>
  <c r="X145" i="12"/>
  <c r="AF145" i="12"/>
  <c r="J146" i="12"/>
  <c r="X146" i="12"/>
  <c r="AF146" i="12"/>
  <c r="J147" i="12"/>
  <c r="X147" i="12"/>
  <c r="AF147" i="12"/>
  <c r="J148" i="12"/>
  <c r="X148" i="12"/>
  <c r="AF148" i="12"/>
  <c r="J149" i="12"/>
  <c r="X149" i="12"/>
  <c r="AF149" i="12"/>
  <c r="J150" i="12"/>
  <c r="X150" i="12"/>
  <c r="AF150" i="12"/>
  <c r="J151" i="12"/>
  <c r="X151" i="12"/>
  <c r="AF151" i="12"/>
  <c r="J152" i="12"/>
  <c r="X152" i="12"/>
  <c r="AF152" i="12"/>
  <c r="J153" i="12"/>
  <c r="X153" i="12"/>
  <c r="AF153" i="12"/>
  <c r="J154" i="12"/>
  <c r="X154" i="12"/>
  <c r="AF154" i="12"/>
  <c r="J155" i="12"/>
  <c r="X155" i="12"/>
  <c r="AF155" i="12"/>
  <c r="J156" i="12"/>
  <c r="X156" i="12"/>
  <c r="AF156" i="12"/>
  <c r="J157" i="12"/>
  <c r="X157" i="12"/>
  <c r="AF157" i="12"/>
  <c r="J158" i="12"/>
  <c r="X158" i="12"/>
  <c r="AF158" i="12"/>
  <c r="J159" i="12"/>
  <c r="X159" i="12"/>
  <c r="AF159" i="12"/>
  <c r="J238" i="12"/>
  <c r="X238" i="12"/>
  <c r="AF238" i="12"/>
  <c r="J161" i="12"/>
  <c r="X161" i="12"/>
  <c r="AF161" i="12"/>
  <c r="J162" i="12"/>
  <c r="X162" i="12"/>
  <c r="AF162" i="12"/>
  <c r="J163" i="12"/>
  <c r="X163" i="12"/>
  <c r="AF163" i="12"/>
  <c r="J164" i="12"/>
  <c r="X164" i="12"/>
  <c r="AF164" i="12"/>
  <c r="J165" i="12"/>
  <c r="X165" i="12"/>
  <c r="AF165" i="12"/>
  <c r="J166" i="12"/>
  <c r="X166" i="12"/>
  <c r="AF166" i="12"/>
  <c r="J167" i="12"/>
  <c r="X167" i="12"/>
  <c r="AF167" i="12"/>
  <c r="J168" i="12"/>
  <c r="X168" i="12"/>
  <c r="AF168" i="12"/>
  <c r="J136" i="12"/>
  <c r="X136" i="12"/>
  <c r="AF136" i="12"/>
  <c r="J54" i="12"/>
  <c r="X54" i="12"/>
  <c r="AF54" i="12"/>
  <c r="J171" i="12"/>
  <c r="X171" i="12"/>
  <c r="AF171" i="12"/>
  <c r="J172" i="12"/>
  <c r="X172" i="12"/>
  <c r="AF172" i="12"/>
  <c r="J173" i="12"/>
  <c r="X173" i="12"/>
  <c r="AF173" i="12"/>
  <c r="J174" i="12"/>
  <c r="X174" i="12"/>
  <c r="AF174" i="12"/>
  <c r="J175" i="12"/>
  <c r="X175" i="12"/>
  <c r="AF175" i="12"/>
  <c r="J176" i="12"/>
  <c r="X176" i="12"/>
  <c r="AF176" i="12"/>
  <c r="J177" i="12"/>
  <c r="X177" i="12"/>
  <c r="AF177" i="12"/>
  <c r="J178" i="12"/>
  <c r="X178" i="12"/>
  <c r="AF178" i="12"/>
  <c r="J179" i="12"/>
  <c r="X179" i="12"/>
  <c r="AF179" i="12"/>
  <c r="J180" i="12"/>
  <c r="X180" i="12"/>
  <c r="AF180" i="12"/>
  <c r="J181" i="12"/>
  <c r="X181" i="12"/>
  <c r="AF181" i="12"/>
  <c r="J182" i="12"/>
  <c r="X182" i="12"/>
  <c r="AF182" i="12"/>
  <c r="J183" i="12"/>
  <c r="X183" i="12"/>
  <c r="AF183" i="12"/>
  <c r="J317" i="12"/>
  <c r="X317" i="12"/>
  <c r="AF317" i="12"/>
  <c r="J185" i="12"/>
  <c r="X185" i="12"/>
  <c r="AF185" i="12"/>
  <c r="J186" i="12"/>
  <c r="X186" i="12"/>
  <c r="AF186" i="12"/>
  <c r="J187" i="12"/>
  <c r="X187" i="12"/>
  <c r="AF187" i="12"/>
  <c r="J188" i="12"/>
  <c r="X188" i="12"/>
  <c r="AF188" i="12"/>
  <c r="J189" i="12"/>
  <c r="X189" i="12"/>
  <c r="AF189" i="12"/>
  <c r="J190" i="12"/>
  <c r="X190" i="12"/>
  <c r="AF190" i="12"/>
  <c r="J191" i="12"/>
  <c r="X191" i="12"/>
  <c r="AF191" i="12"/>
  <c r="J192" i="12"/>
  <c r="X192" i="12"/>
  <c r="AF192" i="12"/>
  <c r="J193" i="12"/>
  <c r="X193" i="12"/>
  <c r="AF193" i="12"/>
  <c r="J194" i="12"/>
  <c r="X194" i="12"/>
  <c r="AF194" i="12"/>
  <c r="J195" i="12"/>
  <c r="X195" i="12"/>
  <c r="AF195" i="12"/>
  <c r="J196" i="12"/>
  <c r="X196" i="12"/>
  <c r="AF196" i="12"/>
  <c r="J197" i="12"/>
  <c r="X197" i="12"/>
  <c r="AF197" i="12"/>
  <c r="J198" i="12"/>
  <c r="X198" i="12"/>
  <c r="AF198" i="12"/>
  <c r="J276" i="12"/>
  <c r="X276" i="12"/>
  <c r="AF276" i="12"/>
  <c r="J200" i="12"/>
  <c r="X200" i="12"/>
  <c r="AF200" i="12"/>
  <c r="J201" i="12"/>
  <c r="X201" i="12"/>
  <c r="AF201" i="12"/>
  <c r="J202" i="12"/>
  <c r="X202" i="12"/>
  <c r="AF202" i="12"/>
  <c r="J203" i="12"/>
  <c r="X203" i="12"/>
  <c r="AF203" i="12"/>
  <c r="J204" i="12"/>
  <c r="X204" i="12"/>
  <c r="AF204" i="12"/>
  <c r="J205" i="12"/>
  <c r="X205" i="12"/>
  <c r="AF205" i="12"/>
  <c r="J206" i="12"/>
  <c r="X206" i="12"/>
  <c r="AF206" i="12"/>
  <c r="J207" i="12"/>
  <c r="X207" i="12"/>
  <c r="AF207" i="12"/>
  <c r="J208" i="12"/>
  <c r="X208" i="12"/>
  <c r="AF208" i="12"/>
  <c r="J209" i="12"/>
  <c r="X209" i="12"/>
  <c r="AF209" i="12"/>
  <c r="J210" i="12"/>
  <c r="X210" i="12"/>
  <c r="AF210" i="12"/>
  <c r="J211" i="12"/>
  <c r="X211" i="12"/>
  <c r="AF211" i="12"/>
  <c r="J212" i="12"/>
  <c r="X212" i="12"/>
  <c r="AF212" i="12"/>
  <c r="J126" i="12"/>
  <c r="X126" i="12"/>
  <c r="AF126" i="12"/>
  <c r="J214" i="12"/>
  <c r="X214" i="12"/>
  <c r="AF214" i="12"/>
  <c r="J215" i="12"/>
  <c r="X215" i="12"/>
  <c r="AF215" i="12"/>
  <c r="J216" i="12"/>
  <c r="X216" i="12"/>
  <c r="AF216" i="12"/>
  <c r="J217" i="12"/>
  <c r="X217" i="12"/>
  <c r="AF217" i="12"/>
  <c r="J218" i="12"/>
  <c r="X218" i="12"/>
  <c r="AF218" i="12"/>
  <c r="J219" i="12"/>
  <c r="X219" i="12"/>
  <c r="AF219" i="12"/>
  <c r="J220" i="12"/>
  <c r="X220" i="12"/>
  <c r="AF220" i="12"/>
  <c r="J221" i="12"/>
  <c r="X221" i="12"/>
  <c r="AF221" i="12"/>
  <c r="J222" i="12"/>
  <c r="X222" i="12"/>
  <c r="AF222" i="12"/>
  <c r="J223" i="12"/>
  <c r="X223" i="12"/>
  <c r="AF223" i="12"/>
  <c r="J224" i="12"/>
  <c r="X224" i="12"/>
  <c r="AF224" i="12"/>
  <c r="J225" i="12"/>
  <c r="X225" i="12"/>
  <c r="AF225" i="12"/>
  <c r="J226" i="12"/>
  <c r="X226" i="12"/>
  <c r="AF226" i="12"/>
  <c r="J227" i="12"/>
  <c r="X227" i="12"/>
  <c r="AF227" i="12"/>
  <c r="J228" i="12"/>
  <c r="X228" i="12"/>
  <c r="AF228" i="12"/>
  <c r="J229" i="12"/>
  <c r="X229" i="12"/>
  <c r="AF229" i="12"/>
  <c r="J230" i="12"/>
  <c r="X230" i="12"/>
  <c r="AF230" i="12"/>
  <c r="J251" i="12"/>
  <c r="X251" i="12"/>
  <c r="AF251" i="12"/>
  <c r="J232" i="12"/>
  <c r="X232" i="12"/>
  <c r="AF232" i="12"/>
  <c r="J233" i="12"/>
  <c r="X233" i="12"/>
  <c r="AF233" i="12"/>
  <c r="J234" i="12"/>
  <c r="X234" i="12"/>
  <c r="AF234" i="12"/>
  <c r="J60" i="12"/>
  <c r="X60" i="12"/>
  <c r="AF60" i="12"/>
  <c r="J236" i="12"/>
  <c r="X236" i="12"/>
  <c r="AF236" i="12"/>
  <c r="J237" i="12"/>
  <c r="X237" i="12"/>
  <c r="AF237" i="12"/>
  <c r="J259" i="12"/>
  <c r="X259" i="12"/>
  <c r="AF259" i="12"/>
  <c r="J239" i="12"/>
  <c r="X239" i="12"/>
  <c r="AF239" i="12"/>
  <c r="J240" i="12"/>
  <c r="X240" i="12"/>
  <c r="AF240" i="12"/>
  <c r="J241" i="12"/>
  <c r="X241" i="12"/>
  <c r="AF241" i="12"/>
  <c r="J242" i="12"/>
  <c r="X242" i="12"/>
  <c r="AF242" i="12"/>
  <c r="J243" i="12"/>
  <c r="X243" i="12"/>
  <c r="AF243" i="12"/>
  <c r="J244" i="12"/>
  <c r="X244" i="12"/>
  <c r="AF244" i="12"/>
  <c r="J245" i="12"/>
  <c r="X245" i="12"/>
  <c r="AF245" i="12"/>
  <c r="J246" i="12"/>
  <c r="X246" i="12"/>
  <c r="AF246" i="12"/>
  <c r="J247" i="12"/>
  <c r="X247" i="12"/>
  <c r="AF247" i="12"/>
  <c r="J248" i="12"/>
  <c r="X248" i="12"/>
  <c r="AF248" i="12"/>
  <c r="J249" i="12"/>
  <c r="X249" i="12"/>
  <c r="AF249" i="12"/>
  <c r="J250" i="12"/>
  <c r="X250" i="12"/>
  <c r="AF250" i="12"/>
  <c r="J137" i="12"/>
  <c r="X137" i="12"/>
  <c r="AF137" i="12"/>
  <c r="J252" i="12"/>
  <c r="X252" i="12"/>
  <c r="AF252" i="12"/>
  <c r="J253" i="12"/>
  <c r="X253" i="12"/>
  <c r="AF253" i="12"/>
  <c r="J254" i="12"/>
  <c r="X254" i="12"/>
  <c r="AF254" i="12"/>
  <c r="J255" i="12"/>
  <c r="X255" i="12"/>
  <c r="AF255" i="12"/>
  <c r="J256" i="12"/>
  <c r="X256" i="12"/>
  <c r="AF256" i="12"/>
  <c r="J257" i="12"/>
  <c r="X257" i="12"/>
  <c r="AF257" i="12"/>
  <c r="J258" i="12"/>
  <c r="X258" i="12"/>
  <c r="AF258" i="12"/>
  <c r="J260" i="12"/>
  <c r="X260" i="12"/>
  <c r="AF260" i="12"/>
  <c r="J199" i="12"/>
  <c r="X199" i="12"/>
  <c r="AF199" i="12"/>
  <c r="J261" i="12"/>
  <c r="X261" i="12"/>
  <c r="AF261" i="12"/>
  <c r="J262" i="12"/>
  <c r="X262" i="12"/>
  <c r="AF262" i="12"/>
  <c r="J263" i="12"/>
  <c r="X263" i="12"/>
  <c r="AF263" i="12"/>
  <c r="J264" i="12"/>
  <c r="X264" i="12"/>
  <c r="AF264" i="12"/>
  <c r="J265" i="12"/>
  <c r="X265" i="12"/>
  <c r="AF265" i="12"/>
  <c r="J138" i="12"/>
  <c r="X138" i="12"/>
  <c r="AF138" i="12"/>
  <c r="J267" i="12"/>
  <c r="X267" i="12"/>
  <c r="AF267" i="12"/>
  <c r="J268" i="12"/>
  <c r="X268" i="12"/>
  <c r="AF268" i="12"/>
  <c r="J269" i="12"/>
  <c r="X269" i="12"/>
  <c r="AF269" i="12"/>
  <c r="J270" i="12"/>
  <c r="X270" i="12"/>
  <c r="AF270" i="12"/>
  <c r="J271" i="12"/>
  <c r="X271" i="12"/>
  <c r="AF271" i="12"/>
  <c r="J272" i="12"/>
  <c r="X272" i="12"/>
  <c r="AF272" i="12"/>
  <c r="J273" i="12"/>
  <c r="X273" i="12"/>
  <c r="AF273" i="12"/>
  <c r="J274" i="12"/>
  <c r="X274" i="12"/>
  <c r="AF274" i="12"/>
  <c r="J231" i="12"/>
  <c r="X231" i="12"/>
  <c r="AF231" i="12"/>
  <c r="J266" i="12"/>
  <c r="X266" i="12"/>
  <c r="AF266" i="12"/>
  <c r="J277" i="12"/>
  <c r="X277" i="12"/>
  <c r="AF277" i="12"/>
  <c r="J278" i="12"/>
  <c r="X278" i="12"/>
  <c r="AF278" i="12"/>
  <c r="J279" i="12"/>
  <c r="X279" i="12"/>
  <c r="AF279" i="12"/>
  <c r="J280" i="12"/>
  <c r="X280" i="12"/>
  <c r="AF280" i="12"/>
  <c r="J281" i="12"/>
  <c r="X281" i="12"/>
  <c r="AF281" i="12"/>
  <c r="J282" i="12"/>
  <c r="X282" i="12"/>
  <c r="AF282" i="12"/>
  <c r="J283" i="12"/>
  <c r="X283" i="12"/>
  <c r="AF283" i="12"/>
  <c r="J284" i="12"/>
  <c r="X284" i="12"/>
  <c r="AF284" i="12"/>
  <c r="J285" i="12"/>
  <c r="X285" i="12"/>
  <c r="AF285" i="12"/>
  <c r="J286" i="12"/>
  <c r="X286" i="12"/>
  <c r="AF286" i="12"/>
  <c r="J287" i="12"/>
  <c r="X287" i="12"/>
  <c r="AF287" i="12"/>
  <c r="J288" i="12"/>
  <c r="X288" i="12"/>
  <c r="AF288" i="12"/>
  <c r="J289" i="12"/>
  <c r="X289" i="12"/>
  <c r="AF289" i="12"/>
  <c r="J134" i="12"/>
  <c r="X134" i="12"/>
  <c r="AF134" i="12"/>
  <c r="J291" i="12"/>
  <c r="X291" i="12"/>
  <c r="AF291" i="12"/>
  <c r="J292" i="12"/>
  <c r="X292" i="12"/>
  <c r="AF292" i="12"/>
  <c r="J293" i="12"/>
  <c r="X293" i="12"/>
  <c r="AF293" i="12"/>
  <c r="J294" i="12"/>
  <c r="X294" i="12"/>
  <c r="AF294" i="12"/>
  <c r="J295" i="12"/>
  <c r="X295" i="12"/>
  <c r="AF295" i="12"/>
  <c r="J296" i="12"/>
  <c r="X296" i="12"/>
  <c r="AF296" i="12"/>
  <c r="J297" i="12"/>
  <c r="X297" i="12"/>
  <c r="AF297" i="12"/>
  <c r="J298" i="12"/>
  <c r="X298" i="12"/>
  <c r="AF298" i="12"/>
  <c r="J299" i="12"/>
  <c r="X299" i="12"/>
  <c r="AF299" i="12"/>
  <c r="J300" i="12"/>
  <c r="X300" i="12"/>
  <c r="AF300" i="12"/>
  <c r="J301" i="12"/>
  <c r="X301" i="12"/>
  <c r="AF301" i="12"/>
  <c r="J302" i="12"/>
  <c r="X302" i="12"/>
  <c r="AF302" i="12"/>
  <c r="J303" i="12"/>
  <c r="X303" i="12"/>
  <c r="AF303" i="12"/>
  <c r="J304" i="12"/>
  <c r="X304" i="12"/>
  <c r="AF304" i="12"/>
  <c r="J305" i="12"/>
  <c r="X305" i="12"/>
  <c r="AF305" i="12"/>
  <c r="J306" i="12"/>
  <c r="X306" i="12"/>
  <c r="AF306" i="12"/>
  <c r="J307" i="12"/>
  <c r="X307" i="12"/>
  <c r="AF307" i="12"/>
  <c r="J308" i="12"/>
  <c r="X308" i="12"/>
  <c r="AF308" i="12"/>
  <c r="J309" i="12"/>
  <c r="X309" i="12"/>
  <c r="AF309" i="12"/>
  <c r="J310" i="12"/>
  <c r="X310" i="12"/>
  <c r="AF310" i="12"/>
  <c r="J311" i="12"/>
  <c r="X311" i="12"/>
  <c r="AF311" i="12"/>
  <c r="J312" i="12"/>
  <c r="X312" i="12"/>
  <c r="AF312" i="12"/>
  <c r="J313" i="12"/>
  <c r="X313" i="12"/>
  <c r="AF313" i="12"/>
  <c r="J314" i="12"/>
  <c r="X314" i="12"/>
  <c r="AF314" i="12"/>
  <c r="J315" i="12"/>
  <c r="X315" i="12"/>
  <c r="AF315" i="12"/>
  <c r="J316" i="12"/>
  <c r="X316" i="12"/>
  <c r="AF316" i="12"/>
  <c r="J290" i="12"/>
  <c r="X290" i="12"/>
  <c r="AF290" i="12"/>
  <c r="J318" i="12"/>
  <c r="X318" i="12"/>
  <c r="AF318" i="12"/>
  <c r="J319" i="12"/>
  <c r="X319" i="12"/>
  <c r="AF319" i="12"/>
  <c r="J320" i="12"/>
  <c r="X320" i="12"/>
  <c r="AF320" i="12"/>
  <c r="J34" i="12"/>
  <c r="X34" i="12"/>
  <c r="AF34" i="12"/>
  <c r="J35" i="12"/>
  <c r="X35" i="12"/>
  <c r="AF35" i="12"/>
  <c r="J235" i="12"/>
  <c r="X235" i="12"/>
  <c r="AF235" i="12"/>
  <c r="J37" i="12"/>
  <c r="X37" i="12"/>
  <c r="AF37" i="12"/>
  <c r="J38" i="12"/>
  <c r="X38" i="12"/>
  <c r="AF38" i="12"/>
  <c r="J39" i="12"/>
  <c r="X39" i="12"/>
  <c r="AF39" i="12"/>
  <c r="J40" i="12"/>
  <c r="X40" i="12"/>
  <c r="AF40" i="12"/>
  <c r="J41" i="12"/>
  <c r="X41" i="12"/>
  <c r="AF41" i="12"/>
  <c r="J42" i="12"/>
  <c r="X42" i="12"/>
  <c r="AF42" i="12"/>
  <c r="J43" i="12"/>
  <c r="X43" i="12"/>
  <c r="AF43" i="12"/>
  <c r="J44" i="12"/>
  <c r="X44" i="12"/>
  <c r="AF44" i="12"/>
  <c r="J45" i="12"/>
  <c r="X45" i="12"/>
  <c r="AF45" i="12"/>
  <c r="J46" i="12"/>
  <c r="X46" i="12"/>
  <c r="AF46" i="12"/>
  <c r="J47" i="12"/>
  <c r="X47" i="12"/>
  <c r="AF47" i="12"/>
  <c r="J48" i="12"/>
  <c r="X48" i="12"/>
  <c r="AF48" i="12"/>
  <c r="J49" i="12"/>
  <c r="X49" i="12"/>
  <c r="AF49" i="12"/>
  <c r="J50" i="12"/>
  <c r="X50" i="12"/>
  <c r="AF50" i="12"/>
  <c r="J51" i="12"/>
  <c r="X51" i="12"/>
  <c r="AF51" i="12"/>
  <c r="J36" i="12"/>
  <c r="X36" i="12"/>
  <c r="AF36" i="12"/>
  <c r="J53" i="12"/>
  <c r="X53" i="12"/>
  <c r="AF53" i="12"/>
  <c r="J52" i="12"/>
  <c r="X52" i="12"/>
  <c r="AF52" i="12"/>
  <c r="J55" i="12"/>
  <c r="X55" i="12"/>
  <c r="AF55" i="12"/>
  <c r="J56" i="12"/>
  <c r="X56" i="12"/>
  <c r="AF56" i="12"/>
  <c r="J57" i="12"/>
  <c r="X57" i="12"/>
  <c r="AF57" i="12"/>
  <c r="J58" i="12"/>
  <c r="X58" i="12"/>
  <c r="AF58" i="12"/>
  <c r="J59" i="12"/>
  <c r="X59" i="12"/>
  <c r="AF59" i="12"/>
  <c r="J139" i="12"/>
  <c r="X139" i="12"/>
  <c r="AF139" i="12"/>
  <c r="J61" i="12"/>
  <c r="X61" i="12"/>
  <c r="AF61" i="12"/>
  <c r="J62" i="12"/>
  <c r="X62" i="12"/>
  <c r="AF62" i="12"/>
  <c r="J63" i="12"/>
  <c r="X63" i="12"/>
  <c r="AF63" i="12"/>
  <c r="J64" i="12"/>
  <c r="X64" i="12"/>
  <c r="AF64" i="12"/>
  <c r="J65" i="12"/>
  <c r="X65" i="12"/>
  <c r="AF65" i="12"/>
  <c r="J66" i="12"/>
  <c r="X66" i="12"/>
  <c r="AF66" i="12"/>
  <c r="J67" i="12"/>
  <c r="X67" i="12"/>
  <c r="AF67" i="12"/>
  <c r="J68" i="12"/>
  <c r="X68" i="12"/>
  <c r="AF68" i="12"/>
  <c r="J69" i="12"/>
  <c r="X69" i="12"/>
  <c r="AF69" i="12"/>
  <c r="J70" i="12"/>
  <c r="X70" i="12"/>
  <c r="AF70" i="12"/>
  <c r="J71" i="12"/>
  <c r="X71" i="12"/>
  <c r="AF71" i="12"/>
  <c r="J72" i="12"/>
  <c r="X72" i="12"/>
  <c r="AF72" i="12"/>
  <c r="J73" i="12"/>
  <c r="X73" i="12"/>
  <c r="AF73" i="12"/>
  <c r="J74" i="12"/>
  <c r="X74" i="12"/>
  <c r="AF74" i="12"/>
  <c r="J75" i="12"/>
  <c r="X75" i="12"/>
  <c r="AF75" i="12"/>
  <c r="J76" i="12"/>
  <c r="X76" i="12"/>
  <c r="AF76" i="12"/>
  <c r="J77" i="12"/>
  <c r="X77" i="12"/>
  <c r="AF77" i="12"/>
  <c r="J78" i="12"/>
  <c r="X78" i="12"/>
  <c r="AF78" i="12"/>
  <c r="J79" i="12"/>
  <c r="X79" i="12"/>
  <c r="AF79" i="12"/>
  <c r="J80" i="12"/>
  <c r="X80" i="12"/>
  <c r="AF80" i="12"/>
  <c r="J81" i="12"/>
  <c r="X81" i="12"/>
  <c r="AF81" i="12"/>
  <c r="J82" i="12"/>
  <c r="X82" i="12"/>
  <c r="AF82" i="12"/>
  <c r="J83" i="12"/>
  <c r="X83" i="12"/>
  <c r="AF83" i="12"/>
  <c r="J84" i="12"/>
  <c r="X84" i="12"/>
  <c r="AF84" i="12"/>
  <c r="J85" i="12"/>
  <c r="X85" i="12"/>
  <c r="AF85" i="12"/>
  <c r="J86" i="12"/>
  <c r="X86" i="12"/>
  <c r="AF86" i="12"/>
  <c r="J87" i="12"/>
  <c r="X87" i="12"/>
  <c r="AF87" i="12"/>
  <c r="J88" i="12"/>
  <c r="X88" i="12"/>
  <c r="AF88" i="12"/>
  <c r="J89" i="12"/>
  <c r="X89" i="12"/>
  <c r="AF89" i="12"/>
  <c r="J90" i="12"/>
  <c r="X90" i="12"/>
  <c r="AF90" i="12"/>
  <c r="J91" i="12"/>
  <c r="X91" i="12"/>
  <c r="AF91" i="12"/>
  <c r="J92" i="12"/>
  <c r="X92" i="12"/>
  <c r="AF92" i="12"/>
  <c r="J93" i="12"/>
  <c r="X93" i="12"/>
  <c r="AF93" i="12"/>
  <c r="J94" i="12"/>
  <c r="X94" i="12"/>
  <c r="AF94" i="12"/>
  <c r="J95" i="12"/>
  <c r="X95" i="12"/>
  <c r="AF95" i="12"/>
  <c r="J96" i="12"/>
  <c r="X96" i="12"/>
  <c r="AF96" i="12"/>
  <c r="J97" i="12"/>
  <c r="X97" i="12"/>
  <c r="AF97" i="12"/>
  <c r="J98" i="12"/>
  <c r="X98" i="12"/>
  <c r="AF98" i="12"/>
  <c r="J99" i="12"/>
  <c r="X99" i="12"/>
  <c r="AF99" i="12"/>
  <c r="J100" i="12"/>
  <c r="X100" i="12"/>
  <c r="AF100" i="12"/>
  <c r="J101" i="12"/>
  <c r="X101" i="12"/>
  <c r="AF101" i="12"/>
  <c r="J102" i="12"/>
  <c r="X102" i="12"/>
  <c r="AF102" i="12"/>
  <c r="J103" i="12"/>
  <c r="X103" i="12"/>
  <c r="AF103" i="12"/>
  <c r="J104" i="12"/>
  <c r="X104" i="12"/>
  <c r="AF104" i="12"/>
  <c r="J105" i="12"/>
  <c r="X105" i="12"/>
  <c r="AF105" i="12"/>
  <c r="J106" i="12"/>
  <c r="X106" i="12"/>
  <c r="AF106" i="12"/>
  <c r="J107" i="12"/>
  <c r="X107" i="12"/>
  <c r="AF107" i="12"/>
  <c r="J108" i="12"/>
  <c r="X108" i="12"/>
  <c r="AF108" i="12"/>
  <c r="J109" i="12"/>
  <c r="X109" i="12"/>
  <c r="AF109" i="12"/>
  <c r="J110" i="12"/>
  <c r="X110" i="12"/>
  <c r="AF110" i="12"/>
  <c r="J111" i="12"/>
  <c r="X111" i="12"/>
  <c r="AF111" i="12"/>
  <c r="J112" i="12"/>
  <c r="X112" i="12"/>
  <c r="AF112" i="12"/>
  <c r="J113" i="12"/>
  <c r="X113" i="12"/>
  <c r="AF113" i="12"/>
  <c r="J114" i="12"/>
  <c r="X114" i="12"/>
  <c r="AF114" i="12"/>
  <c r="J115" i="12"/>
  <c r="X115" i="12"/>
  <c r="AF115" i="12"/>
  <c r="J116" i="12"/>
  <c r="X116" i="12"/>
  <c r="AF116" i="12"/>
  <c r="J117" i="12"/>
  <c r="X117" i="12"/>
  <c r="AF117" i="12"/>
  <c r="J118" i="12"/>
  <c r="X118" i="12"/>
  <c r="AF118" i="12"/>
  <c r="J119" i="12"/>
  <c r="X119" i="12"/>
  <c r="AF119" i="12"/>
  <c r="J120" i="12"/>
  <c r="X120" i="12"/>
  <c r="AF120" i="12"/>
  <c r="J121" i="12"/>
  <c r="X121" i="12"/>
  <c r="AF121" i="12"/>
  <c r="J122" i="12"/>
  <c r="X122" i="12"/>
  <c r="AF122" i="12"/>
  <c r="J213" i="12"/>
  <c r="X213" i="12"/>
  <c r="AF213" i="12"/>
  <c r="J124" i="12"/>
  <c r="X124" i="12"/>
  <c r="AF124" i="12"/>
  <c r="J125" i="12"/>
  <c r="X125" i="12"/>
  <c r="AF125" i="12"/>
  <c r="J135" i="12"/>
  <c r="X135" i="12"/>
  <c r="AF135" i="12"/>
  <c r="J127" i="12"/>
  <c r="X127" i="12"/>
  <c r="AF127" i="12"/>
  <c r="J128" i="12"/>
  <c r="X128" i="12"/>
  <c r="AF128" i="12"/>
  <c r="J129" i="12"/>
  <c r="X129" i="12"/>
  <c r="AF129" i="12"/>
  <c r="J130" i="12"/>
  <c r="X130" i="12"/>
  <c r="AF130" i="12"/>
  <c r="J131" i="12"/>
  <c r="X131" i="12"/>
  <c r="AF131" i="12"/>
  <c r="J132" i="12"/>
  <c r="X132" i="12"/>
  <c r="AF132" i="12"/>
  <c r="J133" i="12"/>
  <c r="X133" i="12"/>
  <c r="AF133" i="12"/>
  <c r="J275" i="12"/>
  <c r="X275" i="12"/>
  <c r="AF275" i="12"/>
  <c r="J160" i="12"/>
  <c r="X160" i="12"/>
  <c r="AF160" i="12"/>
  <c r="J170" i="12"/>
  <c r="X170" i="12"/>
  <c r="AF170" i="12"/>
  <c r="J184" i="12"/>
  <c r="X184" i="12"/>
  <c r="AF184" i="12"/>
  <c r="J123" i="12"/>
  <c r="X123" i="12"/>
  <c r="AF123" i="12"/>
  <c r="J169" i="12"/>
  <c r="X169" i="12"/>
  <c r="AF169" i="12"/>
  <c r="J33" i="12"/>
  <c r="X33" i="12"/>
  <c r="AF33" i="12"/>
  <c r="E44" i="12"/>
  <c r="E45" i="12"/>
  <c r="E46" i="12"/>
  <c r="E47" i="12"/>
  <c r="E48" i="12"/>
  <c r="E49" i="12"/>
  <c r="E50" i="12"/>
  <c r="E51" i="12"/>
  <c r="E36" i="12"/>
  <c r="E53" i="12"/>
  <c r="E52" i="12"/>
  <c r="E55" i="12"/>
  <c r="E56" i="12"/>
  <c r="E57" i="12"/>
  <c r="E58" i="12"/>
  <c r="E59" i="12"/>
  <c r="E139"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213" i="12"/>
  <c r="E124" i="12"/>
  <c r="E125" i="12"/>
  <c r="E135" i="12"/>
  <c r="E127" i="12"/>
  <c r="E128" i="12"/>
  <c r="E129" i="12"/>
  <c r="E130" i="12"/>
  <c r="E131" i="12"/>
  <c r="E132" i="12"/>
  <c r="E133" i="12"/>
  <c r="E275" i="12"/>
  <c r="E160" i="12"/>
  <c r="E170" i="12"/>
  <c r="E184" i="12"/>
  <c r="E123" i="12"/>
  <c r="E169" i="12"/>
  <c r="E140" i="12"/>
  <c r="E141" i="12"/>
  <c r="E142" i="12"/>
  <c r="E143" i="12"/>
  <c r="E144" i="12"/>
  <c r="E145" i="12"/>
  <c r="E146" i="12"/>
  <c r="E147" i="12"/>
  <c r="E148" i="12"/>
  <c r="E149" i="12"/>
  <c r="E150" i="12"/>
  <c r="E151" i="12"/>
  <c r="E152" i="12"/>
  <c r="E153" i="12"/>
  <c r="E154" i="12"/>
  <c r="E155" i="12"/>
  <c r="E156" i="12"/>
  <c r="E157" i="12"/>
  <c r="E158" i="12"/>
  <c r="E159" i="12"/>
  <c r="E238" i="12"/>
  <c r="E161" i="12"/>
  <c r="E162" i="12"/>
  <c r="E163" i="12"/>
  <c r="E164" i="12"/>
  <c r="E165" i="12"/>
  <c r="E166" i="12"/>
  <c r="E167" i="12"/>
  <c r="E168" i="12"/>
  <c r="E136" i="12"/>
  <c r="E54" i="12"/>
  <c r="E171" i="12"/>
  <c r="E172" i="12"/>
  <c r="E173" i="12"/>
  <c r="E174" i="12"/>
  <c r="E175" i="12"/>
  <c r="E176" i="12"/>
  <c r="E177" i="12"/>
  <c r="E178" i="12"/>
  <c r="E179" i="12"/>
  <c r="E180" i="12"/>
  <c r="E181" i="12"/>
  <c r="E182" i="12"/>
  <c r="E183" i="12"/>
  <c r="E317" i="12"/>
  <c r="E185" i="12"/>
  <c r="E186" i="12"/>
  <c r="E187" i="12"/>
  <c r="E188" i="12"/>
  <c r="E189" i="12"/>
  <c r="E190" i="12"/>
  <c r="E191" i="12"/>
  <c r="E192" i="12"/>
  <c r="E193" i="12"/>
  <c r="E194" i="12"/>
  <c r="E195" i="12"/>
  <c r="E196" i="12"/>
  <c r="E197" i="12"/>
  <c r="E198" i="12"/>
  <c r="E276" i="12"/>
  <c r="E200" i="12"/>
  <c r="E201" i="12"/>
  <c r="E202" i="12"/>
  <c r="E203" i="12"/>
  <c r="E204" i="12"/>
  <c r="E205" i="12"/>
  <c r="E206" i="12"/>
  <c r="E207" i="12"/>
  <c r="E208" i="12"/>
  <c r="E209" i="12"/>
  <c r="E210" i="12"/>
  <c r="E211" i="12"/>
  <c r="E212" i="12"/>
  <c r="E126" i="12"/>
  <c r="E214" i="12"/>
  <c r="E215" i="12"/>
  <c r="E216" i="12"/>
  <c r="E217" i="12"/>
  <c r="E218" i="12"/>
  <c r="E219" i="12"/>
  <c r="E220" i="12"/>
  <c r="E221" i="12"/>
  <c r="E222" i="12"/>
  <c r="E223" i="12"/>
  <c r="E224" i="12"/>
  <c r="E225" i="12"/>
  <c r="E226" i="12"/>
  <c r="E227" i="12"/>
  <c r="E228" i="12"/>
  <c r="E229" i="12"/>
  <c r="E230" i="12"/>
  <c r="E251" i="12"/>
  <c r="E232" i="12"/>
  <c r="E233" i="12"/>
  <c r="E234" i="12"/>
  <c r="E60" i="12"/>
  <c r="E236" i="12"/>
  <c r="E237" i="12"/>
  <c r="E259" i="12"/>
  <c r="E239" i="12"/>
  <c r="E240" i="12"/>
  <c r="E241" i="12"/>
  <c r="E242" i="12"/>
  <c r="E243" i="12"/>
  <c r="E244" i="12"/>
  <c r="E245" i="12"/>
  <c r="E246" i="12"/>
  <c r="E247" i="12"/>
  <c r="E248" i="12"/>
  <c r="E249" i="12"/>
  <c r="E250" i="12"/>
  <c r="E137" i="12"/>
  <c r="E252" i="12"/>
  <c r="E253" i="12"/>
  <c r="E254" i="12"/>
  <c r="E255" i="12"/>
  <c r="E256" i="12"/>
  <c r="E257" i="12"/>
  <c r="E258" i="12"/>
  <c r="E260" i="12"/>
  <c r="E199" i="12"/>
  <c r="E261" i="12"/>
  <c r="E262" i="12"/>
  <c r="E263" i="12"/>
  <c r="E264" i="12"/>
  <c r="E265" i="12"/>
  <c r="E138" i="12"/>
  <c r="E267" i="12"/>
  <c r="E268" i="12"/>
  <c r="E269" i="12"/>
  <c r="E270" i="12"/>
  <c r="E271" i="12"/>
  <c r="E272" i="12"/>
  <c r="E273" i="12"/>
  <c r="E274" i="12"/>
  <c r="E231" i="12"/>
  <c r="E266" i="12"/>
  <c r="E277" i="12"/>
  <c r="E278" i="12"/>
  <c r="E279" i="12"/>
  <c r="E280" i="12"/>
  <c r="E281" i="12"/>
  <c r="E282" i="12"/>
  <c r="E283" i="12"/>
  <c r="E284" i="12"/>
  <c r="E285" i="12"/>
  <c r="E286" i="12"/>
  <c r="E287" i="12"/>
  <c r="E288" i="12"/>
  <c r="E289" i="12"/>
  <c r="E134"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290" i="12"/>
  <c r="E318" i="12"/>
  <c r="E319" i="12"/>
  <c r="E320" i="12"/>
  <c r="E34" i="12"/>
  <c r="E35" i="12"/>
  <c r="E235" i="12"/>
  <c r="E37" i="12"/>
  <c r="E38" i="12"/>
  <c r="E39" i="12"/>
  <c r="E40" i="12"/>
  <c r="E41" i="12"/>
  <c r="E42" i="12"/>
  <c r="E43" i="12"/>
  <c r="E33" i="12"/>
  <c r="S320" i="12" a="1"/>
  <c r="S319" i="12" a="1"/>
  <c r="S319" i="12" s="1"/>
  <c r="L319" i="12" s="1"/>
  <c r="S318" i="12" a="1"/>
  <c r="N318" i="12" s="1"/>
  <c r="S290" i="12" a="1"/>
  <c r="S290" i="12" s="1"/>
  <c r="L290" i="12" s="1"/>
  <c r="S316" i="12" a="1"/>
  <c r="P316" i="12" s="1"/>
  <c r="S315" i="12" a="1"/>
  <c r="S314" i="12" a="1"/>
  <c r="S313" i="12" a="1"/>
  <c r="S312" i="12" a="1"/>
  <c r="P312" i="12" s="1"/>
  <c r="S311" i="12" a="1"/>
  <c r="S310" i="12" a="1"/>
  <c r="P310" i="12" s="1"/>
  <c r="S309" i="12" a="1"/>
  <c r="S308" i="12" a="1"/>
  <c r="S307" i="12" a="1"/>
  <c r="S307" i="12" s="1"/>
  <c r="L307" i="12" s="1"/>
  <c r="S306" i="12" a="1"/>
  <c r="S305" i="12" a="1"/>
  <c r="N305" i="12" s="1"/>
  <c r="S304" i="12" a="1"/>
  <c r="S303" i="12" a="1"/>
  <c r="N303" i="12" s="1"/>
  <c r="S302" i="12" a="1"/>
  <c r="S302" i="12" s="1"/>
  <c r="L302" i="12" s="1"/>
  <c r="S301" i="12" a="1"/>
  <c r="S300" i="12" a="1"/>
  <c r="N300" i="12" s="1"/>
  <c r="S299" i="12" a="1"/>
  <c r="S298" i="12" a="1"/>
  <c r="P298" i="12" s="1"/>
  <c r="S297" i="12" a="1"/>
  <c r="S296" i="12" a="1"/>
  <c r="S296" i="12" s="1"/>
  <c r="L296" i="12" s="1"/>
  <c r="S295" i="12" a="1"/>
  <c r="S295" i="12" s="1"/>
  <c r="L295" i="12" s="1"/>
  <c r="S294" i="12" a="1"/>
  <c r="P294" i="12" s="1"/>
  <c r="S293" i="12" a="1"/>
  <c r="S292" i="12" a="1"/>
  <c r="S291" i="12" a="1"/>
  <c r="S291" i="12" s="1"/>
  <c r="L291" i="12" s="1"/>
  <c r="S134" i="12" a="1"/>
  <c r="S289" i="12" a="1"/>
  <c r="N289" i="12" s="1"/>
  <c r="S288" i="12" a="1"/>
  <c r="V288" i="12"/>
  <c r="W288" i="12"/>
  <c r="Y288" i="12"/>
  <c r="Z288" i="12"/>
  <c r="AA288" i="12"/>
  <c r="AB288" i="12"/>
  <c r="AC288" i="12"/>
  <c r="AD288" i="12"/>
  <c r="AE288" i="12"/>
  <c r="AG288" i="12"/>
  <c r="AH288" i="12"/>
  <c r="AI288" i="12"/>
  <c r="AJ288" i="12"/>
  <c r="AK288" i="12"/>
  <c r="AL288" i="12"/>
  <c r="AM288" i="12"/>
  <c r="AN288" i="12"/>
  <c r="AO288" i="12"/>
  <c r="AP288" i="12"/>
  <c r="AQ288" i="12"/>
  <c r="AR288" i="12"/>
  <c r="AS288" i="12"/>
  <c r="AT288" i="12"/>
  <c r="AU288" i="12"/>
  <c r="AV288" i="12"/>
  <c r="V289" i="12"/>
  <c r="W289" i="12"/>
  <c r="Y289" i="12"/>
  <c r="Z289" i="12"/>
  <c r="AA289" i="12"/>
  <c r="AB289" i="12"/>
  <c r="AC289" i="12"/>
  <c r="AD289" i="12"/>
  <c r="AE289" i="12"/>
  <c r="AG289" i="12"/>
  <c r="AH289" i="12"/>
  <c r="AI289" i="12"/>
  <c r="AJ289" i="12"/>
  <c r="AK289" i="12"/>
  <c r="AL289" i="12"/>
  <c r="AM289" i="12"/>
  <c r="AN289" i="12"/>
  <c r="AO289" i="12"/>
  <c r="AP289" i="12"/>
  <c r="AQ289" i="12"/>
  <c r="AR289" i="12"/>
  <c r="AS289" i="12"/>
  <c r="AT289" i="12"/>
  <c r="AU289" i="12"/>
  <c r="AV289" i="12"/>
  <c r="V134" i="12"/>
  <c r="W134" i="12"/>
  <c r="Y134" i="12"/>
  <c r="Z134" i="12"/>
  <c r="AA134" i="12"/>
  <c r="AB134" i="12"/>
  <c r="AC134" i="12"/>
  <c r="AD134" i="12"/>
  <c r="AE134" i="12"/>
  <c r="AG134" i="12"/>
  <c r="AH134" i="12"/>
  <c r="AI134" i="12"/>
  <c r="AJ134" i="12"/>
  <c r="AK134" i="12"/>
  <c r="AL134" i="12"/>
  <c r="AM134" i="12"/>
  <c r="AN134" i="12"/>
  <c r="AO134" i="12"/>
  <c r="AP134" i="12"/>
  <c r="AQ134" i="12"/>
  <c r="AR134" i="12"/>
  <c r="AS134" i="12"/>
  <c r="AT134" i="12"/>
  <c r="AU134" i="12"/>
  <c r="AV134" i="12"/>
  <c r="V291" i="12"/>
  <c r="W291" i="12"/>
  <c r="Y291" i="12"/>
  <c r="Z291" i="12"/>
  <c r="AA291" i="12"/>
  <c r="AB291" i="12"/>
  <c r="AC291" i="12"/>
  <c r="AD291" i="12"/>
  <c r="AE291" i="12"/>
  <c r="AG291" i="12"/>
  <c r="AH291" i="12"/>
  <c r="AI291" i="12"/>
  <c r="AJ291" i="12"/>
  <c r="AK291" i="12"/>
  <c r="AL291" i="12"/>
  <c r="AM291" i="12"/>
  <c r="AN291" i="12"/>
  <c r="AO291" i="12"/>
  <c r="AP291" i="12"/>
  <c r="AQ291" i="12"/>
  <c r="AR291" i="12"/>
  <c r="AS291" i="12"/>
  <c r="AT291" i="12"/>
  <c r="AU291" i="12"/>
  <c r="AV291" i="12"/>
  <c r="V292" i="12"/>
  <c r="W292" i="12"/>
  <c r="Y292" i="12"/>
  <c r="Z292" i="12"/>
  <c r="AA292" i="12"/>
  <c r="AB292" i="12"/>
  <c r="AC292" i="12"/>
  <c r="AD292" i="12"/>
  <c r="AE292" i="12"/>
  <c r="AG292" i="12"/>
  <c r="AH292" i="12"/>
  <c r="AI292" i="12"/>
  <c r="AJ292" i="12"/>
  <c r="AK292" i="12"/>
  <c r="AL292" i="12"/>
  <c r="AM292" i="12"/>
  <c r="AN292" i="12"/>
  <c r="AO292" i="12"/>
  <c r="AP292" i="12"/>
  <c r="AQ292" i="12"/>
  <c r="AR292" i="12"/>
  <c r="AS292" i="12"/>
  <c r="AT292" i="12"/>
  <c r="AU292" i="12"/>
  <c r="AV292" i="12"/>
  <c r="V293" i="12"/>
  <c r="W293" i="12"/>
  <c r="Y293" i="12"/>
  <c r="Z293" i="12"/>
  <c r="AA293" i="12"/>
  <c r="AB293" i="12"/>
  <c r="AC293" i="12"/>
  <c r="AD293" i="12"/>
  <c r="AE293" i="12"/>
  <c r="AG293" i="12"/>
  <c r="AH293" i="12"/>
  <c r="AI293" i="12"/>
  <c r="AJ293" i="12"/>
  <c r="AK293" i="12"/>
  <c r="AL293" i="12"/>
  <c r="AM293" i="12"/>
  <c r="AN293" i="12"/>
  <c r="AO293" i="12"/>
  <c r="AP293" i="12"/>
  <c r="AQ293" i="12"/>
  <c r="AR293" i="12"/>
  <c r="AS293" i="12"/>
  <c r="AT293" i="12"/>
  <c r="AU293" i="12"/>
  <c r="AV293" i="12"/>
  <c r="V294" i="12"/>
  <c r="W294" i="12"/>
  <c r="Y294" i="12"/>
  <c r="Z294" i="12"/>
  <c r="AA294" i="12"/>
  <c r="AB294" i="12"/>
  <c r="AC294" i="12"/>
  <c r="AD294" i="12"/>
  <c r="AE294" i="12"/>
  <c r="AG294" i="12"/>
  <c r="AH294" i="12"/>
  <c r="AI294" i="12"/>
  <c r="AJ294" i="12"/>
  <c r="AK294" i="12"/>
  <c r="AL294" i="12"/>
  <c r="AM294" i="12"/>
  <c r="AN294" i="12"/>
  <c r="AO294" i="12"/>
  <c r="AP294" i="12"/>
  <c r="AQ294" i="12"/>
  <c r="AR294" i="12"/>
  <c r="AS294" i="12"/>
  <c r="AT294" i="12"/>
  <c r="AU294" i="12"/>
  <c r="AV294" i="12"/>
  <c r="V295" i="12"/>
  <c r="W295" i="12"/>
  <c r="Y295" i="12"/>
  <c r="Z295" i="12"/>
  <c r="AA295" i="12"/>
  <c r="AB295" i="12"/>
  <c r="AC295" i="12"/>
  <c r="AD295" i="12"/>
  <c r="AE295" i="12"/>
  <c r="AG295" i="12"/>
  <c r="AH295" i="12"/>
  <c r="AI295" i="12"/>
  <c r="AJ295" i="12"/>
  <c r="AK295" i="12"/>
  <c r="AL295" i="12"/>
  <c r="AM295" i="12"/>
  <c r="AN295" i="12"/>
  <c r="AO295" i="12"/>
  <c r="AP295" i="12"/>
  <c r="AQ295" i="12"/>
  <c r="AR295" i="12"/>
  <c r="AS295" i="12"/>
  <c r="AT295" i="12"/>
  <c r="AU295" i="12"/>
  <c r="AV295" i="12"/>
  <c r="V296" i="12"/>
  <c r="W296" i="12"/>
  <c r="Y296" i="12"/>
  <c r="Z296" i="12"/>
  <c r="AA296" i="12"/>
  <c r="AB296" i="12"/>
  <c r="AC296" i="12"/>
  <c r="AD296" i="12"/>
  <c r="AE296" i="12"/>
  <c r="AG296" i="12"/>
  <c r="AH296" i="12"/>
  <c r="AI296" i="12"/>
  <c r="AJ296" i="12"/>
  <c r="AK296" i="12"/>
  <c r="AL296" i="12"/>
  <c r="AM296" i="12"/>
  <c r="AN296" i="12"/>
  <c r="AO296" i="12"/>
  <c r="AP296" i="12"/>
  <c r="AQ296" i="12"/>
  <c r="AR296" i="12"/>
  <c r="AS296" i="12"/>
  <c r="AT296" i="12"/>
  <c r="AU296" i="12"/>
  <c r="AV296" i="12"/>
  <c r="V297" i="12"/>
  <c r="W297" i="12"/>
  <c r="Y297" i="12"/>
  <c r="Z297" i="12"/>
  <c r="AA297" i="12"/>
  <c r="AB297" i="12"/>
  <c r="AC297" i="12"/>
  <c r="AD297" i="12"/>
  <c r="AE297" i="12"/>
  <c r="AG297" i="12"/>
  <c r="AH297" i="12"/>
  <c r="AI297" i="12"/>
  <c r="AJ297" i="12"/>
  <c r="AK297" i="12"/>
  <c r="AL297" i="12"/>
  <c r="AM297" i="12"/>
  <c r="AN297" i="12"/>
  <c r="AO297" i="12"/>
  <c r="AP297" i="12"/>
  <c r="AQ297" i="12"/>
  <c r="AR297" i="12"/>
  <c r="AS297" i="12"/>
  <c r="AT297" i="12"/>
  <c r="AU297" i="12"/>
  <c r="AV297" i="12"/>
  <c r="V298" i="12"/>
  <c r="W298" i="12"/>
  <c r="Y298" i="12"/>
  <c r="Z298" i="12"/>
  <c r="AA298" i="12"/>
  <c r="AB298" i="12"/>
  <c r="AC298" i="12"/>
  <c r="AD298" i="12"/>
  <c r="AE298" i="12"/>
  <c r="AG298" i="12"/>
  <c r="AH298" i="12"/>
  <c r="AI298" i="12"/>
  <c r="AJ298" i="12"/>
  <c r="AK298" i="12"/>
  <c r="AL298" i="12"/>
  <c r="AM298" i="12"/>
  <c r="AN298" i="12"/>
  <c r="AO298" i="12"/>
  <c r="AP298" i="12"/>
  <c r="AQ298" i="12"/>
  <c r="AR298" i="12"/>
  <c r="AS298" i="12"/>
  <c r="AT298" i="12"/>
  <c r="AU298" i="12"/>
  <c r="AV298" i="12"/>
  <c r="V299" i="12"/>
  <c r="W299" i="12"/>
  <c r="Y299" i="12"/>
  <c r="Z299" i="12"/>
  <c r="AA299" i="12"/>
  <c r="AB299" i="12"/>
  <c r="AC299" i="12"/>
  <c r="AD299" i="12"/>
  <c r="AE299" i="12"/>
  <c r="AG299" i="12"/>
  <c r="AH299" i="12"/>
  <c r="AI299" i="12"/>
  <c r="AJ299" i="12"/>
  <c r="AK299" i="12"/>
  <c r="AL299" i="12"/>
  <c r="AM299" i="12"/>
  <c r="AN299" i="12"/>
  <c r="AO299" i="12"/>
  <c r="AP299" i="12"/>
  <c r="AQ299" i="12"/>
  <c r="AR299" i="12"/>
  <c r="AS299" i="12"/>
  <c r="AT299" i="12"/>
  <c r="AU299" i="12"/>
  <c r="AV299" i="12"/>
  <c r="V300" i="12"/>
  <c r="W300" i="12"/>
  <c r="Y300" i="12"/>
  <c r="Z300" i="12"/>
  <c r="AA300" i="12"/>
  <c r="AB300" i="12"/>
  <c r="AC300" i="12"/>
  <c r="AD300" i="12"/>
  <c r="AE300" i="12"/>
  <c r="AG300" i="12"/>
  <c r="AH300" i="12"/>
  <c r="AI300" i="12"/>
  <c r="AJ300" i="12"/>
  <c r="AK300" i="12"/>
  <c r="AL300" i="12"/>
  <c r="AM300" i="12"/>
  <c r="AN300" i="12"/>
  <c r="AO300" i="12"/>
  <c r="AP300" i="12"/>
  <c r="AQ300" i="12"/>
  <c r="AR300" i="12"/>
  <c r="AS300" i="12"/>
  <c r="AT300" i="12"/>
  <c r="AU300" i="12"/>
  <c r="AV300" i="12"/>
  <c r="V301" i="12"/>
  <c r="W301" i="12"/>
  <c r="Y301" i="12"/>
  <c r="Z301" i="12"/>
  <c r="AA301" i="12"/>
  <c r="AB301" i="12"/>
  <c r="AC301" i="12"/>
  <c r="AD301" i="12"/>
  <c r="AE301" i="12"/>
  <c r="AG301" i="12"/>
  <c r="AH301" i="12"/>
  <c r="AI301" i="12"/>
  <c r="AJ301" i="12"/>
  <c r="AK301" i="12"/>
  <c r="AL301" i="12"/>
  <c r="AM301" i="12"/>
  <c r="AN301" i="12"/>
  <c r="AO301" i="12"/>
  <c r="AP301" i="12"/>
  <c r="AQ301" i="12"/>
  <c r="AR301" i="12"/>
  <c r="AS301" i="12"/>
  <c r="AT301" i="12"/>
  <c r="AU301" i="12"/>
  <c r="AV301" i="12"/>
  <c r="V302" i="12"/>
  <c r="W302" i="12"/>
  <c r="Y302" i="12"/>
  <c r="Z302" i="12"/>
  <c r="AA302" i="12"/>
  <c r="AB302" i="12"/>
  <c r="AC302" i="12"/>
  <c r="AD302" i="12"/>
  <c r="AE302" i="12"/>
  <c r="AG302" i="12"/>
  <c r="AH302" i="12"/>
  <c r="AI302" i="12"/>
  <c r="AJ302" i="12"/>
  <c r="AK302" i="12"/>
  <c r="AL302" i="12"/>
  <c r="AM302" i="12"/>
  <c r="AN302" i="12"/>
  <c r="AO302" i="12"/>
  <c r="AP302" i="12"/>
  <c r="AQ302" i="12"/>
  <c r="AR302" i="12"/>
  <c r="AS302" i="12"/>
  <c r="AT302" i="12"/>
  <c r="AU302" i="12"/>
  <c r="AV302" i="12"/>
  <c r="V303" i="12"/>
  <c r="W303" i="12"/>
  <c r="Y303" i="12"/>
  <c r="Z303" i="12"/>
  <c r="AA303" i="12"/>
  <c r="AB303" i="12"/>
  <c r="AC303" i="12"/>
  <c r="AD303" i="12"/>
  <c r="AE303" i="12"/>
  <c r="AG303" i="12"/>
  <c r="AH303" i="12"/>
  <c r="AI303" i="12"/>
  <c r="AJ303" i="12"/>
  <c r="AK303" i="12"/>
  <c r="AL303" i="12"/>
  <c r="AM303" i="12"/>
  <c r="AN303" i="12"/>
  <c r="AO303" i="12"/>
  <c r="AP303" i="12"/>
  <c r="AQ303" i="12"/>
  <c r="AR303" i="12"/>
  <c r="AS303" i="12"/>
  <c r="AT303" i="12"/>
  <c r="AU303" i="12"/>
  <c r="AV303" i="12"/>
  <c r="V304" i="12"/>
  <c r="W304" i="12"/>
  <c r="Y304" i="12"/>
  <c r="Z304" i="12"/>
  <c r="AA304" i="12"/>
  <c r="AB304" i="12"/>
  <c r="AC304" i="12"/>
  <c r="AD304" i="12"/>
  <c r="AE304" i="12"/>
  <c r="AG304" i="12"/>
  <c r="AH304" i="12"/>
  <c r="AI304" i="12"/>
  <c r="AJ304" i="12"/>
  <c r="AK304" i="12"/>
  <c r="AL304" i="12"/>
  <c r="AM304" i="12"/>
  <c r="AN304" i="12"/>
  <c r="AO304" i="12"/>
  <c r="AP304" i="12"/>
  <c r="AQ304" i="12"/>
  <c r="AR304" i="12"/>
  <c r="AS304" i="12"/>
  <c r="AT304" i="12"/>
  <c r="AU304" i="12"/>
  <c r="AV304" i="12"/>
  <c r="V305" i="12"/>
  <c r="W305" i="12"/>
  <c r="Y305" i="12"/>
  <c r="Z305" i="12"/>
  <c r="AA305" i="12"/>
  <c r="AB305" i="12"/>
  <c r="AC305" i="12"/>
  <c r="AD305" i="12"/>
  <c r="AE305" i="12"/>
  <c r="AG305" i="12"/>
  <c r="AH305" i="12"/>
  <c r="AI305" i="12"/>
  <c r="AJ305" i="12"/>
  <c r="AK305" i="12"/>
  <c r="AL305" i="12"/>
  <c r="AM305" i="12"/>
  <c r="AN305" i="12"/>
  <c r="AO305" i="12"/>
  <c r="AP305" i="12"/>
  <c r="AQ305" i="12"/>
  <c r="AR305" i="12"/>
  <c r="AS305" i="12"/>
  <c r="AT305" i="12"/>
  <c r="AU305" i="12"/>
  <c r="AV305" i="12"/>
  <c r="V306" i="12"/>
  <c r="W306" i="12"/>
  <c r="Y306" i="12"/>
  <c r="Z306" i="12"/>
  <c r="AA306" i="12"/>
  <c r="AB306" i="12"/>
  <c r="AC306" i="12"/>
  <c r="AD306" i="12"/>
  <c r="AE306" i="12"/>
  <c r="AG306" i="12"/>
  <c r="AH306" i="12"/>
  <c r="AI306" i="12"/>
  <c r="AJ306" i="12"/>
  <c r="AK306" i="12"/>
  <c r="AL306" i="12"/>
  <c r="AM306" i="12"/>
  <c r="AN306" i="12"/>
  <c r="AO306" i="12"/>
  <c r="AP306" i="12"/>
  <c r="AQ306" i="12"/>
  <c r="AR306" i="12"/>
  <c r="AS306" i="12"/>
  <c r="AT306" i="12"/>
  <c r="AU306" i="12"/>
  <c r="AV306" i="12"/>
  <c r="V307" i="12"/>
  <c r="W307" i="12"/>
  <c r="Y307" i="12"/>
  <c r="Z307" i="12"/>
  <c r="AA307" i="12"/>
  <c r="AB307" i="12"/>
  <c r="AC307" i="12"/>
  <c r="AD307" i="12"/>
  <c r="AE307" i="12"/>
  <c r="AG307" i="12"/>
  <c r="AH307" i="12"/>
  <c r="AI307" i="12"/>
  <c r="AJ307" i="12"/>
  <c r="AK307" i="12"/>
  <c r="AL307" i="12"/>
  <c r="AM307" i="12"/>
  <c r="AN307" i="12"/>
  <c r="AO307" i="12"/>
  <c r="AP307" i="12"/>
  <c r="AQ307" i="12"/>
  <c r="AR307" i="12"/>
  <c r="AS307" i="12"/>
  <c r="AT307" i="12"/>
  <c r="AU307" i="12"/>
  <c r="AV307" i="12"/>
  <c r="V308" i="12"/>
  <c r="W308" i="12"/>
  <c r="Y308" i="12"/>
  <c r="Z308" i="12"/>
  <c r="AA308" i="12"/>
  <c r="AB308" i="12"/>
  <c r="AC308" i="12"/>
  <c r="AD308" i="12"/>
  <c r="AE308" i="12"/>
  <c r="AG308" i="12"/>
  <c r="AH308" i="12"/>
  <c r="AI308" i="12"/>
  <c r="AJ308" i="12"/>
  <c r="AK308" i="12"/>
  <c r="AL308" i="12"/>
  <c r="AM308" i="12"/>
  <c r="AN308" i="12"/>
  <c r="AO308" i="12"/>
  <c r="AP308" i="12"/>
  <c r="AQ308" i="12"/>
  <c r="AR308" i="12"/>
  <c r="AS308" i="12"/>
  <c r="AT308" i="12"/>
  <c r="AU308" i="12"/>
  <c r="AV308" i="12"/>
  <c r="V309" i="12"/>
  <c r="W309" i="12"/>
  <c r="Y309" i="12"/>
  <c r="Z309" i="12"/>
  <c r="AA309" i="12"/>
  <c r="AB309" i="12"/>
  <c r="AC309" i="12"/>
  <c r="AD309" i="12"/>
  <c r="AE309" i="12"/>
  <c r="AG309" i="12"/>
  <c r="AH309" i="12"/>
  <c r="AI309" i="12"/>
  <c r="AJ309" i="12"/>
  <c r="AK309" i="12"/>
  <c r="AL309" i="12"/>
  <c r="AM309" i="12"/>
  <c r="AN309" i="12"/>
  <c r="AO309" i="12"/>
  <c r="AP309" i="12"/>
  <c r="AQ309" i="12"/>
  <c r="AR309" i="12"/>
  <c r="AS309" i="12"/>
  <c r="AT309" i="12"/>
  <c r="AU309" i="12"/>
  <c r="AV309" i="12"/>
  <c r="V310" i="12"/>
  <c r="W310" i="12"/>
  <c r="Y310" i="12"/>
  <c r="Z310" i="12"/>
  <c r="AA310" i="12"/>
  <c r="AB310" i="12"/>
  <c r="AC310" i="12"/>
  <c r="AD310" i="12"/>
  <c r="AE310" i="12"/>
  <c r="AG310" i="12"/>
  <c r="AH310" i="12"/>
  <c r="AI310" i="12"/>
  <c r="AJ310" i="12"/>
  <c r="AK310" i="12"/>
  <c r="AL310" i="12"/>
  <c r="AM310" i="12"/>
  <c r="AN310" i="12"/>
  <c r="AO310" i="12"/>
  <c r="AP310" i="12"/>
  <c r="AQ310" i="12"/>
  <c r="AR310" i="12"/>
  <c r="AS310" i="12"/>
  <c r="AT310" i="12"/>
  <c r="AU310" i="12"/>
  <c r="AV310" i="12"/>
  <c r="V311" i="12"/>
  <c r="W311" i="12"/>
  <c r="Y311" i="12"/>
  <c r="Z311" i="12"/>
  <c r="AA311" i="12"/>
  <c r="AB311" i="12"/>
  <c r="AC311" i="12"/>
  <c r="AD311" i="12"/>
  <c r="AE311" i="12"/>
  <c r="AG311" i="12"/>
  <c r="AH311" i="12"/>
  <c r="AI311" i="12"/>
  <c r="AJ311" i="12"/>
  <c r="AK311" i="12"/>
  <c r="AL311" i="12"/>
  <c r="AM311" i="12"/>
  <c r="AN311" i="12"/>
  <c r="AO311" i="12"/>
  <c r="AP311" i="12"/>
  <c r="AQ311" i="12"/>
  <c r="AR311" i="12"/>
  <c r="AS311" i="12"/>
  <c r="AT311" i="12"/>
  <c r="AU311" i="12"/>
  <c r="AV311" i="12"/>
  <c r="V312" i="12"/>
  <c r="W312" i="12"/>
  <c r="Y312" i="12"/>
  <c r="Z312" i="12"/>
  <c r="AA312" i="12"/>
  <c r="AB312" i="12"/>
  <c r="AC312" i="12"/>
  <c r="AD312" i="12"/>
  <c r="AE312" i="12"/>
  <c r="AG312" i="12"/>
  <c r="AH312" i="12"/>
  <c r="AI312" i="12"/>
  <c r="AJ312" i="12"/>
  <c r="AK312" i="12"/>
  <c r="AL312" i="12"/>
  <c r="AM312" i="12"/>
  <c r="AN312" i="12"/>
  <c r="AO312" i="12"/>
  <c r="AP312" i="12"/>
  <c r="AQ312" i="12"/>
  <c r="AR312" i="12"/>
  <c r="AS312" i="12"/>
  <c r="AT312" i="12"/>
  <c r="AU312" i="12"/>
  <c r="AV312" i="12"/>
  <c r="V313" i="12"/>
  <c r="W313" i="12"/>
  <c r="Y313" i="12"/>
  <c r="Z313" i="12"/>
  <c r="AA313" i="12"/>
  <c r="AB313" i="12"/>
  <c r="AC313" i="12"/>
  <c r="AD313" i="12"/>
  <c r="AE313" i="12"/>
  <c r="AG313" i="12"/>
  <c r="AH313" i="12"/>
  <c r="AI313" i="12"/>
  <c r="AJ313" i="12"/>
  <c r="AK313" i="12"/>
  <c r="AL313" i="12"/>
  <c r="AM313" i="12"/>
  <c r="AN313" i="12"/>
  <c r="AO313" i="12"/>
  <c r="AP313" i="12"/>
  <c r="AQ313" i="12"/>
  <c r="AR313" i="12"/>
  <c r="AS313" i="12"/>
  <c r="AT313" i="12"/>
  <c r="AU313" i="12"/>
  <c r="AV313" i="12"/>
  <c r="V314" i="12"/>
  <c r="W314" i="12"/>
  <c r="Y314" i="12"/>
  <c r="Z314" i="12"/>
  <c r="AA314" i="12"/>
  <c r="AB314" i="12"/>
  <c r="AC314" i="12"/>
  <c r="AD314" i="12"/>
  <c r="AE314" i="12"/>
  <c r="AG314" i="12"/>
  <c r="AH314" i="12"/>
  <c r="AI314" i="12"/>
  <c r="AJ314" i="12"/>
  <c r="AK314" i="12"/>
  <c r="AL314" i="12"/>
  <c r="AM314" i="12"/>
  <c r="AN314" i="12"/>
  <c r="AO314" i="12"/>
  <c r="AP314" i="12"/>
  <c r="AQ314" i="12"/>
  <c r="AR314" i="12"/>
  <c r="AS314" i="12"/>
  <c r="AT314" i="12"/>
  <c r="AU314" i="12"/>
  <c r="AV314" i="12"/>
  <c r="V315" i="12"/>
  <c r="W315" i="12"/>
  <c r="Y315" i="12"/>
  <c r="Z315" i="12"/>
  <c r="AA315" i="12"/>
  <c r="AB315" i="12"/>
  <c r="AC315" i="12"/>
  <c r="AD315" i="12"/>
  <c r="AE315" i="12"/>
  <c r="AG315" i="12"/>
  <c r="AH315" i="12"/>
  <c r="AI315" i="12"/>
  <c r="AJ315" i="12"/>
  <c r="AK315" i="12"/>
  <c r="AL315" i="12"/>
  <c r="AM315" i="12"/>
  <c r="AN315" i="12"/>
  <c r="AO315" i="12"/>
  <c r="AP315" i="12"/>
  <c r="AQ315" i="12"/>
  <c r="AR315" i="12"/>
  <c r="AS315" i="12"/>
  <c r="AT315" i="12"/>
  <c r="AU315" i="12"/>
  <c r="AV315" i="12"/>
  <c r="V316" i="12"/>
  <c r="W316" i="12"/>
  <c r="Y316" i="12"/>
  <c r="Z316" i="12"/>
  <c r="AA316" i="12"/>
  <c r="AB316" i="12"/>
  <c r="AC316" i="12"/>
  <c r="AD316" i="12"/>
  <c r="AE316" i="12"/>
  <c r="AG316" i="12"/>
  <c r="AH316" i="12"/>
  <c r="AI316" i="12"/>
  <c r="AJ316" i="12"/>
  <c r="AK316" i="12"/>
  <c r="AL316" i="12"/>
  <c r="AM316" i="12"/>
  <c r="AN316" i="12"/>
  <c r="AO316" i="12"/>
  <c r="AP316" i="12"/>
  <c r="AQ316" i="12"/>
  <c r="AR316" i="12"/>
  <c r="AS316" i="12"/>
  <c r="AT316" i="12"/>
  <c r="AU316" i="12"/>
  <c r="AV316" i="12"/>
  <c r="V290" i="12"/>
  <c r="W290" i="12"/>
  <c r="Y290" i="12"/>
  <c r="Z290" i="12"/>
  <c r="AA290" i="12"/>
  <c r="AB290" i="12"/>
  <c r="AC290" i="12"/>
  <c r="AD290" i="12"/>
  <c r="AE290" i="12"/>
  <c r="AG290" i="12"/>
  <c r="AH290" i="12"/>
  <c r="AI290" i="12"/>
  <c r="AJ290" i="12"/>
  <c r="AK290" i="12"/>
  <c r="AL290" i="12"/>
  <c r="AM290" i="12"/>
  <c r="AN290" i="12"/>
  <c r="AO290" i="12"/>
  <c r="AP290" i="12"/>
  <c r="AQ290" i="12"/>
  <c r="AR290" i="12"/>
  <c r="AS290" i="12"/>
  <c r="AT290" i="12"/>
  <c r="AU290" i="12"/>
  <c r="AV290" i="12"/>
  <c r="V318" i="12"/>
  <c r="W318" i="12"/>
  <c r="Y318" i="12"/>
  <c r="Z318" i="12"/>
  <c r="AA318" i="12"/>
  <c r="AB318" i="12"/>
  <c r="AC318" i="12"/>
  <c r="AD318" i="12"/>
  <c r="AE318" i="12"/>
  <c r="AG318" i="12"/>
  <c r="AH318" i="12"/>
  <c r="AI318" i="12"/>
  <c r="AJ318" i="12"/>
  <c r="AK318" i="12"/>
  <c r="AL318" i="12"/>
  <c r="AM318" i="12"/>
  <c r="AN318" i="12"/>
  <c r="AO318" i="12"/>
  <c r="AP318" i="12"/>
  <c r="AQ318" i="12"/>
  <c r="AR318" i="12"/>
  <c r="AS318" i="12"/>
  <c r="AT318" i="12"/>
  <c r="AU318" i="12"/>
  <c r="AV318" i="12"/>
  <c r="V319" i="12"/>
  <c r="W319" i="12"/>
  <c r="Y319" i="12"/>
  <c r="Z319" i="12"/>
  <c r="AA319" i="12"/>
  <c r="AB319" i="12"/>
  <c r="AC319" i="12"/>
  <c r="AD319" i="12"/>
  <c r="AE319" i="12"/>
  <c r="AG319" i="12"/>
  <c r="AH319" i="12"/>
  <c r="AI319" i="12"/>
  <c r="AJ319" i="12"/>
  <c r="AK319" i="12"/>
  <c r="AL319" i="12"/>
  <c r="AM319" i="12"/>
  <c r="AN319" i="12"/>
  <c r="AO319" i="12"/>
  <c r="AP319" i="12"/>
  <c r="AQ319" i="12"/>
  <c r="AR319" i="12"/>
  <c r="AS319" i="12"/>
  <c r="AT319" i="12"/>
  <c r="AU319" i="12"/>
  <c r="AV319" i="12"/>
  <c r="V320" i="12"/>
  <c r="W320" i="12"/>
  <c r="Y320" i="12"/>
  <c r="Z320" i="12"/>
  <c r="AA320" i="12"/>
  <c r="AB320" i="12"/>
  <c r="AC320" i="12"/>
  <c r="AD320" i="12"/>
  <c r="AE320" i="12"/>
  <c r="AG320" i="12"/>
  <c r="AH320" i="12"/>
  <c r="AI320" i="12"/>
  <c r="AJ320" i="12"/>
  <c r="AK320" i="12"/>
  <c r="AL320" i="12"/>
  <c r="AM320" i="12"/>
  <c r="AN320" i="12"/>
  <c r="AO320" i="12"/>
  <c r="AP320" i="12"/>
  <c r="AQ320" i="12"/>
  <c r="AR320" i="12"/>
  <c r="AS320" i="12"/>
  <c r="AT320" i="12"/>
  <c r="AU320" i="12"/>
  <c r="AV320" i="12"/>
  <c r="S287" i="12" a="1"/>
  <c r="S286" i="12" a="1"/>
  <c r="P286" i="12" s="1"/>
  <c r="S285" i="12" a="1"/>
  <c r="S284" i="12" a="1"/>
  <c r="S284" i="12" s="1"/>
  <c r="L284" i="12" s="1"/>
  <c r="S283" i="12" a="1"/>
  <c r="S282" i="12" a="1"/>
  <c r="S281" i="12" a="1"/>
  <c r="S280" i="12" a="1"/>
  <c r="S279" i="12" a="1"/>
  <c r="S278" i="12" a="1"/>
  <c r="S277" i="12" a="1"/>
  <c r="P277" i="12" s="1"/>
  <c r="S266" i="12" a="1"/>
  <c r="S266" i="12" s="1"/>
  <c r="L266" i="12" s="1"/>
  <c r="S231" i="12" a="1"/>
  <c r="S274" i="12" a="1"/>
  <c r="S273" i="12" a="1"/>
  <c r="N273" i="12" s="1"/>
  <c r="S272" i="12" a="1"/>
  <c r="S272" i="12" s="1"/>
  <c r="L272" i="12" s="1"/>
  <c r="S271" i="12" a="1"/>
  <c r="N271" i="12" s="1"/>
  <c r="S270" i="12" a="1"/>
  <c r="S269" i="12" a="1"/>
  <c r="N269" i="12" s="1"/>
  <c r="S268" i="12" a="1"/>
  <c r="S267" i="12" a="1"/>
  <c r="S138" i="12" a="1"/>
  <c r="P138" i="12" s="1"/>
  <c r="S265" i="12" a="1"/>
  <c r="P265" i="12" s="1"/>
  <c r="S264" i="12" a="1"/>
  <c r="N264" i="12" s="1"/>
  <c r="S263" i="12" a="1"/>
  <c r="S262" i="12" a="1"/>
  <c r="P262" i="12" s="1"/>
  <c r="S261" i="12" a="1"/>
  <c r="S199" i="12" a="1"/>
  <c r="S199" i="12" s="1"/>
  <c r="L199" i="12" s="1"/>
  <c r="S260" i="12" a="1"/>
  <c r="S260" i="12" s="1"/>
  <c r="L260" i="12" s="1"/>
  <c r="S258" i="12" a="1"/>
  <c r="S258" i="12" s="1"/>
  <c r="L258" i="12" s="1"/>
  <c r="S257" i="12" a="1"/>
  <c r="S257" i="12" s="1"/>
  <c r="L257" i="12" s="1"/>
  <c r="S256" i="12" a="1"/>
  <c r="S255" i="12" a="1"/>
  <c r="N255" i="12" s="1"/>
  <c r="S254" i="12" a="1"/>
  <c r="P254" i="12" s="1"/>
  <c r="S253" i="12" a="1"/>
  <c r="P253" i="12" s="1"/>
  <c r="S252" i="12" a="1"/>
  <c r="S137" i="12" a="1"/>
  <c r="S250" i="12" a="1"/>
  <c r="S249" i="12" a="1"/>
  <c r="N249" i="12" s="1"/>
  <c r="S248" i="12" a="1"/>
  <c r="S248" i="12" s="1"/>
  <c r="L248" i="12" s="1"/>
  <c r="S247" i="12" a="1"/>
  <c r="S247" i="12" s="1"/>
  <c r="L247" i="12" s="1"/>
  <c r="S246" i="12" a="1"/>
  <c r="S246" i="12" s="1"/>
  <c r="L246" i="12" s="1"/>
  <c r="S245" i="12" a="1"/>
  <c r="N245" i="12" s="1"/>
  <c r="S244" i="12" a="1"/>
  <c r="P244" i="12" s="1"/>
  <c r="S243" i="12" a="1"/>
  <c r="S242" i="12" a="1"/>
  <c r="P242" i="12" s="1"/>
  <c r="S241" i="12" a="1"/>
  <c r="P241" i="12" s="1"/>
  <c r="S240" i="12" a="1"/>
  <c r="S239" i="12" a="1"/>
  <c r="P239" i="12" s="1"/>
  <c r="S259" i="12" a="1"/>
  <c r="N259" i="12" s="1"/>
  <c r="V259" i="12"/>
  <c r="W259" i="12"/>
  <c r="Y259" i="12"/>
  <c r="Z259" i="12"/>
  <c r="AA259" i="12"/>
  <c r="AB259" i="12"/>
  <c r="AC259" i="12"/>
  <c r="AD259" i="12"/>
  <c r="AE259" i="12"/>
  <c r="AG259" i="12"/>
  <c r="AH259" i="12"/>
  <c r="AI259" i="12"/>
  <c r="AJ259" i="12"/>
  <c r="AK259" i="12"/>
  <c r="AL259" i="12"/>
  <c r="AM259" i="12"/>
  <c r="AN259" i="12"/>
  <c r="AO259" i="12"/>
  <c r="AP259" i="12"/>
  <c r="AQ259" i="12"/>
  <c r="AR259" i="12"/>
  <c r="AS259" i="12"/>
  <c r="AT259" i="12"/>
  <c r="AU259" i="12"/>
  <c r="AV259" i="12"/>
  <c r="V239" i="12"/>
  <c r="W239" i="12"/>
  <c r="Y239" i="12"/>
  <c r="Z239" i="12"/>
  <c r="AA239" i="12"/>
  <c r="AB239" i="12"/>
  <c r="AC239" i="12"/>
  <c r="AD239" i="12"/>
  <c r="AE239" i="12"/>
  <c r="AG239" i="12"/>
  <c r="AH239" i="12"/>
  <c r="AI239" i="12"/>
  <c r="AJ239" i="12"/>
  <c r="AK239" i="12"/>
  <c r="AL239" i="12"/>
  <c r="AM239" i="12"/>
  <c r="AN239" i="12"/>
  <c r="AO239" i="12"/>
  <c r="AP239" i="12"/>
  <c r="AQ239" i="12"/>
  <c r="AR239" i="12"/>
  <c r="AS239" i="12"/>
  <c r="AT239" i="12"/>
  <c r="AU239" i="12"/>
  <c r="AV239" i="12"/>
  <c r="V240" i="12"/>
  <c r="W240" i="12"/>
  <c r="Y240" i="12"/>
  <c r="Z240" i="12"/>
  <c r="AA240" i="12"/>
  <c r="AB240" i="12"/>
  <c r="AC240" i="12"/>
  <c r="AD240" i="12"/>
  <c r="AE240" i="12"/>
  <c r="AG240" i="12"/>
  <c r="AH240" i="12"/>
  <c r="AI240" i="12"/>
  <c r="AJ240" i="12"/>
  <c r="AK240" i="12"/>
  <c r="AL240" i="12"/>
  <c r="AM240" i="12"/>
  <c r="AN240" i="12"/>
  <c r="AO240" i="12"/>
  <c r="AP240" i="12"/>
  <c r="AQ240" i="12"/>
  <c r="AR240" i="12"/>
  <c r="AS240" i="12"/>
  <c r="AT240" i="12"/>
  <c r="AU240" i="12"/>
  <c r="AV240" i="12"/>
  <c r="V241" i="12"/>
  <c r="W241" i="12"/>
  <c r="Y241" i="12"/>
  <c r="Z241" i="12"/>
  <c r="AA241" i="12"/>
  <c r="AB241" i="12"/>
  <c r="AC241" i="12"/>
  <c r="AD241" i="12"/>
  <c r="AE241" i="12"/>
  <c r="AG241" i="12"/>
  <c r="AH241" i="12"/>
  <c r="AI241" i="12"/>
  <c r="AJ241" i="12"/>
  <c r="AK241" i="12"/>
  <c r="AL241" i="12"/>
  <c r="AM241" i="12"/>
  <c r="AN241" i="12"/>
  <c r="AO241" i="12"/>
  <c r="AP241" i="12"/>
  <c r="AQ241" i="12"/>
  <c r="AR241" i="12"/>
  <c r="AS241" i="12"/>
  <c r="AT241" i="12"/>
  <c r="AU241" i="12"/>
  <c r="AV241" i="12"/>
  <c r="V242" i="12"/>
  <c r="W242" i="12"/>
  <c r="Y242" i="12"/>
  <c r="Z242" i="12"/>
  <c r="AA242" i="12"/>
  <c r="AB242" i="12"/>
  <c r="AC242" i="12"/>
  <c r="AD242" i="12"/>
  <c r="AE242" i="12"/>
  <c r="AG242" i="12"/>
  <c r="AH242" i="12"/>
  <c r="AI242" i="12"/>
  <c r="AJ242" i="12"/>
  <c r="AK242" i="12"/>
  <c r="AL242" i="12"/>
  <c r="AM242" i="12"/>
  <c r="AN242" i="12"/>
  <c r="AO242" i="12"/>
  <c r="AP242" i="12"/>
  <c r="AQ242" i="12"/>
  <c r="AR242" i="12"/>
  <c r="AS242" i="12"/>
  <c r="AT242" i="12"/>
  <c r="AU242" i="12"/>
  <c r="AV242" i="12"/>
  <c r="V243" i="12"/>
  <c r="W243" i="12"/>
  <c r="Y243" i="12"/>
  <c r="Z243" i="12"/>
  <c r="AA243" i="12"/>
  <c r="AB243" i="12"/>
  <c r="AC243" i="12"/>
  <c r="AD243" i="12"/>
  <c r="AE243" i="12"/>
  <c r="AG243" i="12"/>
  <c r="AH243" i="12"/>
  <c r="AI243" i="12"/>
  <c r="AJ243" i="12"/>
  <c r="AK243" i="12"/>
  <c r="AL243" i="12"/>
  <c r="AM243" i="12"/>
  <c r="AN243" i="12"/>
  <c r="AO243" i="12"/>
  <c r="AP243" i="12"/>
  <c r="AQ243" i="12"/>
  <c r="AR243" i="12"/>
  <c r="AS243" i="12"/>
  <c r="AT243" i="12"/>
  <c r="AU243" i="12"/>
  <c r="AV243" i="12"/>
  <c r="V244" i="12"/>
  <c r="W244" i="12"/>
  <c r="Y244" i="12"/>
  <c r="Z244" i="12"/>
  <c r="AA244" i="12"/>
  <c r="AB244" i="12"/>
  <c r="AC244" i="12"/>
  <c r="AD244" i="12"/>
  <c r="AE244" i="12"/>
  <c r="AG244" i="12"/>
  <c r="AH244" i="12"/>
  <c r="AI244" i="12"/>
  <c r="AJ244" i="12"/>
  <c r="AK244" i="12"/>
  <c r="AL244" i="12"/>
  <c r="AM244" i="12"/>
  <c r="AN244" i="12"/>
  <c r="AO244" i="12"/>
  <c r="AP244" i="12"/>
  <c r="AQ244" i="12"/>
  <c r="AR244" i="12"/>
  <c r="AS244" i="12"/>
  <c r="AT244" i="12"/>
  <c r="AU244" i="12"/>
  <c r="AV244" i="12"/>
  <c r="V245" i="12"/>
  <c r="W245" i="12"/>
  <c r="Y245" i="12"/>
  <c r="Z245" i="12"/>
  <c r="AA245" i="12"/>
  <c r="AB245" i="12"/>
  <c r="AC245" i="12"/>
  <c r="AD245" i="12"/>
  <c r="AE245" i="12"/>
  <c r="AG245" i="12"/>
  <c r="AH245" i="12"/>
  <c r="AI245" i="12"/>
  <c r="AJ245" i="12"/>
  <c r="AK245" i="12"/>
  <c r="AL245" i="12"/>
  <c r="AM245" i="12"/>
  <c r="AN245" i="12"/>
  <c r="AO245" i="12"/>
  <c r="AP245" i="12"/>
  <c r="AQ245" i="12"/>
  <c r="AR245" i="12"/>
  <c r="AS245" i="12"/>
  <c r="AT245" i="12"/>
  <c r="AU245" i="12"/>
  <c r="AV245" i="12"/>
  <c r="V246" i="12"/>
  <c r="W246" i="12"/>
  <c r="Y246" i="12"/>
  <c r="Z246" i="12"/>
  <c r="AA246" i="12"/>
  <c r="AB246" i="12"/>
  <c r="AC246" i="12"/>
  <c r="AD246" i="12"/>
  <c r="AE246" i="12"/>
  <c r="AG246" i="12"/>
  <c r="AH246" i="12"/>
  <c r="AI246" i="12"/>
  <c r="AJ246" i="12"/>
  <c r="AK246" i="12"/>
  <c r="AL246" i="12"/>
  <c r="AM246" i="12"/>
  <c r="AN246" i="12"/>
  <c r="AO246" i="12"/>
  <c r="AP246" i="12"/>
  <c r="AQ246" i="12"/>
  <c r="AR246" i="12"/>
  <c r="AS246" i="12"/>
  <c r="AT246" i="12"/>
  <c r="AU246" i="12"/>
  <c r="AV246" i="12"/>
  <c r="V247" i="12"/>
  <c r="W247" i="12"/>
  <c r="Y247" i="12"/>
  <c r="Z247" i="12"/>
  <c r="AA247" i="12"/>
  <c r="AB247" i="12"/>
  <c r="AC247" i="12"/>
  <c r="AD247" i="12"/>
  <c r="AE247" i="12"/>
  <c r="AG247" i="12"/>
  <c r="AH247" i="12"/>
  <c r="AI247" i="12"/>
  <c r="AJ247" i="12"/>
  <c r="AK247" i="12"/>
  <c r="AL247" i="12"/>
  <c r="AM247" i="12"/>
  <c r="AN247" i="12"/>
  <c r="AO247" i="12"/>
  <c r="AP247" i="12"/>
  <c r="AQ247" i="12"/>
  <c r="AR247" i="12"/>
  <c r="AS247" i="12"/>
  <c r="AT247" i="12"/>
  <c r="AU247" i="12"/>
  <c r="AV247" i="12"/>
  <c r="V248" i="12"/>
  <c r="W248" i="12"/>
  <c r="Y248" i="12"/>
  <c r="Z248" i="12"/>
  <c r="AA248" i="12"/>
  <c r="AB248" i="12"/>
  <c r="AC248" i="12"/>
  <c r="AD248" i="12"/>
  <c r="AE248" i="12"/>
  <c r="AG248" i="12"/>
  <c r="AH248" i="12"/>
  <c r="AI248" i="12"/>
  <c r="AJ248" i="12"/>
  <c r="AK248" i="12"/>
  <c r="AL248" i="12"/>
  <c r="AM248" i="12"/>
  <c r="AN248" i="12"/>
  <c r="AO248" i="12"/>
  <c r="AP248" i="12"/>
  <c r="AQ248" i="12"/>
  <c r="AR248" i="12"/>
  <c r="AS248" i="12"/>
  <c r="AT248" i="12"/>
  <c r="AU248" i="12"/>
  <c r="AV248" i="12"/>
  <c r="V249" i="12"/>
  <c r="W249" i="12"/>
  <c r="Y249" i="12"/>
  <c r="Z249" i="12"/>
  <c r="AA249" i="12"/>
  <c r="AB249" i="12"/>
  <c r="AC249" i="12"/>
  <c r="AD249" i="12"/>
  <c r="AE249" i="12"/>
  <c r="AG249" i="12"/>
  <c r="AH249" i="12"/>
  <c r="AI249" i="12"/>
  <c r="AJ249" i="12"/>
  <c r="AK249" i="12"/>
  <c r="AL249" i="12"/>
  <c r="AM249" i="12"/>
  <c r="AN249" i="12"/>
  <c r="AO249" i="12"/>
  <c r="AP249" i="12"/>
  <c r="AQ249" i="12"/>
  <c r="AR249" i="12"/>
  <c r="AS249" i="12"/>
  <c r="AT249" i="12"/>
  <c r="AU249" i="12"/>
  <c r="AV249" i="12"/>
  <c r="V250" i="12"/>
  <c r="W250" i="12"/>
  <c r="Y250" i="12"/>
  <c r="Z250" i="12"/>
  <c r="AA250" i="12"/>
  <c r="AB250" i="12"/>
  <c r="AC250" i="12"/>
  <c r="AD250" i="12"/>
  <c r="AE250" i="12"/>
  <c r="AG250" i="12"/>
  <c r="AH250" i="12"/>
  <c r="AI250" i="12"/>
  <c r="AJ250" i="12"/>
  <c r="AK250" i="12"/>
  <c r="AL250" i="12"/>
  <c r="AM250" i="12"/>
  <c r="AN250" i="12"/>
  <c r="AO250" i="12"/>
  <c r="AP250" i="12"/>
  <c r="AQ250" i="12"/>
  <c r="AR250" i="12"/>
  <c r="AS250" i="12"/>
  <c r="AT250" i="12"/>
  <c r="AU250" i="12"/>
  <c r="AV250" i="12"/>
  <c r="V137" i="12"/>
  <c r="W137" i="12"/>
  <c r="Y137" i="12"/>
  <c r="Z137" i="12"/>
  <c r="AA137" i="12"/>
  <c r="AB137" i="12"/>
  <c r="AC137" i="12"/>
  <c r="AD137" i="12"/>
  <c r="AE137" i="12"/>
  <c r="AG137" i="12"/>
  <c r="AH137" i="12"/>
  <c r="AI137" i="12"/>
  <c r="AJ137" i="12"/>
  <c r="AK137" i="12"/>
  <c r="AL137" i="12"/>
  <c r="AM137" i="12"/>
  <c r="AN137" i="12"/>
  <c r="AO137" i="12"/>
  <c r="AP137" i="12"/>
  <c r="AQ137" i="12"/>
  <c r="AR137" i="12"/>
  <c r="AS137" i="12"/>
  <c r="AT137" i="12"/>
  <c r="AU137" i="12"/>
  <c r="AV137" i="12"/>
  <c r="V252" i="12"/>
  <c r="W252" i="12"/>
  <c r="Y252" i="12"/>
  <c r="Z252" i="12"/>
  <c r="AA252" i="12"/>
  <c r="AB252" i="12"/>
  <c r="AC252" i="12"/>
  <c r="AD252" i="12"/>
  <c r="AE252" i="12"/>
  <c r="AG252" i="12"/>
  <c r="AH252" i="12"/>
  <c r="AI252" i="12"/>
  <c r="AJ252" i="12"/>
  <c r="AK252" i="12"/>
  <c r="AL252" i="12"/>
  <c r="AM252" i="12"/>
  <c r="AN252" i="12"/>
  <c r="AO252" i="12"/>
  <c r="AP252" i="12"/>
  <c r="AQ252" i="12"/>
  <c r="AR252" i="12"/>
  <c r="AS252" i="12"/>
  <c r="AT252" i="12"/>
  <c r="AU252" i="12"/>
  <c r="AV252" i="12"/>
  <c r="V253" i="12"/>
  <c r="W253" i="12"/>
  <c r="Y253" i="12"/>
  <c r="Z253" i="12"/>
  <c r="AA253" i="12"/>
  <c r="AB253" i="12"/>
  <c r="AC253" i="12"/>
  <c r="AD253" i="12"/>
  <c r="AE253" i="12"/>
  <c r="AG253" i="12"/>
  <c r="AH253" i="12"/>
  <c r="AI253" i="12"/>
  <c r="AJ253" i="12"/>
  <c r="AK253" i="12"/>
  <c r="AL253" i="12"/>
  <c r="AM253" i="12"/>
  <c r="AN253" i="12"/>
  <c r="AO253" i="12"/>
  <c r="AP253" i="12"/>
  <c r="AQ253" i="12"/>
  <c r="AR253" i="12"/>
  <c r="AS253" i="12"/>
  <c r="AT253" i="12"/>
  <c r="AU253" i="12"/>
  <c r="AV253" i="12"/>
  <c r="V254" i="12"/>
  <c r="W254" i="12"/>
  <c r="Y254" i="12"/>
  <c r="Z254" i="12"/>
  <c r="AA254" i="12"/>
  <c r="AB254" i="12"/>
  <c r="AC254" i="12"/>
  <c r="AD254" i="12"/>
  <c r="AE254" i="12"/>
  <c r="AG254" i="12"/>
  <c r="AH254" i="12"/>
  <c r="AI254" i="12"/>
  <c r="AJ254" i="12"/>
  <c r="AK254" i="12"/>
  <c r="AL254" i="12"/>
  <c r="AM254" i="12"/>
  <c r="AN254" i="12"/>
  <c r="AO254" i="12"/>
  <c r="AP254" i="12"/>
  <c r="AQ254" i="12"/>
  <c r="AR254" i="12"/>
  <c r="AS254" i="12"/>
  <c r="AT254" i="12"/>
  <c r="AU254" i="12"/>
  <c r="AV254" i="12"/>
  <c r="V255" i="12"/>
  <c r="W255" i="12"/>
  <c r="Y255" i="12"/>
  <c r="Z255" i="12"/>
  <c r="AA255" i="12"/>
  <c r="AB255" i="12"/>
  <c r="AC255" i="12"/>
  <c r="AD255" i="12"/>
  <c r="AE255" i="12"/>
  <c r="AG255" i="12"/>
  <c r="AH255" i="12"/>
  <c r="AI255" i="12"/>
  <c r="AJ255" i="12"/>
  <c r="AK255" i="12"/>
  <c r="AL255" i="12"/>
  <c r="AM255" i="12"/>
  <c r="AN255" i="12"/>
  <c r="AO255" i="12"/>
  <c r="AP255" i="12"/>
  <c r="AQ255" i="12"/>
  <c r="AR255" i="12"/>
  <c r="AS255" i="12"/>
  <c r="AT255" i="12"/>
  <c r="AU255" i="12"/>
  <c r="AV255" i="12"/>
  <c r="V256" i="12"/>
  <c r="W256" i="12"/>
  <c r="Y256" i="12"/>
  <c r="Z256" i="12"/>
  <c r="AA256" i="12"/>
  <c r="AB256" i="12"/>
  <c r="AC256" i="12"/>
  <c r="AD256" i="12"/>
  <c r="AE256" i="12"/>
  <c r="AG256" i="12"/>
  <c r="AH256" i="12"/>
  <c r="AI256" i="12"/>
  <c r="AJ256" i="12"/>
  <c r="AK256" i="12"/>
  <c r="AL256" i="12"/>
  <c r="AM256" i="12"/>
  <c r="AN256" i="12"/>
  <c r="AO256" i="12"/>
  <c r="AP256" i="12"/>
  <c r="AQ256" i="12"/>
  <c r="AR256" i="12"/>
  <c r="AS256" i="12"/>
  <c r="AT256" i="12"/>
  <c r="AU256" i="12"/>
  <c r="AV256" i="12"/>
  <c r="V257" i="12"/>
  <c r="W257" i="12"/>
  <c r="Y257" i="12"/>
  <c r="Z257" i="12"/>
  <c r="AA257" i="12"/>
  <c r="AB257" i="12"/>
  <c r="AC257" i="12"/>
  <c r="AD257" i="12"/>
  <c r="AE257" i="12"/>
  <c r="AG257" i="12"/>
  <c r="AH257" i="12"/>
  <c r="AI257" i="12"/>
  <c r="AJ257" i="12"/>
  <c r="AK257" i="12"/>
  <c r="AL257" i="12"/>
  <c r="AM257" i="12"/>
  <c r="AN257" i="12"/>
  <c r="AO257" i="12"/>
  <c r="AP257" i="12"/>
  <c r="AQ257" i="12"/>
  <c r="AR257" i="12"/>
  <c r="AS257" i="12"/>
  <c r="AT257" i="12"/>
  <c r="AU257" i="12"/>
  <c r="AV257" i="12"/>
  <c r="V258" i="12"/>
  <c r="W258" i="12"/>
  <c r="Y258" i="12"/>
  <c r="Z258" i="12"/>
  <c r="AA258" i="12"/>
  <c r="AB258" i="12"/>
  <c r="AC258" i="12"/>
  <c r="AD258" i="12"/>
  <c r="AE258" i="12"/>
  <c r="AG258" i="12"/>
  <c r="AH258" i="12"/>
  <c r="AI258" i="12"/>
  <c r="AJ258" i="12"/>
  <c r="AK258" i="12"/>
  <c r="AL258" i="12"/>
  <c r="AM258" i="12"/>
  <c r="AN258" i="12"/>
  <c r="AO258" i="12"/>
  <c r="AP258" i="12"/>
  <c r="AQ258" i="12"/>
  <c r="AR258" i="12"/>
  <c r="AS258" i="12"/>
  <c r="AT258" i="12"/>
  <c r="AU258" i="12"/>
  <c r="AV258" i="12"/>
  <c r="V260" i="12"/>
  <c r="W260" i="12"/>
  <c r="Y260" i="12"/>
  <c r="Z260" i="12"/>
  <c r="AA260" i="12"/>
  <c r="AB260" i="12"/>
  <c r="AC260" i="12"/>
  <c r="AD260" i="12"/>
  <c r="AE260" i="12"/>
  <c r="AG260" i="12"/>
  <c r="AH260" i="12"/>
  <c r="AI260" i="12"/>
  <c r="AJ260" i="12"/>
  <c r="AK260" i="12"/>
  <c r="AL260" i="12"/>
  <c r="AM260" i="12"/>
  <c r="AN260" i="12"/>
  <c r="AO260" i="12"/>
  <c r="AP260" i="12"/>
  <c r="AQ260" i="12"/>
  <c r="AR260" i="12"/>
  <c r="AS260" i="12"/>
  <c r="AT260" i="12"/>
  <c r="AU260" i="12"/>
  <c r="AV260" i="12"/>
  <c r="V199" i="12"/>
  <c r="W199" i="12"/>
  <c r="Y199" i="12"/>
  <c r="Z199" i="12"/>
  <c r="AA199" i="12"/>
  <c r="AB199" i="12"/>
  <c r="AC199" i="12"/>
  <c r="AD199" i="12"/>
  <c r="AE199" i="12"/>
  <c r="AG199" i="12"/>
  <c r="AH199" i="12"/>
  <c r="AI199" i="12"/>
  <c r="AJ199" i="12"/>
  <c r="AK199" i="12"/>
  <c r="AL199" i="12"/>
  <c r="AM199" i="12"/>
  <c r="AN199" i="12"/>
  <c r="AO199" i="12"/>
  <c r="AP199" i="12"/>
  <c r="AQ199" i="12"/>
  <c r="AR199" i="12"/>
  <c r="AS199" i="12"/>
  <c r="AT199" i="12"/>
  <c r="AU199" i="12"/>
  <c r="AV199" i="12"/>
  <c r="V261" i="12"/>
  <c r="W261" i="12"/>
  <c r="Y261" i="12"/>
  <c r="Z261" i="12"/>
  <c r="AA261" i="12"/>
  <c r="AB261" i="12"/>
  <c r="AC261" i="12"/>
  <c r="AD261" i="12"/>
  <c r="AE261" i="12"/>
  <c r="AG261" i="12"/>
  <c r="AH261" i="12"/>
  <c r="AI261" i="12"/>
  <c r="AJ261" i="12"/>
  <c r="AK261" i="12"/>
  <c r="AL261" i="12"/>
  <c r="AM261" i="12"/>
  <c r="AN261" i="12"/>
  <c r="AO261" i="12"/>
  <c r="AP261" i="12"/>
  <c r="AQ261" i="12"/>
  <c r="AR261" i="12"/>
  <c r="AS261" i="12"/>
  <c r="AT261" i="12"/>
  <c r="AU261" i="12"/>
  <c r="AV261" i="12"/>
  <c r="V262" i="12"/>
  <c r="W262" i="12"/>
  <c r="Y262" i="12"/>
  <c r="Z262" i="12"/>
  <c r="AA262" i="12"/>
  <c r="AB262" i="12"/>
  <c r="AC262" i="12"/>
  <c r="AD262" i="12"/>
  <c r="AE262" i="12"/>
  <c r="AG262" i="12"/>
  <c r="AH262" i="12"/>
  <c r="AI262" i="12"/>
  <c r="AJ262" i="12"/>
  <c r="AK262" i="12"/>
  <c r="AL262" i="12"/>
  <c r="AM262" i="12"/>
  <c r="AN262" i="12"/>
  <c r="AO262" i="12"/>
  <c r="AP262" i="12"/>
  <c r="AQ262" i="12"/>
  <c r="AR262" i="12"/>
  <c r="AS262" i="12"/>
  <c r="AT262" i="12"/>
  <c r="AU262" i="12"/>
  <c r="AV262" i="12"/>
  <c r="V263" i="12"/>
  <c r="W263" i="12"/>
  <c r="Y263" i="12"/>
  <c r="Z263" i="12"/>
  <c r="AA263" i="12"/>
  <c r="AB263" i="12"/>
  <c r="AC263" i="12"/>
  <c r="AD263" i="12"/>
  <c r="AE263" i="12"/>
  <c r="AG263" i="12"/>
  <c r="AH263" i="12"/>
  <c r="AI263" i="12"/>
  <c r="AJ263" i="12"/>
  <c r="AK263" i="12"/>
  <c r="AL263" i="12"/>
  <c r="AM263" i="12"/>
  <c r="AN263" i="12"/>
  <c r="AO263" i="12"/>
  <c r="AP263" i="12"/>
  <c r="AQ263" i="12"/>
  <c r="AR263" i="12"/>
  <c r="AS263" i="12"/>
  <c r="AT263" i="12"/>
  <c r="AU263" i="12"/>
  <c r="AV263" i="12"/>
  <c r="V264" i="12"/>
  <c r="W264" i="12"/>
  <c r="Y264" i="12"/>
  <c r="Z264" i="12"/>
  <c r="AA264" i="12"/>
  <c r="AB264" i="12"/>
  <c r="AC264" i="12"/>
  <c r="AD264" i="12"/>
  <c r="AE264" i="12"/>
  <c r="AG264" i="12"/>
  <c r="AH264" i="12"/>
  <c r="AI264" i="12"/>
  <c r="AJ264" i="12"/>
  <c r="AK264" i="12"/>
  <c r="AL264" i="12"/>
  <c r="AM264" i="12"/>
  <c r="AN264" i="12"/>
  <c r="AO264" i="12"/>
  <c r="AP264" i="12"/>
  <c r="AQ264" i="12"/>
  <c r="AR264" i="12"/>
  <c r="AS264" i="12"/>
  <c r="AT264" i="12"/>
  <c r="AU264" i="12"/>
  <c r="AV264" i="12"/>
  <c r="V265" i="12"/>
  <c r="W265" i="12"/>
  <c r="Y265" i="12"/>
  <c r="Z265" i="12"/>
  <c r="AA265" i="12"/>
  <c r="AB265" i="12"/>
  <c r="AC265" i="12"/>
  <c r="AD265" i="12"/>
  <c r="AE265" i="12"/>
  <c r="AG265" i="12"/>
  <c r="AH265" i="12"/>
  <c r="AI265" i="12"/>
  <c r="AJ265" i="12"/>
  <c r="AK265" i="12"/>
  <c r="AL265" i="12"/>
  <c r="AM265" i="12"/>
  <c r="AN265" i="12"/>
  <c r="AO265" i="12"/>
  <c r="AP265" i="12"/>
  <c r="AQ265" i="12"/>
  <c r="AR265" i="12"/>
  <c r="AS265" i="12"/>
  <c r="AT265" i="12"/>
  <c r="AU265" i="12"/>
  <c r="AV265" i="12"/>
  <c r="V138" i="12"/>
  <c r="W138" i="12"/>
  <c r="Y138" i="12"/>
  <c r="Z138" i="12"/>
  <c r="AA138" i="12"/>
  <c r="AB138" i="12"/>
  <c r="AC138" i="12"/>
  <c r="AD138" i="12"/>
  <c r="AE138" i="12"/>
  <c r="AG138" i="12"/>
  <c r="AH138" i="12"/>
  <c r="AI138" i="12"/>
  <c r="AJ138" i="12"/>
  <c r="AK138" i="12"/>
  <c r="AL138" i="12"/>
  <c r="AM138" i="12"/>
  <c r="AN138" i="12"/>
  <c r="AO138" i="12"/>
  <c r="AP138" i="12"/>
  <c r="AQ138" i="12"/>
  <c r="AR138" i="12"/>
  <c r="AS138" i="12"/>
  <c r="AT138" i="12"/>
  <c r="AU138" i="12"/>
  <c r="AV138" i="12"/>
  <c r="V267" i="12"/>
  <c r="W267" i="12"/>
  <c r="Y267" i="12"/>
  <c r="Z267" i="12"/>
  <c r="AA267" i="12"/>
  <c r="AB267" i="12"/>
  <c r="AC267" i="12"/>
  <c r="AD267" i="12"/>
  <c r="AE267" i="12"/>
  <c r="AG267" i="12"/>
  <c r="AH267" i="12"/>
  <c r="AI267" i="12"/>
  <c r="AJ267" i="12"/>
  <c r="AK267" i="12"/>
  <c r="AL267" i="12"/>
  <c r="AM267" i="12"/>
  <c r="AN267" i="12"/>
  <c r="AO267" i="12"/>
  <c r="AP267" i="12"/>
  <c r="AQ267" i="12"/>
  <c r="AR267" i="12"/>
  <c r="AS267" i="12"/>
  <c r="AT267" i="12"/>
  <c r="AU267" i="12"/>
  <c r="AV267" i="12"/>
  <c r="V268" i="12"/>
  <c r="W268" i="12"/>
  <c r="Y268" i="12"/>
  <c r="Z268" i="12"/>
  <c r="AA268" i="12"/>
  <c r="AB268" i="12"/>
  <c r="AC268" i="12"/>
  <c r="AD268" i="12"/>
  <c r="AE268" i="12"/>
  <c r="AG268" i="12"/>
  <c r="AH268" i="12"/>
  <c r="AI268" i="12"/>
  <c r="AJ268" i="12"/>
  <c r="AK268" i="12"/>
  <c r="AL268" i="12"/>
  <c r="AM268" i="12"/>
  <c r="AN268" i="12"/>
  <c r="AO268" i="12"/>
  <c r="AP268" i="12"/>
  <c r="AQ268" i="12"/>
  <c r="AR268" i="12"/>
  <c r="AS268" i="12"/>
  <c r="AT268" i="12"/>
  <c r="AU268" i="12"/>
  <c r="AV268" i="12"/>
  <c r="V269" i="12"/>
  <c r="W269" i="12"/>
  <c r="Y269" i="12"/>
  <c r="Z269" i="12"/>
  <c r="AA269" i="12"/>
  <c r="AB269" i="12"/>
  <c r="AC269" i="12"/>
  <c r="AD269" i="12"/>
  <c r="AE269" i="12"/>
  <c r="AG269" i="12"/>
  <c r="AH269" i="12"/>
  <c r="AI269" i="12"/>
  <c r="AJ269" i="12"/>
  <c r="AK269" i="12"/>
  <c r="AL269" i="12"/>
  <c r="AM269" i="12"/>
  <c r="AN269" i="12"/>
  <c r="AO269" i="12"/>
  <c r="AP269" i="12"/>
  <c r="AQ269" i="12"/>
  <c r="AR269" i="12"/>
  <c r="AS269" i="12"/>
  <c r="AT269" i="12"/>
  <c r="AU269" i="12"/>
  <c r="AV269" i="12"/>
  <c r="V270" i="12"/>
  <c r="W270" i="12"/>
  <c r="Y270" i="12"/>
  <c r="Z270" i="12"/>
  <c r="AA270" i="12"/>
  <c r="AB270" i="12"/>
  <c r="AC270" i="12"/>
  <c r="AD270" i="12"/>
  <c r="AE270" i="12"/>
  <c r="AG270" i="12"/>
  <c r="AH270" i="12"/>
  <c r="AI270" i="12"/>
  <c r="AJ270" i="12"/>
  <c r="AK270" i="12"/>
  <c r="AL270" i="12"/>
  <c r="AM270" i="12"/>
  <c r="AN270" i="12"/>
  <c r="AO270" i="12"/>
  <c r="AP270" i="12"/>
  <c r="AQ270" i="12"/>
  <c r="AR270" i="12"/>
  <c r="AS270" i="12"/>
  <c r="AT270" i="12"/>
  <c r="AU270" i="12"/>
  <c r="AV270" i="12"/>
  <c r="V271" i="12"/>
  <c r="W271" i="12"/>
  <c r="Y271" i="12"/>
  <c r="Z271" i="12"/>
  <c r="AA271" i="12"/>
  <c r="AB271" i="12"/>
  <c r="AC271" i="12"/>
  <c r="AD271" i="12"/>
  <c r="AE271" i="12"/>
  <c r="AG271" i="12"/>
  <c r="AH271" i="12"/>
  <c r="AI271" i="12"/>
  <c r="AJ271" i="12"/>
  <c r="AK271" i="12"/>
  <c r="AL271" i="12"/>
  <c r="AM271" i="12"/>
  <c r="AN271" i="12"/>
  <c r="AO271" i="12"/>
  <c r="AP271" i="12"/>
  <c r="AQ271" i="12"/>
  <c r="AR271" i="12"/>
  <c r="AS271" i="12"/>
  <c r="AT271" i="12"/>
  <c r="AU271" i="12"/>
  <c r="AV271" i="12"/>
  <c r="V272" i="12"/>
  <c r="W272" i="12"/>
  <c r="Y272" i="12"/>
  <c r="Z272" i="12"/>
  <c r="AA272" i="12"/>
  <c r="AB272" i="12"/>
  <c r="AC272" i="12"/>
  <c r="AD272" i="12"/>
  <c r="AE272" i="12"/>
  <c r="AG272" i="12"/>
  <c r="AH272" i="12"/>
  <c r="AI272" i="12"/>
  <c r="AJ272" i="12"/>
  <c r="AK272" i="12"/>
  <c r="AL272" i="12"/>
  <c r="AM272" i="12"/>
  <c r="AN272" i="12"/>
  <c r="AO272" i="12"/>
  <c r="AP272" i="12"/>
  <c r="AQ272" i="12"/>
  <c r="AR272" i="12"/>
  <c r="AS272" i="12"/>
  <c r="AT272" i="12"/>
  <c r="AU272" i="12"/>
  <c r="AV272" i="12"/>
  <c r="V273" i="12"/>
  <c r="W273" i="12"/>
  <c r="Y273" i="12"/>
  <c r="Z273" i="12"/>
  <c r="AA273" i="12"/>
  <c r="AB273" i="12"/>
  <c r="AC273" i="12"/>
  <c r="AD273" i="12"/>
  <c r="AE273" i="12"/>
  <c r="AG273" i="12"/>
  <c r="AH273" i="12"/>
  <c r="AI273" i="12"/>
  <c r="AJ273" i="12"/>
  <c r="AK273" i="12"/>
  <c r="AL273" i="12"/>
  <c r="AM273" i="12"/>
  <c r="AN273" i="12"/>
  <c r="AO273" i="12"/>
  <c r="AP273" i="12"/>
  <c r="AQ273" i="12"/>
  <c r="AR273" i="12"/>
  <c r="AS273" i="12"/>
  <c r="AT273" i="12"/>
  <c r="AU273" i="12"/>
  <c r="AV273" i="12"/>
  <c r="V274" i="12"/>
  <c r="W274" i="12"/>
  <c r="Y274" i="12"/>
  <c r="Z274" i="12"/>
  <c r="AA274" i="12"/>
  <c r="AB274" i="12"/>
  <c r="AC274" i="12"/>
  <c r="AD274" i="12"/>
  <c r="AE274" i="12"/>
  <c r="AG274" i="12"/>
  <c r="AH274" i="12"/>
  <c r="AI274" i="12"/>
  <c r="AJ274" i="12"/>
  <c r="AK274" i="12"/>
  <c r="AL274" i="12"/>
  <c r="AM274" i="12"/>
  <c r="AN274" i="12"/>
  <c r="AO274" i="12"/>
  <c r="AP274" i="12"/>
  <c r="AQ274" i="12"/>
  <c r="AR274" i="12"/>
  <c r="AS274" i="12"/>
  <c r="AT274" i="12"/>
  <c r="AU274" i="12"/>
  <c r="AV274" i="12"/>
  <c r="V231" i="12"/>
  <c r="W231" i="12"/>
  <c r="Y231" i="12"/>
  <c r="Z231" i="12"/>
  <c r="AA231" i="12"/>
  <c r="AB231" i="12"/>
  <c r="AC231" i="12"/>
  <c r="AD231" i="12"/>
  <c r="AE231" i="12"/>
  <c r="AG231" i="12"/>
  <c r="AH231" i="12"/>
  <c r="AI231" i="12"/>
  <c r="AJ231" i="12"/>
  <c r="AK231" i="12"/>
  <c r="AL231" i="12"/>
  <c r="AM231" i="12"/>
  <c r="AN231" i="12"/>
  <c r="AO231" i="12"/>
  <c r="AP231" i="12"/>
  <c r="AQ231" i="12"/>
  <c r="AR231" i="12"/>
  <c r="AS231" i="12"/>
  <c r="AT231" i="12"/>
  <c r="AU231" i="12"/>
  <c r="AV231" i="12"/>
  <c r="V266" i="12"/>
  <c r="W266" i="12"/>
  <c r="Y266" i="12"/>
  <c r="Z266" i="12"/>
  <c r="AA266" i="12"/>
  <c r="AB266" i="12"/>
  <c r="AC266" i="12"/>
  <c r="AD266" i="12"/>
  <c r="AE266" i="12"/>
  <c r="AG266" i="12"/>
  <c r="AH266" i="12"/>
  <c r="AI266" i="12"/>
  <c r="AJ266" i="12"/>
  <c r="AK266" i="12"/>
  <c r="AL266" i="12"/>
  <c r="AM266" i="12"/>
  <c r="AN266" i="12"/>
  <c r="AO266" i="12"/>
  <c r="AP266" i="12"/>
  <c r="AQ266" i="12"/>
  <c r="AR266" i="12"/>
  <c r="AS266" i="12"/>
  <c r="AT266" i="12"/>
  <c r="AU266" i="12"/>
  <c r="AV266" i="12"/>
  <c r="V277" i="12"/>
  <c r="W277" i="12"/>
  <c r="Y277" i="12"/>
  <c r="Z277" i="12"/>
  <c r="AA277" i="12"/>
  <c r="AB277" i="12"/>
  <c r="AC277" i="12"/>
  <c r="AD277" i="12"/>
  <c r="AE277" i="12"/>
  <c r="AG277" i="12"/>
  <c r="AH277" i="12"/>
  <c r="AI277" i="12"/>
  <c r="AJ277" i="12"/>
  <c r="AK277" i="12"/>
  <c r="AL277" i="12"/>
  <c r="AM277" i="12"/>
  <c r="AN277" i="12"/>
  <c r="AO277" i="12"/>
  <c r="AP277" i="12"/>
  <c r="AQ277" i="12"/>
  <c r="AR277" i="12"/>
  <c r="AS277" i="12"/>
  <c r="AT277" i="12"/>
  <c r="AU277" i="12"/>
  <c r="AV277" i="12"/>
  <c r="V278" i="12"/>
  <c r="W278" i="12"/>
  <c r="Y278" i="12"/>
  <c r="Z278" i="12"/>
  <c r="AA278" i="12"/>
  <c r="AB278" i="12"/>
  <c r="AC278" i="12"/>
  <c r="AD278" i="12"/>
  <c r="AE278" i="12"/>
  <c r="AG278" i="12"/>
  <c r="AH278" i="12"/>
  <c r="AI278" i="12"/>
  <c r="AJ278" i="12"/>
  <c r="AK278" i="12"/>
  <c r="AL278" i="12"/>
  <c r="AM278" i="12"/>
  <c r="AN278" i="12"/>
  <c r="AO278" i="12"/>
  <c r="AP278" i="12"/>
  <c r="AQ278" i="12"/>
  <c r="AR278" i="12"/>
  <c r="AS278" i="12"/>
  <c r="AT278" i="12"/>
  <c r="AU278" i="12"/>
  <c r="AV278" i="12"/>
  <c r="V279" i="12"/>
  <c r="W279" i="12"/>
  <c r="Y279" i="12"/>
  <c r="Z279" i="12"/>
  <c r="AA279" i="12"/>
  <c r="AB279" i="12"/>
  <c r="AC279" i="12"/>
  <c r="AD279" i="12"/>
  <c r="AE279" i="12"/>
  <c r="AG279" i="12"/>
  <c r="AH279" i="12"/>
  <c r="AI279" i="12"/>
  <c r="AJ279" i="12"/>
  <c r="AK279" i="12"/>
  <c r="AL279" i="12"/>
  <c r="AM279" i="12"/>
  <c r="AN279" i="12"/>
  <c r="AO279" i="12"/>
  <c r="AP279" i="12"/>
  <c r="AQ279" i="12"/>
  <c r="AR279" i="12"/>
  <c r="AS279" i="12"/>
  <c r="AT279" i="12"/>
  <c r="AU279" i="12"/>
  <c r="AV279" i="12"/>
  <c r="V280" i="12"/>
  <c r="W280" i="12"/>
  <c r="Y280" i="12"/>
  <c r="Z280" i="12"/>
  <c r="AA280" i="12"/>
  <c r="AB280" i="12"/>
  <c r="AC280" i="12"/>
  <c r="AD280" i="12"/>
  <c r="AE280" i="12"/>
  <c r="AG280" i="12"/>
  <c r="AH280" i="12"/>
  <c r="AI280" i="12"/>
  <c r="AJ280" i="12"/>
  <c r="AK280" i="12"/>
  <c r="AL280" i="12"/>
  <c r="AM280" i="12"/>
  <c r="AN280" i="12"/>
  <c r="AO280" i="12"/>
  <c r="AP280" i="12"/>
  <c r="AQ280" i="12"/>
  <c r="AR280" i="12"/>
  <c r="AS280" i="12"/>
  <c r="AT280" i="12"/>
  <c r="AU280" i="12"/>
  <c r="AV280" i="12"/>
  <c r="V281" i="12"/>
  <c r="W281" i="12"/>
  <c r="Y281" i="12"/>
  <c r="Z281" i="12"/>
  <c r="AA281" i="12"/>
  <c r="AB281" i="12"/>
  <c r="AC281" i="12"/>
  <c r="AD281" i="12"/>
  <c r="AE281" i="12"/>
  <c r="AG281" i="12"/>
  <c r="AH281" i="12"/>
  <c r="AI281" i="12"/>
  <c r="AJ281" i="12"/>
  <c r="AK281" i="12"/>
  <c r="AL281" i="12"/>
  <c r="AM281" i="12"/>
  <c r="AN281" i="12"/>
  <c r="AO281" i="12"/>
  <c r="AP281" i="12"/>
  <c r="AQ281" i="12"/>
  <c r="AR281" i="12"/>
  <c r="AS281" i="12"/>
  <c r="AT281" i="12"/>
  <c r="AU281" i="12"/>
  <c r="AV281" i="12"/>
  <c r="V282" i="12"/>
  <c r="W282" i="12"/>
  <c r="Y282" i="12"/>
  <c r="Z282" i="12"/>
  <c r="AA282" i="12"/>
  <c r="AB282" i="12"/>
  <c r="AC282" i="12"/>
  <c r="AD282" i="12"/>
  <c r="AE282" i="12"/>
  <c r="AG282" i="12"/>
  <c r="AH282" i="12"/>
  <c r="AI282" i="12"/>
  <c r="AJ282" i="12"/>
  <c r="AK282" i="12"/>
  <c r="AL282" i="12"/>
  <c r="AM282" i="12"/>
  <c r="AN282" i="12"/>
  <c r="AO282" i="12"/>
  <c r="AP282" i="12"/>
  <c r="AQ282" i="12"/>
  <c r="AR282" i="12"/>
  <c r="AS282" i="12"/>
  <c r="AT282" i="12"/>
  <c r="AU282" i="12"/>
  <c r="AV282" i="12"/>
  <c r="V283" i="12"/>
  <c r="W283" i="12"/>
  <c r="Y283" i="12"/>
  <c r="Z283" i="12"/>
  <c r="AA283" i="12"/>
  <c r="AB283" i="12"/>
  <c r="AC283" i="12"/>
  <c r="AD283" i="12"/>
  <c r="AE283" i="12"/>
  <c r="AG283" i="12"/>
  <c r="AH283" i="12"/>
  <c r="AI283" i="12"/>
  <c r="AJ283" i="12"/>
  <c r="AK283" i="12"/>
  <c r="AL283" i="12"/>
  <c r="AM283" i="12"/>
  <c r="AN283" i="12"/>
  <c r="AO283" i="12"/>
  <c r="AP283" i="12"/>
  <c r="AQ283" i="12"/>
  <c r="AR283" i="12"/>
  <c r="AS283" i="12"/>
  <c r="AT283" i="12"/>
  <c r="AU283" i="12"/>
  <c r="AV283" i="12"/>
  <c r="V284" i="12"/>
  <c r="W284" i="12"/>
  <c r="Y284" i="12"/>
  <c r="Z284" i="12"/>
  <c r="AA284" i="12"/>
  <c r="AB284" i="12"/>
  <c r="AC284" i="12"/>
  <c r="AD284" i="12"/>
  <c r="AE284" i="12"/>
  <c r="AG284" i="12"/>
  <c r="AH284" i="12"/>
  <c r="AI284" i="12"/>
  <c r="AJ284" i="12"/>
  <c r="AK284" i="12"/>
  <c r="AL284" i="12"/>
  <c r="AM284" i="12"/>
  <c r="AN284" i="12"/>
  <c r="AO284" i="12"/>
  <c r="AP284" i="12"/>
  <c r="AQ284" i="12"/>
  <c r="AR284" i="12"/>
  <c r="AS284" i="12"/>
  <c r="AT284" i="12"/>
  <c r="AU284" i="12"/>
  <c r="AV284" i="12"/>
  <c r="V285" i="12"/>
  <c r="W285" i="12"/>
  <c r="Y285" i="12"/>
  <c r="Z285" i="12"/>
  <c r="AA285" i="12"/>
  <c r="AB285" i="12"/>
  <c r="AC285" i="12"/>
  <c r="AD285" i="12"/>
  <c r="AE285" i="12"/>
  <c r="AG285" i="12"/>
  <c r="AH285" i="12"/>
  <c r="AI285" i="12"/>
  <c r="AJ285" i="12"/>
  <c r="AK285" i="12"/>
  <c r="AL285" i="12"/>
  <c r="AM285" i="12"/>
  <c r="AN285" i="12"/>
  <c r="AO285" i="12"/>
  <c r="AP285" i="12"/>
  <c r="AQ285" i="12"/>
  <c r="AR285" i="12"/>
  <c r="AS285" i="12"/>
  <c r="AT285" i="12"/>
  <c r="AU285" i="12"/>
  <c r="AV285" i="12"/>
  <c r="V286" i="12"/>
  <c r="W286" i="12"/>
  <c r="Y286" i="12"/>
  <c r="Z286" i="12"/>
  <c r="AA286" i="12"/>
  <c r="AB286" i="12"/>
  <c r="AC286" i="12"/>
  <c r="AD286" i="12"/>
  <c r="AE286" i="12"/>
  <c r="AG286" i="12"/>
  <c r="AH286" i="12"/>
  <c r="AI286" i="12"/>
  <c r="AJ286" i="12"/>
  <c r="AK286" i="12"/>
  <c r="AL286" i="12"/>
  <c r="AM286" i="12"/>
  <c r="AN286" i="12"/>
  <c r="AO286" i="12"/>
  <c r="AP286" i="12"/>
  <c r="AQ286" i="12"/>
  <c r="AR286" i="12"/>
  <c r="AS286" i="12"/>
  <c r="AT286" i="12"/>
  <c r="AU286" i="12"/>
  <c r="AV286" i="12"/>
  <c r="V287" i="12"/>
  <c r="W287" i="12"/>
  <c r="Y287" i="12"/>
  <c r="Z287" i="12"/>
  <c r="AA287" i="12"/>
  <c r="AB287" i="12"/>
  <c r="AC287" i="12"/>
  <c r="AD287" i="12"/>
  <c r="AE287" i="12"/>
  <c r="AG287" i="12"/>
  <c r="AH287" i="12"/>
  <c r="AI287" i="12"/>
  <c r="AJ287" i="12"/>
  <c r="AK287" i="12"/>
  <c r="AL287" i="12"/>
  <c r="AM287" i="12"/>
  <c r="AN287" i="12"/>
  <c r="AO287" i="12"/>
  <c r="AP287" i="12"/>
  <c r="AQ287" i="12"/>
  <c r="AR287" i="12"/>
  <c r="AS287" i="12"/>
  <c r="AT287" i="12"/>
  <c r="AU287" i="12"/>
  <c r="AV287" i="12"/>
  <c r="H26" i="1"/>
  <c r="P246" i="12"/>
  <c r="S5" i="5"/>
  <c r="S6" i="5"/>
  <c r="S7" i="5"/>
  <c r="S8" i="5"/>
  <c r="S9" i="5"/>
  <c r="S10" i="5"/>
  <c r="S11" i="5"/>
  <c r="S12" i="5"/>
  <c r="S13" i="5"/>
  <c r="S14" i="5"/>
  <c r="S15" i="5"/>
  <c r="S16" i="5"/>
  <c r="S17" i="5"/>
  <c r="S18" i="5"/>
  <c r="S19" i="5"/>
  <c r="S20" i="5"/>
  <c r="F6" i="5"/>
  <c r="F7" i="5"/>
  <c r="F8" i="5"/>
  <c r="F9" i="5"/>
  <c r="F10" i="5"/>
  <c r="F11" i="5"/>
  <c r="F12" i="5"/>
  <c r="F13" i="5"/>
  <c r="F14" i="5"/>
  <c r="F15" i="5"/>
  <c r="F16" i="5"/>
  <c r="F17" i="5"/>
  <c r="F18" i="5"/>
  <c r="F19" i="5"/>
  <c r="F20" i="5"/>
  <c r="F5" i="5"/>
  <c r="S4" i="5"/>
  <c r="F4" i="5"/>
  <c r="AJ36" i="3"/>
  <c r="AJ37" i="3"/>
  <c r="AK37" i="3" s="1"/>
  <c r="C6" i="4"/>
  <c r="AL17" i="3"/>
  <c r="AL18" i="3"/>
  <c r="AL19" i="3"/>
  <c r="AL14" i="3"/>
  <c r="AL15" i="3"/>
  <c r="AL16" i="3"/>
  <c r="AS15" i="3"/>
  <c r="AR16" i="3" s="1"/>
  <c r="AP17" i="3" s="1"/>
  <c r="AK23" i="3" s="1"/>
  <c r="AP16" i="3"/>
  <c r="AK33" i="3"/>
  <c r="AK34" i="3"/>
  <c r="AK32" i="3"/>
  <c r="AK26" i="3"/>
  <c r="AK25" i="3"/>
  <c r="AK28" i="3"/>
  <c r="AK38" i="3"/>
  <c r="O20" i="1"/>
  <c r="N20" i="1"/>
  <c r="N22" i="1"/>
  <c r="O22" i="1" s="1"/>
  <c r="O21" i="1"/>
  <c r="N21" i="1"/>
  <c r="N23" i="1"/>
  <c r="P23" i="1" s="1"/>
  <c r="W34" i="12"/>
  <c r="Y34" i="12"/>
  <c r="Z34" i="12"/>
  <c r="AA34" i="12"/>
  <c r="AB34" i="12"/>
  <c r="AC34" i="12"/>
  <c r="AD34" i="12"/>
  <c r="AE34" i="12"/>
  <c r="AG34" i="12"/>
  <c r="AH34" i="12"/>
  <c r="AI34" i="12"/>
  <c r="AJ34" i="12"/>
  <c r="AK34" i="12"/>
  <c r="AL34" i="12"/>
  <c r="AM34" i="12"/>
  <c r="AN34" i="12"/>
  <c r="AO34" i="12"/>
  <c r="AP34" i="12"/>
  <c r="AQ34" i="12"/>
  <c r="AR34" i="12"/>
  <c r="AS34" i="12"/>
  <c r="AT34" i="12"/>
  <c r="AU34" i="12"/>
  <c r="AV34" i="12"/>
  <c r="W35" i="12"/>
  <c r="Y35" i="12"/>
  <c r="Z35" i="12"/>
  <c r="AA35" i="12"/>
  <c r="AB35" i="12"/>
  <c r="AC35" i="12"/>
  <c r="AD35" i="12"/>
  <c r="AE35" i="12"/>
  <c r="AG35" i="12"/>
  <c r="AH35" i="12"/>
  <c r="AI35" i="12"/>
  <c r="AJ35" i="12"/>
  <c r="AK35" i="12"/>
  <c r="AL35" i="12"/>
  <c r="AM35" i="12"/>
  <c r="AN35" i="12"/>
  <c r="AO35" i="12"/>
  <c r="AP35" i="12"/>
  <c r="AQ35" i="12"/>
  <c r="AR35" i="12"/>
  <c r="AS35" i="12"/>
  <c r="AT35" i="12"/>
  <c r="AU35" i="12"/>
  <c r="AV35" i="12"/>
  <c r="W235" i="12"/>
  <c r="Y235" i="12"/>
  <c r="Z235" i="12"/>
  <c r="AA235" i="12"/>
  <c r="AB235" i="12"/>
  <c r="AC235" i="12"/>
  <c r="AD235" i="12"/>
  <c r="AE235" i="12"/>
  <c r="AG235" i="12"/>
  <c r="AH235" i="12"/>
  <c r="AI235" i="12"/>
  <c r="AJ235" i="12"/>
  <c r="AK235" i="12"/>
  <c r="AL235" i="12"/>
  <c r="AM235" i="12"/>
  <c r="AN235" i="12"/>
  <c r="AO235" i="12"/>
  <c r="AP235" i="12"/>
  <c r="AQ235" i="12"/>
  <c r="AR235" i="12"/>
  <c r="AS235" i="12"/>
  <c r="AT235" i="12"/>
  <c r="AU235" i="12"/>
  <c r="AV235" i="12"/>
  <c r="W37" i="12"/>
  <c r="Y37" i="12"/>
  <c r="Z37" i="12"/>
  <c r="AA37" i="12"/>
  <c r="AB37" i="12"/>
  <c r="AC37" i="12"/>
  <c r="AD37" i="12"/>
  <c r="AE37" i="12"/>
  <c r="AG37" i="12"/>
  <c r="AH37" i="12"/>
  <c r="AI37" i="12"/>
  <c r="AJ37" i="12"/>
  <c r="AK37" i="12"/>
  <c r="AL37" i="12"/>
  <c r="AM37" i="12"/>
  <c r="AN37" i="12"/>
  <c r="AO37" i="12"/>
  <c r="AP37" i="12"/>
  <c r="AQ37" i="12"/>
  <c r="AR37" i="12"/>
  <c r="AS37" i="12"/>
  <c r="AT37" i="12"/>
  <c r="AU37" i="12"/>
  <c r="AV37" i="12"/>
  <c r="W38" i="12"/>
  <c r="Y38" i="12"/>
  <c r="Z38" i="12"/>
  <c r="AA38" i="12"/>
  <c r="AB38" i="12"/>
  <c r="AC38" i="12"/>
  <c r="AD38" i="12"/>
  <c r="AE38" i="12"/>
  <c r="AG38" i="12"/>
  <c r="AH38" i="12"/>
  <c r="AI38" i="12"/>
  <c r="AJ38" i="12"/>
  <c r="AK38" i="12"/>
  <c r="AL38" i="12"/>
  <c r="AM38" i="12"/>
  <c r="AN38" i="12"/>
  <c r="AO38" i="12"/>
  <c r="AP38" i="12"/>
  <c r="AQ38" i="12"/>
  <c r="AR38" i="12"/>
  <c r="AS38" i="12"/>
  <c r="AT38" i="12"/>
  <c r="AU38" i="12"/>
  <c r="AV38" i="12"/>
  <c r="W39" i="12"/>
  <c r="Y39" i="12"/>
  <c r="Z39" i="12"/>
  <c r="AA39" i="12"/>
  <c r="AB39" i="12"/>
  <c r="AC39" i="12"/>
  <c r="AD39" i="12"/>
  <c r="AE39" i="12"/>
  <c r="AG39" i="12"/>
  <c r="AH39" i="12"/>
  <c r="AI39" i="12"/>
  <c r="AJ39" i="12"/>
  <c r="AK39" i="12"/>
  <c r="AL39" i="12"/>
  <c r="AM39" i="12"/>
  <c r="AN39" i="12"/>
  <c r="AO39" i="12"/>
  <c r="AP39" i="12"/>
  <c r="AQ39" i="12"/>
  <c r="AR39" i="12"/>
  <c r="AS39" i="12"/>
  <c r="AT39" i="12"/>
  <c r="AU39" i="12"/>
  <c r="AV39" i="12"/>
  <c r="W40" i="12"/>
  <c r="Y40" i="12"/>
  <c r="Z40" i="12"/>
  <c r="AA40" i="12"/>
  <c r="AB40" i="12"/>
  <c r="AC40" i="12"/>
  <c r="AD40" i="12"/>
  <c r="AE40" i="12"/>
  <c r="AG40" i="12"/>
  <c r="AH40" i="12"/>
  <c r="AI40" i="12"/>
  <c r="AJ40" i="12"/>
  <c r="AK40" i="12"/>
  <c r="AL40" i="12"/>
  <c r="AM40" i="12"/>
  <c r="AN40" i="12"/>
  <c r="AO40" i="12"/>
  <c r="AP40" i="12"/>
  <c r="AQ40" i="12"/>
  <c r="AR40" i="12"/>
  <c r="AS40" i="12"/>
  <c r="AT40" i="12"/>
  <c r="AU40" i="12"/>
  <c r="AV40" i="12"/>
  <c r="W41" i="12"/>
  <c r="Y41" i="12"/>
  <c r="Z41" i="12"/>
  <c r="AA41" i="12"/>
  <c r="AB41" i="12"/>
  <c r="AC41" i="12"/>
  <c r="AD41" i="12"/>
  <c r="AE41" i="12"/>
  <c r="AG41" i="12"/>
  <c r="AH41" i="12"/>
  <c r="AI41" i="12"/>
  <c r="AJ41" i="12"/>
  <c r="AK41" i="12"/>
  <c r="AL41" i="12"/>
  <c r="AM41" i="12"/>
  <c r="AN41" i="12"/>
  <c r="AO41" i="12"/>
  <c r="AP41" i="12"/>
  <c r="AQ41" i="12"/>
  <c r="AR41" i="12"/>
  <c r="AS41" i="12"/>
  <c r="AT41" i="12"/>
  <c r="AU41" i="12"/>
  <c r="AV41" i="12"/>
  <c r="W42" i="12"/>
  <c r="Y42" i="12"/>
  <c r="Z42" i="12"/>
  <c r="AA42" i="12"/>
  <c r="AB42" i="12"/>
  <c r="AC42" i="12"/>
  <c r="AD42" i="12"/>
  <c r="AE42" i="12"/>
  <c r="AG42" i="12"/>
  <c r="AH42" i="12"/>
  <c r="AI42" i="12"/>
  <c r="AJ42" i="12"/>
  <c r="AK42" i="12"/>
  <c r="AL42" i="12"/>
  <c r="AM42" i="12"/>
  <c r="AN42" i="12"/>
  <c r="AO42" i="12"/>
  <c r="AP42" i="12"/>
  <c r="AQ42" i="12"/>
  <c r="AR42" i="12"/>
  <c r="AS42" i="12"/>
  <c r="AT42" i="12"/>
  <c r="AU42" i="12"/>
  <c r="AV42" i="12"/>
  <c r="W43" i="12"/>
  <c r="Y43" i="12"/>
  <c r="Z43" i="12"/>
  <c r="AA43" i="12"/>
  <c r="AB43" i="12"/>
  <c r="AC43" i="12"/>
  <c r="AD43" i="12"/>
  <c r="AE43" i="12"/>
  <c r="AG43" i="12"/>
  <c r="AH43" i="12"/>
  <c r="AI43" i="12"/>
  <c r="AJ43" i="12"/>
  <c r="AK43" i="12"/>
  <c r="AL43" i="12"/>
  <c r="AM43" i="12"/>
  <c r="AN43" i="12"/>
  <c r="AO43" i="12"/>
  <c r="AP43" i="12"/>
  <c r="AQ43" i="12"/>
  <c r="AR43" i="12"/>
  <c r="AS43" i="12"/>
  <c r="AT43" i="12"/>
  <c r="AU43" i="12"/>
  <c r="AV43" i="12"/>
  <c r="W44" i="12"/>
  <c r="Y44" i="12"/>
  <c r="Z44" i="12"/>
  <c r="AA44" i="12"/>
  <c r="AB44" i="12"/>
  <c r="AC44" i="12"/>
  <c r="AD44" i="12"/>
  <c r="AE44" i="12"/>
  <c r="AG44" i="12"/>
  <c r="AH44" i="12"/>
  <c r="AI44" i="12"/>
  <c r="AJ44" i="12"/>
  <c r="AK44" i="12"/>
  <c r="AL44" i="12"/>
  <c r="AM44" i="12"/>
  <c r="AN44" i="12"/>
  <c r="AO44" i="12"/>
  <c r="AP44" i="12"/>
  <c r="AQ44" i="12"/>
  <c r="AR44" i="12"/>
  <c r="AS44" i="12"/>
  <c r="AT44" i="12"/>
  <c r="AU44" i="12"/>
  <c r="AV44" i="12"/>
  <c r="W45" i="12"/>
  <c r="Y45" i="12"/>
  <c r="Z45" i="12"/>
  <c r="AA45" i="12"/>
  <c r="AB45" i="12"/>
  <c r="AC45" i="12"/>
  <c r="AD45" i="12"/>
  <c r="AE45" i="12"/>
  <c r="AG45" i="12"/>
  <c r="AH45" i="12"/>
  <c r="AI45" i="12"/>
  <c r="AJ45" i="12"/>
  <c r="AK45" i="12"/>
  <c r="AL45" i="12"/>
  <c r="AM45" i="12"/>
  <c r="AN45" i="12"/>
  <c r="AO45" i="12"/>
  <c r="AP45" i="12"/>
  <c r="AQ45" i="12"/>
  <c r="AR45" i="12"/>
  <c r="AS45" i="12"/>
  <c r="AT45" i="12"/>
  <c r="AU45" i="12"/>
  <c r="AV45" i="12"/>
  <c r="W46" i="12"/>
  <c r="Y46" i="12"/>
  <c r="Z46" i="12"/>
  <c r="AA46" i="12"/>
  <c r="AB46" i="12"/>
  <c r="AC46" i="12"/>
  <c r="AD46" i="12"/>
  <c r="AE46" i="12"/>
  <c r="AG46" i="12"/>
  <c r="AH46" i="12"/>
  <c r="AI46" i="12"/>
  <c r="AJ46" i="12"/>
  <c r="AK46" i="12"/>
  <c r="AL46" i="12"/>
  <c r="AM46" i="12"/>
  <c r="AN46" i="12"/>
  <c r="AO46" i="12"/>
  <c r="AP46" i="12"/>
  <c r="AQ46" i="12"/>
  <c r="AR46" i="12"/>
  <c r="AS46" i="12"/>
  <c r="AT46" i="12"/>
  <c r="AU46" i="12"/>
  <c r="AV46" i="12"/>
  <c r="W47" i="12"/>
  <c r="Y47" i="12"/>
  <c r="Z47" i="12"/>
  <c r="AA47" i="12"/>
  <c r="AB47" i="12"/>
  <c r="AC47" i="12"/>
  <c r="AD47" i="12"/>
  <c r="AE47" i="12"/>
  <c r="AG47" i="12"/>
  <c r="AH47" i="12"/>
  <c r="AI47" i="12"/>
  <c r="AJ47" i="12"/>
  <c r="AK47" i="12"/>
  <c r="AL47" i="12"/>
  <c r="AM47" i="12"/>
  <c r="AN47" i="12"/>
  <c r="AO47" i="12"/>
  <c r="AP47" i="12"/>
  <c r="AQ47" i="12"/>
  <c r="AR47" i="12"/>
  <c r="AS47" i="12"/>
  <c r="AT47" i="12"/>
  <c r="AU47" i="12"/>
  <c r="AV47" i="12"/>
  <c r="W48" i="12"/>
  <c r="Y48" i="12"/>
  <c r="Z48" i="12"/>
  <c r="AA48" i="12"/>
  <c r="AB48" i="12"/>
  <c r="AC48" i="12"/>
  <c r="AD48" i="12"/>
  <c r="AE48" i="12"/>
  <c r="AG48" i="12"/>
  <c r="AH48" i="12"/>
  <c r="AI48" i="12"/>
  <c r="AJ48" i="12"/>
  <c r="AK48" i="12"/>
  <c r="AL48" i="12"/>
  <c r="AM48" i="12"/>
  <c r="AN48" i="12"/>
  <c r="AO48" i="12"/>
  <c r="AP48" i="12"/>
  <c r="AQ48" i="12"/>
  <c r="AR48" i="12"/>
  <c r="AS48" i="12"/>
  <c r="AT48" i="12"/>
  <c r="AU48" i="12"/>
  <c r="AV48" i="12"/>
  <c r="W49" i="12"/>
  <c r="Y49" i="12"/>
  <c r="Z49" i="12"/>
  <c r="AA49" i="12"/>
  <c r="AB49" i="12"/>
  <c r="AC49" i="12"/>
  <c r="AD49" i="12"/>
  <c r="AE49" i="12"/>
  <c r="AG49" i="12"/>
  <c r="AH49" i="12"/>
  <c r="AI49" i="12"/>
  <c r="AJ49" i="12"/>
  <c r="AK49" i="12"/>
  <c r="AL49" i="12"/>
  <c r="AM49" i="12"/>
  <c r="AN49" i="12"/>
  <c r="AO49" i="12"/>
  <c r="AP49" i="12"/>
  <c r="AQ49" i="12"/>
  <c r="AR49" i="12"/>
  <c r="AS49" i="12"/>
  <c r="AT49" i="12"/>
  <c r="AU49" i="12"/>
  <c r="AV49" i="12"/>
  <c r="W50" i="12"/>
  <c r="Y50" i="12"/>
  <c r="Z50" i="12"/>
  <c r="AA50" i="12"/>
  <c r="AB50" i="12"/>
  <c r="AC50" i="12"/>
  <c r="AD50" i="12"/>
  <c r="AE50" i="12"/>
  <c r="AG50" i="12"/>
  <c r="AH50" i="12"/>
  <c r="AI50" i="12"/>
  <c r="AJ50" i="12"/>
  <c r="AK50" i="12"/>
  <c r="AL50" i="12"/>
  <c r="AM50" i="12"/>
  <c r="AN50" i="12"/>
  <c r="AO50" i="12"/>
  <c r="AP50" i="12"/>
  <c r="AQ50" i="12"/>
  <c r="AR50" i="12"/>
  <c r="AS50" i="12"/>
  <c r="AT50" i="12"/>
  <c r="AU50" i="12"/>
  <c r="AV50" i="12"/>
  <c r="W51" i="12"/>
  <c r="Y51" i="12"/>
  <c r="Z51" i="12"/>
  <c r="AA51" i="12"/>
  <c r="AB51" i="12"/>
  <c r="AC51" i="12"/>
  <c r="AD51" i="12"/>
  <c r="AE51" i="12"/>
  <c r="AG51" i="12"/>
  <c r="AH51" i="12"/>
  <c r="AI51" i="12"/>
  <c r="AJ51" i="12"/>
  <c r="AK51" i="12"/>
  <c r="AL51" i="12"/>
  <c r="AM51" i="12"/>
  <c r="AN51" i="12"/>
  <c r="AO51" i="12"/>
  <c r="AP51" i="12"/>
  <c r="AQ51" i="12"/>
  <c r="AR51" i="12"/>
  <c r="AS51" i="12"/>
  <c r="AT51" i="12"/>
  <c r="AU51" i="12"/>
  <c r="AV51" i="12"/>
  <c r="W36" i="12"/>
  <c r="Y36" i="12"/>
  <c r="Z36" i="12"/>
  <c r="AA36" i="12"/>
  <c r="AB36" i="12"/>
  <c r="AC36" i="12"/>
  <c r="AD36" i="12"/>
  <c r="AE36" i="12"/>
  <c r="AG36" i="12"/>
  <c r="AH36" i="12"/>
  <c r="AI36" i="12"/>
  <c r="AJ36" i="12"/>
  <c r="AK36" i="12"/>
  <c r="AL36" i="12"/>
  <c r="AM36" i="12"/>
  <c r="AN36" i="12"/>
  <c r="AO36" i="12"/>
  <c r="AP36" i="12"/>
  <c r="AQ36" i="12"/>
  <c r="AR36" i="12"/>
  <c r="AS36" i="12"/>
  <c r="AT36" i="12"/>
  <c r="AU36" i="12"/>
  <c r="AV36" i="12"/>
  <c r="W53" i="12"/>
  <c r="Y53" i="12"/>
  <c r="Z53" i="12"/>
  <c r="AA53" i="12"/>
  <c r="AB53" i="12"/>
  <c r="AC53" i="12"/>
  <c r="AD53" i="12"/>
  <c r="AE53" i="12"/>
  <c r="AG53" i="12"/>
  <c r="AH53" i="12"/>
  <c r="AI53" i="12"/>
  <c r="AJ53" i="12"/>
  <c r="AK53" i="12"/>
  <c r="AL53" i="12"/>
  <c r="AM53" i="12"/>
  <c r="AN53" i="12"/>
  <c r="AO53" i="12"/>
  <c r="AP53" i="12"/>
  <c r="AQ53" i="12"/>
  <c r="AR53" i="12"/>
  <c r="AS53" i="12"/>
  <c r="AT53" i="12"/>
  <c r="AU53" i="12"/>
  <c r="AV53" i="12"/>
  <c r="W52" i="12"/>
  <c r="Y52" i="12"/>
  <c r="Z52" i="12"/>
  <c r="AA52" i="12"/>
  <c r="AB52" i="12"/>
  <c r="AC52" i="12"/>
  <c r="AD52" i="12"/>
  <c r="AE52" i="12"/>
  <c r="AG52" i="12"/>
  <c r="AH52" i="12"/>
  <c r="AI52" i="12"/>
  <c r="AJ52" i="12"/>
  <c r="AK52" i="12"/>
  <c r="AL52" i="12"/>
  <c r="AM52" i="12"/>
  <c r="AN52" i="12"/>
  <c r="AO52" i="12"/>
  <c r="AP52" i="12"/>
  <c r="AQ52" i="12"/>
  <c r="AR52" i="12"/>
  <c r="AS52" i="12"/>
  <c r="AT52" i="12"/>
  <c r="AU52" i="12"/>
  <c r="AV52" i="12"/>
  <c r="W55" i="12"/>
  <c r="Y55" i="12"/>
  <c r="Z55" i="12"/>
  <c r="AA55" i="12"/>
  <c r="AB55" i="12"/>
  <c r="AC55" i="12"/>
  <c r="AD55" i="12"/>
  <c r="AE55" i="12"/>
  <c r="AG55" i="12"/>
  <c r="AH55" i="12"/>
  <c r="AI55" i="12"/>
  <c r="AJ55" i="12"/>
  <c r="AK55" i="12"/>
  <c r="AL55" i="12"/>
  <c r="AM55" i="12"/>
  <c r="AN55" i="12"/>
  <c r="AO55" i="12"/>
  <c r="AP55" i="12"/>
  <c r="AQ55" i="12"/>
  <c r="AR55" i="12"/>
  <c r="AS55" i="12"/>
  <c r="AT55" i="12"/>
  <c r="AU55" i="12"/>
  <c r="AV55" i="12"/>
  <c r="W56" i="12"/>
  <c r="Y56" i="12"/>
  <c r="Z56" i="12"/>
  <c r="AA56" i="12"/>
  <c r="AB56" i="12"/>
  <c r="AC56" i="12"/>
  <c r="AD56" i="12"/>
  <c r="AE56" i="12"/>
  <c r="AG56" i="12"/>
  <c r="AH56" i="12"/>
  <c r="AI56" i="12"/>
  <c r="AJ56" i="12"/>
  <c r="AK56" i="12"/>
  <c r="AL56" i="12"/>
  <c r="AM56" i="12"/>
  <c r="AN56" i="12"/>
  <c r="AO56" i="12"/>
  <c r="AP56" i="12"/>
  <c r="AQ56" i="12"/>
  <c r="AR56" i="12"/>
  <c r="AS56" i="12"/>
  <c r="AT56" i="12"/>
  <c r="AU56" i="12"/>
  <c r="AV56" i="12"/>
  <c r="W57" i="12"/>
  <c r="Y57" i="12"/>
  <c r="Z57" i="12"/>
  <c r="AA57" i="12"/>
  <c r="AB57" i="12"/>
  <c r="AC57" i="12"/>
  <c r="AD57" i="12"/>
  <c r="AE57" i="12"/>
  <c r="AG57" i="12"/>
  <c r="AH57" i="12"/>
  <c r="AI57" i="12"/>
  <c r="AJ57" i="12"/>
  <c r="AK57" i="12"/>
  <c r="AL57" i="12"/>
  <c r="AM57" i="12"/>
  <c r="AN57" i="12"/>
  <c r="AO57" i="12"/>
  <c r="AP57" i="12"/>
  <c r="AQ57" i="12"/>
  <c r="AR57" i="12"/>
  <c r="AS57" i="12"/>
  <c r="AT57" i="12"/>
  <c r="AU57" i="12"/>
  <c r="AV57" i="12"/>
  <c r="W58" i="12"/>
  <c r="Y58" i="12"/>
  <c r="Z58" i="12"/>
  <c r="AA58" i="12"/>
  <c r="AB58" i="12"/>
  <c r="AC58" i="12"/>
  <c r="AD58" i="12"/>
  <c r="AE58" i="12"/>
  <c r="AG58" i="12"/>
  <c r="AH58" i="12"/>
  <c r="AI58" i="12"/>
  <c r="AJ58" i="12"/>
  <c r="AK58" i="12"/>
  <c r="AL58" i="12"/>
  <c r="AM58" i="12"/>
  <c r="AN58" i="12"/>
  <c r="AO58" i="12"/>
  <c r="AP58" i="12"/>
  <c r="AQ58" i="12"/>
  <c r="AR58" i="12"/>
  <c r="AS58" i="12"/>
  <c r="AT58" i="12"/>
  <c r="AU58" i="12"/>
  <c r="AV58" i="12"/>
  <c r="W59" i="12"/>
  <c r="Y59" i="12"/>
  <c r="Z59" i="12"/>
  <c r="AA59" i="12"/>
  <c r="AB59" i="12"/>
  <c r="AC59" i="12"/>
  <c r="AD59" i="12"/>
  <c r="AE59" i="12"/>
  <c r="AG59" i="12"/>
  <c r="AH59" i="12"/>
  <c r="AI59" i="12"/>
  <c r="AJ59" i="12"/>
  <c r="AK59" i="12"/>
  <c r="AL59" i="12"/>
  <c r="AM59" i="12"/>
  <c r="AN59" i="12"/>
  <c r="AO59" i="12"/>
  <c r="AP59" i="12"/>
  <c r="AQ59" i="12"/>
  <c r="AR59" i="12"/>
  <c r="AS59" i="12"/>
  <c r="AT59" i="12"/>
  <c r="AU59" i="12"/>
  <c r="AV59" i="12"/>
  <c r="W139" i="12"/>
  <c r="Y139" i="12"/>
  <c r="Z139" i="12"/>
  <c r="AA139" i="12"/>
  <c r="AB139" i="12"/>
  <c r="AC139" i="12"/>
  <c r="AD139" i="12"/>
  <c r="AE139" i="12"/>
  <c r="AG139" i="12"/>
  <c r="AH139" i="12"/>
  <c r="AI139" i="12"/>
  <c r="AJ139" i="12"/>
  <c r="AK139" i="12"/>
  <c r="AL139" i="12"/>
  <c r="AM139" i="12"/>
  <c r="AN139" i="12"/>
  <c r="AO139" i="12"/>
  <c r="AP139" i="12"/>
  <c r="AQ139" i="12"/>
  <c r="AR139" i="12"/>
  <c r="AS139" i="12"/>
  <c r="AT139" i="12"/>
  <c r="AU139" i="12"/>
  <c r="AV139" i="12"/>
  <c r="W61" i="12"/>
  <c r="Y61" i="12"/>
  <c r="Z61" i="12"/>
  <c r="AA61" i="12"/>
  <c r="AB61" i="12"/>
  <c r="AC61" i="12"/>
  <c r="AD61" i="12"/>
  <c r="AE61" i="12"/>
  <c r="AG61" i="12"/>
  <c r="AH61" i="12"/>
  <c r="AI61" i="12"/>
  <c r="AJ61" i="12"/>
  <c r="AK61" i="12"/>
  <c r="AL61" i="12"/>
  <c r="AM61" i="12"/>
  <c r="AN61" i="12"/>
  <c r="AO61" i="12"/>
  <c r="AP61" i="12"/>
  <c r="AQ61" i="12"/>
  <c r="AR61" i="12"/>
  <c r="AS61" i="12"/>
  <c r="AT61" i="12"/>
  <c r="AU61" i="12"/>
  <c r="AV61" i="12"/>
  <c r="W62" i="12"/>
  <c r="Y62" i="12"/>
  <c r="Z62" i="12"/>
  <c r="AA62" i="12"/>
  <c r="AB62" i="12"/>
  <c r="AC62" i="12"/>
  <c r="AD62" i="12"/>
  <c r="AE62" i="12"/>
  <c r="AG62" i="12"/>
  <c r="AH62" i="12"/>
  <c r="AI62" i="12"/>
  <c r="AJ62" i="12"/>
  <c r="AK62" i="12"/>
  <c r="AL62" i="12"/>
  <c r="AM62" i="12"/>
  <c r="AN62" i="12"/>
  <c r="AO62" i="12"/>
  <c r="AP62" i="12"/>
  <c r="AQ62" i="12"/>
  <c r="AR62" i="12"/>
  <c r="AS62" i="12"/>
  <c r="AT62" i="12"/>
  <c r="AU62" i="12"/>
  <c r="AV62" i="12"/>
  <c r="W63" i="12"/>
  <c r="Y63" i="12"/>
  <c r="Z63" i="12"/>
  <c r="AA63" i="12"/>
  <c r="AB63" i="12"/>
  <c r="AC63" i="12"/>
  <c r="AD63" i="12"/>
  <c r="AE63" i="12"/>
  <c r="AG63" i="12"/>
  <c r="AH63" i="12"/>
  <c r="AI63" i="12"/>
  <c r="AJ63" i="12"/>
  <c r="AK63" i="12"/>
  <c r="AL63" i="12"/>
  <c r="AM63" i="12"/>
  <c r="AN63" i="12"/>
  <c r="AO63" i="12"/>
  <c r="AP63" i="12"/>
  <c r="AQ63" i="12"/>
  <c r="AR63" i="12"/>
  <c r="AS63" i="12"/>
  <c r="AT63" i="12"/>
  <c r="AU63" i="12"/>
  <c r="AV63" i="12"/>
  <c r="W64" i="12"/>
  <c r="Y64" i="12"/>
  <c r="Z64" i="12"/>
  <c r="AA64" i="12"/>
  <c r="AB64" i="12"/>
  <c r="AC64" i="12"/>
  <c r="AD64" i="12"/>
  <c r="AE64" i="12"/>
  <c r="AG64" i="12"/>
  <c r="AH64" i="12"/>
  <c r="AI64" i="12"/>
  <c r="AJ64" i="12"/>
  <c r="AK64" i="12"/>
  <c r="AL64" i="12"/>
  <c r="AM64" i="12"/>
  <c r="AN64" i="12"/>
  <c r="AO64" i="12"/>
  <c r="AP64" i="12"/>
  <c r="AQ64" i="12"/>
  <c r="AR64" i="12"/>
  <c r="AS64" i="12"/>
  <c r="AT64" i="12"/>
  <c r="AU64" i="12"/>
  <c r="AV64" i="12"/>
  <c r="W65" i="12"/>
  <c r="Y65" i="12"/>
  <c r="Z65" i="12"/>
  <c r="AA65" i="12"/>
  <c r="AB65" i="12"/>
  <c r="AC65" i="12"/>
  <c r="AD65" i="12"/>
  <c r="AE65" i="12"/>
  <c r="AG65" i="12"/>
  <c r="AH65" i="12"/>
  <c r="AI65" i="12"/>
  <c r="AJ65" i="12"/>
  <c r="AK65" i="12"/>
  <c r="AL65" i="12"/>
  <c r="AM65" i="12"/>
  <c r="AN65" i="12"/>
  <c r="AO65" i="12"/>
  <c r="AP65" i="12"/>
  <c r="AQ65" i="12"/>
  <c r="AR65" i="12"/>
  <c r="AS65" i="12"/>
  <c r="AT65" i="12"/>
  <c r="AU65" i="12"/>
  <c r="AV65" i="12"/>
  <c r="W66" i="12"/>
  <c r="Y66" i="12"/>
  <c r="Z66" i="12"/>
  <c r="AA66" i="12"/>
  <c r="AB66" i="12"/>
  <c r="AC66" i="12"/>
  <c r="AD66" i="12"/>
  <c r="AE66" i="12"/>
  <c r="AG66" i="12"/>
  <c r="AH66" i="12"/>
  <c r="AI66" i="12"/>
  <c r="AJ66" i="12"/>
  <c r="AK66" i="12"/>
  <c r="AL66" i="12"/>
  <c r="AM66" i="12"/>
  <c r="AN66" i="12"/>
  <c r="AO66" i="12"/>
  <c r="AP66" i="12"/>
  <c r="AQ66" i="12"/>
  <c r="AR66" i="12"/>
  <c r="AS66" i="12"/>
  <c r="AT66" i="12"/>
  <c r="AU66" i="12"/>
  <c r="AV66" i="12"/>
  <c r="W67" i="12"/>
  <c r="Y67" i="12"/>
  <c r="Z67" i="12"/>
  <c r="AA67" i="12"/>
  <c r="AB67" i="12"/>
  <c r="AC67" i="12"/>
  <c r="AD67" i="12"/>
  <c r="AE67" i="12"/>
  <c r="AG67" i="12"/>
  <c r="AH67" i="12"/>
  <c r="AI67" i="12"/>
  <c r="AJ67" i="12"/>
  <c r="AK67" i="12"/>
  <c r="AL67" i="12"/>
  <c r="AM67" i="12"/>
  <c r="AN67" i="12"/>
  <c r="AO67" i="12"/>
  <c r="AP67" i="12"/>
  <c r="AQ67" i="12"/>
  <c r="AR67" i="12"/>
  <c r="AS67" i="12"/>
  <c r="AT67" i="12"/>
  <c r="AU67" i="12"/>
  <c r="AV67" i="12"/>
  <c r="W68" i="12"/>
  <c r="Y68" i="12"/>
  <c r="Z68" i="12"/>
  <c r="AA68" i="12"/>
  <c r="AB68" i="12"/>
  <c r="AC68" i="12"/>
  <c r="AD68" i="12"/>
  <c r="AE68" i="12"/>
  <c r="AG68" i="12"/>
  <c r="AH68" i="12"/>
  <c r="AI68" i="12"/>
  <c r="AJ68" i="12"/>
  <c r="AK68" i="12"/>
  <c r="AL68" i="12"/>
  <c r="AM68" i="12"/>
  <c r="AN68" i="12"/>
  <c r="AO68" i="12"/>
  <c r="AP68" i="12"/>
  <c r="AQ68" i="12"/>
  <c r="AR68" i="12"/>
  <c r="AS68" i="12"/>
  <c r="AT68" i="12"/>
  <c r="AU68" i="12"/>
  <c r="AV68" i="12"/>
  <c r="W69" i="12"/>
  <c r="Y69" i="12"/>
  <c r="Z69" i="12"/>
  <c r="AA69" i="12"/>
  <c r="AB69" i="12"/>
  <c r="AC69" i="12"/>
  <c r="AD69" i="12"/>
  <c r="AE69" i="12"/>
  <c r="AG69" i="12"/>
  <c r="AH69" i="12"/>
  <c r="AI69" i="12"/>
  <c r="AJ69" i="12"/>
  <c r="AK69" i="12"/>
  <c r="AL69" i="12"/>
  <c r="AM69" i="12"/>
  <c r="AN69" i="12"/>
  <c r="AO69" i="12"/>
  <c r="AP69" i="12"/>
  <c r="AQ69" i="12"/>
  <c r="AR69" i="12"/>
  <c r="AS69" i="12"/>
  <c r="AT69" i="12"/>
  <c r="AU69" i="12"/>
  <c r="AV69" i="12"/>
  <c r="W70" i="12"/>
  <c r="Y70" i="12"/>
  <c r="Z70" i="12"/>
  <c r="AA70" i="12"/>
  <c r="AB70" i="12"/>
  <c r="AC70" i="12"/>
  <c r="AD70" i="12"/>
  <c r="AE70" i="12"/>
  <c r="AG70" i="12"/>
  <c r="AH70" i="12"/>
  <c r="AI70" i="12"/>
  <c r="AJ70" i="12"/>
  <c r="AK70" i="12"/>
  <c r="AL70" i="12"/>
  <c r="AM70" i="12"/>
  <c r="AN70" i="12"/>
  <c r="AO70" i="12"/>
  <c r="AP70" i="12"/>
  <c r="AQ70" i="12"/>
  <c r="AR70" i="12"/>
  <c r="AS70" i="12"/>
  <c r="AT70" i="12"/>
  <c r="AU70" i="12"/>
  <c r="AV70" i="12"/>
  <c r="W71" i="12"/>
  <c r="Y71" i="12"/>
  <c r="Z71" i="12"/>
  <c r="AA71" i="12"/>
  <c r="AB71" i="12"/>
  <c r="AC71" i="12"/>
  <c r="AD71" i="12"/>
  <c r="AE71" i="12"/>
  <c r="AG71" i="12"/>
  <c r="AH71" i="12"/>
  <c r="AI71" i="12"/>
  <c r="AJ71" i="12"/>
  <c r="AK71" i="12"/>
  <c r="AL71" i="12"/>
  <c r="AM71" i="12"/>
  <c r="AN71" i="12"/>
  <c r="AO71" i="12"/>
  <c r="AP71" i="12"/>
  <c r="AQ71" i="12"/>
  <c r="AR71" i="12"/>
  <c r="AS71" i="12"/>
  <c r="AT71" i="12"/>
  <c r="AU71" i="12"/>
  <c r="AV71" i="12"/>
  <c r="W72" i="12"/>
  <c r="Y72" i="12"/>
  <c r="Z72" i="12"/>
  <c r="AA72" i="12"/>
  <c r="AB72" i="12"/>
  <c r="AC72" i="12"/>
  <c r="AD72" i="12"/>
  <c r="AE72" i="12"/>
  <c r="AG72" i="12"/>
  <c r="AH72" i="12"/>
  <c r="AI72" i="12"/>
  <c r="AJ72" i="12"/>
  <c r="AK72" i="12"/>
  <c r="AL72" i="12"/>
  <c r="AM72" i="12"/>
  <c r="AN72" i="12"/>
  <c r="AO72" i="12"/>
  <c r="AP72" i="12"/>
  <c r="AQ72" i="12"/>
  <c r="AR72" i="12"/>
  <c r="AS72" i="12"/>
  <c r="AT72" i="12"/>
  <c r="AU72" i="12"/>
  <c r="AV72" i="12"/>
  <c r="W73" i="12"/>
  <c r="Y73" i="12"/>
  <c r="Z73" i="12"/>
  <c r="AA73" i="12"/>
  <c r="AB73" i="12"/>
  <c r="AC73" i="12"/>
  <c r="AD73" i="12"/>
  <c r="AE73" i="12"/>
  <c r="AG73" i="12"/>
  <c r="AH73" i="12"/>
  <c r="AI73" i="12"/>
  <c r="AJ73" i="12"/>
  <c r="AK73" i="12"/>
  <c r="AL73" i="12"/>
  <c r="AM73" i="12"/>
  <c r="AN73" i="12"/>
  <c r="AO73" i="12"/>
  <c r="AP73" i="12"/>
  <c r="AQ73" i="12"/>
  <c r="AR73" i="12"/>
  <c r="AS73" i="12"/>
  <c r="AT73" i="12"/>
  <c r="AU73" i="12"/>
  <c r="AV73" i="12"/>
  <c r="W74" i="12"/>
  <c r="Y74" i="12"/>
  <c r="Z74" i="12"/>
  <c r="AA74" i="12"/>
  <c r="AB74" i="12"/>
  <c r="AC74" i="12"/>
  <c r="AD74" i="12"/>
  <c r="AE74" i="12"/>
  <c r="AG74" i="12"/>
  <c r="AH74" i="12"/>
  <c r="AI74" i="12"/>
  <c r="AJ74" i="12"/>
  <c r="AK74" i="12"/>
  <c r="AL74" i="12"/>
  <c r="AM74" i="12"/>
  <c r="AN74" i="12"/>
  <c r="AO74" i="12"/>
  <c r="AP74" i="12"/>
  <c r="AQ74" i="12"/>
  <c r="AR74" i="12"/>
  <c r="AS74" i="12"/>
  <c r="AT74" i="12"/>
  <c r="AU74" i="12"/>
  <c r="AV74" i="12"/>
  <c r="W75" i="12"/>
  <c r="Y75" i="12"/>
  <c r="Z75" i="12"/>
  <c r="AA75" i="12"/>
  <c r="AB75" i="12"/>
  <c r="AC75" i="12"/>
  <c r="AD75" i="12"/>
  <c r="AE75" i="12"/>
  <c r="AG75" i="12"/>
  <c r="AH75" i="12"/>
  <c r="AI75" i="12"/>
  <c r="AJ75" i="12"/>
  <c r="AK75" i="12"/>
  <c r="AL75" i="12"/>
  <c r="AM75" i="12"/>
  <c r="AN75" i="12"/>
  <c r="AO75" i="12"/>
  <c r="AP75" i="12"/>
  <c r="AQ75" i="12"/>
  <c r="AR75" i="12"/>
  <c r="AS75" i="12"/>
  <c r="AT75" i="12"/>
  <c r="AU75" i="12"/>
  <c r="AV75" i="12"/>
  <c r="W76" i="12"/>
  <c r="Y76" i="12"/>
  <c r="Z76" i="12"/>
  <c r="AA76" i="12"/>
  <c r="AB76" i="12"/>
  <c r="AC76" i="12"/>
  <c r="AD76" i="12"/>
  <c r="AE76" i="12"/>
  <c r="AG76" i="12"/>
  <c r="AH76" i="12"/>
  <c r="AI76" i="12"/>
  <c r="AJ76" i="12"/>
  <c r="AK76" i="12"/>
  <c r="AL76" i="12"/>
  <c r="AM76" i="12"/>
  <c r="AN76" i="12"/>
  <c r="AO76" i="12"/>
  <c r="AP76" i="12"/>
  <c r="AQ76" i="12"/>
  <c r="AR76" i="12"/>
  <c r="AS76" i="12"/>
  <c r="AT76" i="12"/>
  <c r="AU76" i="12"/>
  <c r="AV76" i="12"/>
  <c r="W77" i="12"/>
  <c r="Y77" i="12"/>
  <c r="Z77" i="12"/>
  <c r="AA77" i="12"/>
  <c r="AB77" i="12"/>
  <c r="AC77" i="12"/>
  <c r="AD77" i="12"/>
  <c r="AE77" i="12"/>
  <c r="AG77" i="12"/>
  <c r="AH77" i="12"/>
  <c r="AI77" i="12"/>
  <c r="AJ77" i="12"/>
  <c r="AK77" i="12"/>
  <c r="AL77" i="12"/>
  <c r="AM77" i="12"/>
  <c r="AN77" i="12"/>
  <c r="AO77" i="12"/>
  <c r="AP77" i="12"/>
  <c r="AQ77" i="12"/>
  <c r="AR77" i="12"/>
  <c r="AS77" i="12"/>
  <c r="AT77" i="12"/>
  <c r="AU77" i="12"/>
  <c r="AV77" i="12"/>
  <c r="W78" i="12"/>
  <c r="Y78" i="12"/>
  <c r="Z78" i="12"/>
  <c r="AA78" i="12"/>
  <c r="AB78" i="12"/>
  <c r="AC78" i="12"/>
  <c r="AD78" i="12"/>
  <c r="AE78" i="12"/>
  <c r="AG78" i="12"/>
  <c r="AH78" i="12"/>
  <c r="AI78" i="12"/>
  <c r="AJ78" i="12"/>
  <c r="AK78" i="12"/>
  <c r="AL78" i="12"/>
  <c r="AM78" i="12"/>
  <c r="AN78" i="12"/>
  <c r="AO78" i="12"/>
  <c r="AP78" i="12"/>
  <c r="AQ78" i="12"/>
  <c r="AR78" i="12"/>
  <c r="AS78" i="12"/>
  <c r="AT78" i="12"/>
  <c r="AU78" i="12"/>
  <c r="AV78" i="12"/>
  <c r="W79" i="12"/>
  <c r="Y79" i="12"/>
  <c r="Z79" i="12"/>
  <c r="AA79" i="12"/>
  <c r="AB79" i="12"/>
  <c r="AC79" i="12"/>
  <c r="AD79" i="12"/>
  <c r="AE79" i="12"/>
  <c r="AG79" i="12"/>
  <c r="AH79" i="12"/>
  <c r="AI79" i="12"/>
  <c r="AJ79" i="12"/>
  <c r="AK79" i="12"/>
  <c r="AL79" i="12"/>
  <c r="AM79" i="12"/>
  <c r="AN79" i="12"/>
  <c r="AO79" i="12"/>
  <c r="AP79" i="12"/>
  <c r="AQ79" i="12"/>
  <c r="AR79" i="12"/>
  <c r="AS79" i="12"/>
  <c r="AT79" i="12"/>
  <c r="AU79" i="12"/>
  <c r="AV79" i="12"/>
  <c r="W80" i="12"/>
  <c r="Y80" i="12"/>
  <c r="Z80" i="12"/>
  <c r="AA80" i="12"/>
  <c r="AB80" i="12"/>
  <c r="AC80" i="12"/>
  <c r="AD80" i="12"/>
  <c r="AE80" i="12"/>
  <c r="AG80" i="12"/>
  <c r="AH80" i="12"/>
  <c r="AI80" i="12"/>
  <c r="AJ80" i="12"/>
  <c r="AK80" i="12"/>
  <c r="AL80" i="12"/>
  <c r="AM80" i="12"/>
  <c r="AN80" i="12"/>
  <c r="AO80" i="12"/>
  <c r="AP80" i="12"/>
  <c r="AQ80" i="12"/>
  <c r="AR80" i="12"/>
  <c r="AS80" i="12"/>
  <c r="AT80" i="12"/>
  <c r="AU80" i="12"/>
  <c r="AV80" i="12"/>
  <c r="W81" i="12"/>
  <c r="Y81" i="12"/>
  <c r="Z81" i="12"/>
  <c r="AA81" i="12"/>
  <c r="AB81" i="12"/>
  <c r="AC81" i="12"/>
  <c r="AD81" i="12"/>
  <c r="AE81" i="12"/>
  <c r="AG81" i="12"/>
  <c r="AH81" i="12"/>
  <c r="AI81" i="12"/>
  <c r="AJ81" i="12"/>
  <c r="AK81" i="12"/>
  <c r="AL81" i="12"/>
  <c r="AM81" i="12"/>
  <c r="AN81" i="12"/>
  <c r="AO81" i="12"/>
  <c r="AP81" i="12"/>
  <c r="AQ81" i="12"/>
  <c r="AR81" i="12"/>
  <c r="AS81" i="12"/>
  <c r="AT81" i="12"/>
  <c r="AU81" i="12"/>
  <c r="AV81" i="12"/>
  <c r="W82" i="12"/>
  <c r="Y82" i="12"/>
  <c r="Z82" i="12"/>
  <c r="AA82" i="12"/>
  <c r="AB82" i="12"/>
  <c r="AC82" i="12"/>
  <c r="AD82" i="12"/>
  <c r="AE82" i="12"/>
  <c r="AG82" i="12"/>
  <c r="AH82" i="12"/>
  <c r="AI82" i="12"/>
  <c r="AJ82" i="12"/>
  <c r="AK82" i="12"/>
  <c r="AL82" i="12"/>
  <c r="AM82" i="12"/>
  <c r="AN82" i="12"/>
  <c r="AO82" i="12"/>
  <c r="AP82" i="12"/>
  <c r="AQ82" i="12"/>
  <c r="AR82" i="12"/>
  <c r="AS82" i="12"/>
  <c r="AT82" i="12"/>
  <c r="AU82" i="12"/>
  <c r="AV82" i="12"/>
  <c r="W83" i="12"/>
  <c r="Y83" i="12"/>
  <c r="Z83" i="12"/>
  <c r="AA83" i="12"/>
  <c r="AB83" i="12"/>
  <c r="AC83" i="12"/>
  <c r="AD83" i="12"/>
  <c r="AE83" i="12"/>
  <c r="AG83" i="12"/>
  <c r="AH83" i="12"/>
  <c r="AI83" i="12"/>
  <c r="AJ83" i="12"/>
  <c r="AK83" i="12"/>
  <c r="AL83" i="12"/>
  <c r="AM83" i="12"/>
  <c r="AN83" i="12"/>
  <c r="AO83" i="12"/>
  <c r="AP83" i="12"/>
  <c r="AQ83" i="12"/>
  <c r="AR83" i="12"/>
  <c r="AS83" i="12"/>
  <c r="AT83" i="12"/>
  <c r="AU83" i="12"/>
  <c r="AV83" i="12"/>
  <c r="W84" i="12"/>
  <c r="Y84" i="12"/>
  <c r="Z84" i="12"/>
  <c r="AA84" i="12"/>
  <c r="AB84" i="12"/>
  <c r="AC84" i="12"/>
  <c r="AD84" i="12"/>
  <c r="AE84" i="12"/>
  <c r="AG84" i="12"/>
  <c r="AH84" i="12"/>
  <c r="AI84" i="12"/>
  <c r="AJ84" i="12"/>
  <c r="AK84" i="12"/>
  <c r="AL84" i="12"/>
  <c r="AM84" i="12"/>
  <c r="AN84" i="12"/>
  <c r="AO84" i="12"/>
  <c r="AP84" i="12"/>
  <c r="AQ84" i="12"/>
  <c r="AR84" i="12"/>
  <c r="AS84" i="12"/>
  <c r="AT84" i="12"/>
  <c r="AU84" i="12"/>
  <c r="AV84" i="12"/>
  <c r="W85" i="12"/>
  <c r="Y85" i="12"/>
  <c r="Z85" i="12"/>
  <c r="AA85" i="12"/>
  <c r="AB85" i="12"/>
  <c r="AC85" i="12"/>
  <c r="AD85" i="12"/>
  <c r="AE85" i="12"/>
  <c r="AG85" i="12"/>
  <c r="AH85" i="12"/>
  <c r="AI85" i="12"/>
  <c r="AJ85" i="12"/>
  <c r="AK85" i="12"/>
  <c r="AL85" i="12"/>
  <c r="AM85" i="12"/>
  <c r="AN85" i="12"/>
  <c r="AO85" i="12"/>
  <c r="AP85" i="12"/>
  <c r="AQ85" i="12"/>
  <c r="AR85" i="12"/>
  <c r="AS85" i="12"/>
  <c r="AT85" i="12"/>
  <c r="AU85" i="12"/>
  <c r="AV85" i="12"/>
  <c r="W86" i="12"/>
  <c r="Y86" i="12"/>
  <c r="Z86" i="12"/>
  <c r="AA86" i="12"/>
  <c r="AB86" i="12"/>
  <c r="AC86" i="12"/>
  <c r="AD86" i="12"/>
  <c r="AE86" i="12"/>
  <c r="AG86" i="12"/>
  <c r="AH86" i="12"/>
  <c r="AI86" i="12"/>
  <c r="AJ86" i="12"/>
  <c r="AK86" i="12"/>
  <c r="AL86" i="12"/>
  <c r="AM86" i="12"/>
  <c r="AN86" i="12"/>
  <c r="AO86" i="12"/>
  <c r="AP86" i="12"/>
  <c r="AQ86" i="12"/>
  <c r="AR86" i="12"/>
  <c r="AS86" i="12"/>
  <c r="AT86" i="12"/>
  <c r="AU86" i="12"/>
  <c r="AV86" i="12"/>
  <c r="W87" i="12"/>
  <c r="Y87" i="12"/>
  <c r="Z87" i="12"/>
  <c r="AA87" i="12"/>
  <c r="AB87" i="12"/>
  <c r="AC87" i="12"/>
  <c r="AD87" i="12"/>
  <c r="AE87" i="12"/>
  <c r="AG87" i="12"/>
  <c r="AH87" i="12"/>
  <c r="AI87" i="12"/>
  <c r="AJ87" i="12"/>
  <c r="AK87" i="12"/>
  <c r="AL87" i="12"/>
  <c r="AM87" i="12"/>
  <c r="AN87" i="12"/>
  <c r="AO87" i="12"/>
  <c r="AP87" i="12"/>
  <c r="AQ87" i="12"/>
  <c r="AR87" i="12"/>
  <c r="AS87" i="12"/>
  <c r="AT87" i="12"/>
  <c r="AU87" i="12"/>
  <c r="AV87" i="12"/>
  <c r="W88" i="12"/>
  <c r="Y88" i="12"/>
  <c r="Z88" i="12"/>
  <c r="AA88" i="12"/>
  <c r="AB88" i="12"/>
  <c r="AC88" i="12"/>
  <c r="AD88" i="12"/>
  <c r="AE88" i="12"/>
  <c r="AG88" i="12"/>
  <c r="AH88" i="12"/>
  <c r="AI88" i="12"/>
  <c r="AJ88" i="12"/>
  <c r="AK88" i="12"/>
  <c r="AL88" i="12"/>
  <c r="AM88" i="12"/>
  <c r="AN88" i="12"/>
  <c r="AO88" i="12"/>
  <c r="AP88" i="12"/>
  <c r="AQ88" i="12"/>
  <c r="AR88" i="12"/>
  <c r="AS88" i="12"/>
  <c r="AT88" i="12"/>
  <c r="AU88" i="12"/>
  <c r="AV88" i="12"/>
  <c r="W89" i="12"/>
  <c r="Y89" i="12"/>
  <c r="Z89" i="12"/>
  <c r="AA89" i="12"/>
  <c r="AB89" i="12"/>
  <c r="AC89" i="12"/>
  <c r="AD89" i="12"/>
  <c r="AE89" i="12"/>
  <c r="AG89" i="12"/>
  <c r="AH89" i="12"/>
  <c r="AI89" i="12"/>
  <c r="AJ89" i="12"/>
  <c r="AK89" i="12"/>
  <c r="AL89" i="12"/>
  <c r="AM89" i="12"/>
  <c r="AN89" i="12"/>
  <c r="AO89" i="12"/>
  <c r="AP89" i="12"/>
  <c r="AQ89" i="12"/>
  <c r="AR89" i="12"/>
  <c r="AS89" i="12"/>
  <c r="AT89" i="12"/>
  <c r="AU89" i="12"/>
  <c r="AV89" i="12"/>
  <c r="W90" i="12"/>
  <c r="Y90" i="12"/>
  <c r="Z90" i="12"/>
  <c r="AA90" i="12"/>
  <c r="AB90" i="12"/>
  <c r="AC90" i="12"/>
  <c r="AD90" i="12"/>
  <c r="AE90" i="12"/>
  <c r="AG90" i="12"/>
  <c r="AH90" i="12"/>
  <c r="AI90" i="12"/>
  <c r="AJ90" i="12"/>
  <c r="AK90" i="12"/>
  <c r="AL90" i="12"/>
  <c r="AM90" i="12"/>
  <c r="AN90" i="12"/>
  <c r="AO90" i="12"/>
  <c r="AP90" i="12"/>
  <c r="AQ90" i="12"/>
  <c r="AR90" i="12"/>
  <c r="AS90" i="12"/>
  <c r="AT90" i="12"/>
  <c r="AU90" i="12"/>
  <c r="AV90" i="12"/>
  <c r="W91" i="12"/>
  <c r="Y91" i="12"/>
  <c r="Z91" i="12"/>
  <c r="AA91" i="12"/>
  <c r="AB91" i="12"/>
  <c r="AC91" i="12"/>
  <c r="AD91" i="12"/>
  <c r="AE91" i="12"/>
  <c r="AG91" i="12"/>
  <c r="AH91" i="12"/>
  <c r="AI91" i="12"/>
  <c r="AJ91" i="12"/>
  <c r="AK91" i="12"/>
  <c r="AL91" i="12"/>
  <c r="AM91" i="12"/>
  <c r="AN91" i="12"/>
  <c r="AO91" i="12"/>
  <c r="AP91" i="12"/>
  <c r="AQ91" i="12"/>
  <c r="AR91" i="12"/>
  <c r="AS91" i="12"/>
  <c r="AT91" i="12"/>
  <c r="AU91" i="12"/>
  <c r="AV91" i="12"/>
  <c r="W92" i="12"/>
  <c r="Y92" i="12"/>
  <c r="Z92" i="12"/>
  <c r="AA92" i="12"/>
  <c r="AB92" i="12"/>
  <c r="AC92" i="12"/>
  <c r="AD92" i="12"/>
  <c r="AE92" i="12"/>
  <c r="AG92" i="12"/>
  <c r="AH92" i="12"/>
  <c r="AI92" i="12"/>
  <c r="AJ92" i="12"/>
  <c r="AK92" i="12"/>
  <c r="AL92" i="12"/>
  <c r="AM92" i="12"/>
  <c r="AN92" i="12"/>
  <c r="AO92" i="12"/>
  <c r="AP92" i="12"/>
  <c r="AQ92" i="12"/>
  <c r="AR92" i="12"/>
  <c r="AS92" i="12"/>
  <c r="AT92" i="12"/>
  <c r="AU92" i="12"/>
  <c r="AV92" i="12"/>
  <c r="W93" i="12"/>
  <c r="Y93" i="12"/>
  <c r="Z93" i="12"/>
  <c r="AA93" i="12"/>
  <c r="AB93" i="12"/>
  <c r="AC93" i="12"/>
  <c r="AD93" i="12"/>
  <c r="AE93" i="12"/>
  <c r="AG93" i="12"/>
  <c r="AH93" i="12"/>
  <c r="AI93" i="12"/>
  <c r="AJ93" i="12"/>
  <c r="AK93" i="12"/>
  <c r="AL93" i="12"/>
  <c r="AM93" i="12"/>
  <c r="AN93" i="12"/>
  <c r="AO93" i="12"/>
  <c r="AP93" i="12"/>
  <c r="AQ93" i="12"/>
  <c r="AR93" i="12"/>
  <c r="AS93" i="12"/>
  <c r="AT93" i="12"/>
  <c r="AU93" i="12"/>
  <c r="AV93" i="12"/>
  <c r="W94" i="12"/>
  <c r="Y94" i="12"/>
  <c r="Z94" i="12"/>
  <c r="AA94" i="12"/>
  <c r="AB94" i="12"/>
  <c r="AC94" i="12"/>
  <c r="AD94" i="12"/>
  <c r="AE94" i="12"/>
  <c r="AG94" i="12"/>
  <c r="AH94" i="12"/>
  <c r="AI94" i="12"/>
  <c r="AJ94" i="12"/>
  <c r="AK94" i="12"/>
  <c r="AL94" i="12"/>
  <c r="AM94" i="12"/>
  <c r="AN94" i="12"/>
  <c r="AO94" i="12"/>
  <c r="AP94" i="12"/>
  <c r="AQ94" i="12"/>
  <c r="AR94" i="12"/>
  <c r="AS94" i="12"/>
  <c r="AT94" i="12"/>
  <c r="AU94" i="12"/>
  <c r="AV94" i="12"/>
  <c r="W95" i="12"/>
  <c r="Y95" i="12"/>
  <c r="Z95" i="12"/>
  <c r="AA95" i="12"/>
  <c r="AB95" i="12"/>
  <c r="AC95" i="12"/>
  <c r="AD95" i="12"/>
  <c r="AE95" i="12"/>
  <c r="AG95" i="12"/>
  <c r="AH95" i="12"/>
  <c r="AI95" i="12"/>
  <c r="AJ95" i="12"/>
  <c r="AK95" i="12"/>
  <c r="AL95" i="12"/>
  <c r="AM95" i="12"/>
  <c r="AN95" i="12"/>
  <c r="AO95" i="12"/>
  <c r="AP95" i="12"/>
  <c r="AQ95" i="12"/>
  <c r="AR95" i="12"/>
  <c r="AS95" i="12"/>
  <c r="AT95" i="12"/>
  <c r="AU95" i="12"/>
  <c r="AV95" i="12"/>
  <c r="W96" i="12"/>
  <c r="Y96" i="12"/>
  <c r="Z96" i="12"/>
  <c r="AA96" i="12"/>
  <c r="AB96" i="12"/>
  <c r="AC96" i="12"/>
  <c r="AD96" i="12"/>
  <c r="AE96" i="12"/>
  <c r="AG96" i="12"/>
  <c r="AH96" i="12"/>
  <c r="AI96" i="12"/>
  <c r="AJ96" i="12"/>
  <c r="AK96" i="12"/>
  <c r="AL96" i="12"/>
  <c r="AM96" i="12"/>
  <c r="AN96" i="12"/>
  <c r="AO96" i="12"/>
  <c r="AP96" i="12"/>
  <c r="AQ96" i="12"/>
  <c r="AR96" i="12"/>
  <c r="AS96" i="12"/>
  <c r="AT96" i="12"/>
  <c r="AU96" i="12"/>
  <c r="AV96" i="12"/>
  <c r="W97" i="12"/>
  <c r="Y97" i="12"/>
  <c r="Z97" i="12"/>
  <c r="AA97" i="12"/>
  <c r="AB97" i="12"/>
  <c r="AC97" i="12"/>
  <c r="AD97" i="12"/>
  <c r="AE97" i="12"/>
  <c r="AG97" i="12"/>
  <c r="AH97" i="12"/>
  <c r="AI97" i="12"/>
  <c r="AJ97" i="12"/>
  <c r="AK97" i="12"/>
  <c r="AL97" i="12"/>
  <c r="AM97" i="12"/>
  <c r="AN97" i="12"/>
  <c r="AO97" i="12"/>
  <c r="AP97" i="12"/>
  <c r="AQ97" i="12"/>
  <c r="AR97" i="12"/>
  <c r="AS97" i="12"/>
  <c r="AT97" i="12"/>
  <c r="AU97" i="12"/>
  <c r="AV97" i="12"/>
  <c r="W98" i="12"/>
  <c r="Y98" i="12"/>
  <c r="Z98" i="12"/>
  <c r="AA98" i="12"/>
  <c r="AB98" i="12"/>
  <c r="AC98" i="12"/>
  <c r="AD98" i="12"/>
  <c r="AE98" i="12"/>
  <c r="AG98" i="12"/>
  <c r="AH98" i="12"/>
  <c r="AI98" i="12"/>
  <c r="AJ98" i="12"/>
  <c r="AK98" i="12"/>
  <c r="AL98" i="12"/>
  <c r="AM98" i="12"/>
  <c r="AN98" i="12"/>
  <c r="AO98" i="12"/>
  <c r="AP98" i="12"/>
  <c r="AQ98" i="12"/>
  <c r="AR98" i="12"/>
  <c r="AS98" i="12"/>
  <c r="AT98" i="12"/>
  <c r="AU98" i="12"/>
  <c r="AV98" i="12"/>
  <c r="W99" i="12"/>
  <c r="Y99" i="12"/>
  <c r="Z99" i="12"/>
  <c r="AA99" i="12"/>
  <c r="AB99" i="12"/>
  <c r="AC99" i="12"/>
  <c r="AD99" i="12"/>
  <c r="AE99" i="12"/>
  <c r="AG99" i="12"/>
  <c r="AH99" i="12"/>
  <c r="AI99" i="12"/>
  <c r="AJ99" i="12"/>
  <c r="AK99" i="12"/>
  <c r="AL99" i="12"/>
  <c r="AM99" i="12"/>
  <c r="AN99" i="12"/>
  <c r="AO99" i="12"/>
  <c r="AP99" i="12"/>
  <c r="AQ99" i="12"/>
  <c r="AR99" i="12"/>
  <c r="AS99" i="12"/>
  <c r="AT99" i="12"/>
  <c r="AU99" i="12"/>
  <c r="AV99" i="12"/>
  <c r="W100" i="12"/>
  <c r="Y100" i="12"/>
  <c r="Z100" i="12"/>
  <c r="AA100" i="12"/>
  <c r="AB100" i="12"/>
  <c r="AC100" i="12"/>
  <c r="AD100" i="12"/>
  <c r="AE100" i="12"/>
  <c r="AG100" i="12"/>
  <c r="AH100" i="12"/>
  <c r="AI100" i="12"/>
  <c r="AJ100" i="12"/>
  <c r="AK100" i="12"/>
  <c r="AL100" i="12"/>
  <c r="AM100" i="12"/>
  <c r="AN100" i="12"/>
  <c r="AO100" i="12"/>
  <c r="AP100" i="12"/>
  <c r="AQ100" i="12"/>
  <c r="AR100" i="12"/>
  <c r="AS100" i="12"/>
  <c r="AT100" i="12"/>
  <c r="AU100" i="12"/>
  <c r="AV100" i="12"/>
  <c r="W101" i="12"/>
  <c r="Y101" i="12"/>
  <c r="Z101" i="12"/>
  <c r="AA101" i="12"/>
  <c r="AB101" i="12"/>
  <c r="AC101" i="12"/>
  <c r="AD101" i="12"/>
  <c r="AE101" i="12"/>
  <c r="AG101" i="12"/>
  <c r="AH101" i="12"/>
  <c r="AI101" i="12"/>
  <c r="AJ101" i="12"/>
  <c r="AK101" i="12"/>
  <c r="AL101" i="12"/>
  <c r="AM101" i="12"/>
  <c r="AN101" i="12"/>
  <c r="AO101" i="12"/>
  <c r="AP101" i="12"/>
  <c r="AQ101" i="12"/>
  <c r="AR101" i="12"/>
  <c r="AS101" i="12"/>
  <c r="AT101" i="12"/>
  <c r="AU101" i="12"/>
  <c r="AV101" i="12"/>
  <c r="W102" i="12"/>
  <c r="Y102" i="12"/>
  <c r="Z102" i="12"/>
  <c r="AA102" i="12"/>
  <c r="AB102" i="12"/>
  <c r="AC102" i="12"/>
  <c r="AD102" i="12"/>
  <c r="AE102" i="12"/>
  <c r="AG102" i="12"/>
  <c r="AH102" i="12"/>
  <c r="AI102" i="12"/>
  <c r="AJ102" i="12"/>
  <c r="AK102" i="12"/>
  <c r="AL102" i="12"/>
  <c r="AM102" i="12"/>
  <c r="AN102" i="12"/>
  <c r="AO102" i="12"/>
  <c r="AP102" i="12"/>
  <c r="AQ102" i="12"/>
  <c r="AR102" i="12"/>
  <c r="AS102" i="12"/>
  <c r="AT102" i="12"/>
  <c r="AU102" i="12"/>
  <c r="AV102" i="12"/>
  <c r="W103" i="12"/>
  <c r="Y103" i="12"/>
  <c r="Z103" i="12"/>
  <c r="AA103" i="12"/>
  <c r="AB103" i="12"/>
  <c r="AC103" i="12"/>
  <c r="AD103" i="12"/>
  <c r="AE103" i="12"/>
  <c r="AG103" i="12"/>
  <c r="AH103" i="12"/>
  <c r="AI103" i="12"/>
  <c r="AJ103" i="12"/>
  <c r="AK103" i="12"/>
  <c r="AL103" i="12"/>
  <c r="AM103" i="12"/>
  <c r="AN103" i="12"/>
  <c r="AO103" i="12"/>
  <c r="AP103" i="12"/>
  <c r="AQ103" i="12"/>
  <c r="AR103" i="12"/>
  <c r="AS103" i="12"/>
  <c r="AT103" i="12"/>
  <c r="AU103" i="12"/>
  <c r="AV103" i="12"/>
  <c r="W104" i="12"/>
  <c r="Y104" i="12"/>
  <c r="Z104" i="12"/>
  <c r="AA104" i="12"/>
  <c r="AB104" i="12"/>
  <c r="AC104" i="12"/>
  <c r="AD104" i="12"/>
  <c r="AE104" i="12"/>
  <c r="AG104" i="12"/>
  <c r="AH104" i="12"/>
  <c r="AI104" i="12"/>
  <c r="AJ104" i="12"/>
  <c r="AK104" i="12"/>
  <c r="AL104" i="12"/>
  <c r="AM104" i="12"/>
  <c r="AN104" i="12"/>
  <c r="AO104" i="12"/>
  <c r="AP104" i="12"/>
  <c r="AQ104" i="12"/>
  <c r="AR104" i="12"/>
  <c r="AS104" i="12"/>
  <c r="AT104" i="12"/>
  <c r="AU104" i="12"/>
  <c r="AV104" i="12"/>
  <c r="W105" i="12"/>
  <c r="Y105" i="12"/>
  <c r="Z105" i="12"/>
  <c r="AA105" i="12"/>
  <c r="AB105" i="12"/>
  <c r="AC105" i="12"/>
  <c r="AD105" i="12"/>
  <c r="AE105" i="12"/>
  <c r="AG105" i="12"/>
  <c r="AH105" i="12"/>
  <c r="AI105" i="12"/>
  <c r="AJ105" i="12"/>
  <c r="AK105" i="12"/>
  <c r="AL105" i="12"/>
  <c r="AM105" i="12"/>
  <c r="AN105" i="12"/>
  <c r="AO105" i="12"/>
  <c r="AP105" i="12"/>
  <c r="AQ105" i="12"/>
  <c r="AR105" i="12"/>
  <c r="AS105" i="12"/>
  <c r="AT105" i="12"/>
  <c r="AU105" i="12"/>
  <c r="AV105" i="12"/>
  <c r="W106" i="12"/>
  <c r="Y106" i="12"/>
  <c r="Z106" i="12"/>
  <c r="AA106" i="12"/>
  <c r="AB106" i="12"/>
  <c r="AC106" i="12"/>
  <c r="AD106" i="12"/>
  <c r="AE106" i="12"/>
  <c r="AG106" i="12"/>
  <c r="AH106" i="12"/>
  <c r="AI106" i="12"/>
  <c r="AJ106" i="12"/>
  <c r="AK106" i="12"/>
  <c r="AL106" i="12"/>
  <c r="AM106" i="12"/>
  <c r="AN106" i="12"/>
  <c r="AO106" i="12"/>
  <c r="AP106" i="12"/>
  <c r="AQ106" i="12"/>
  <c r="AR106" i="12"/>
  <c r="AS106" i="12"/>
  <c r="AT106" i="12"/>
  <c r="AU106" i="12"/>
  <c r="AV106" i="12"/>
  <c r="W107" i="12"/>
  <c r="Y107" i="12"/>
  <c r="Z107" i="12"/>
  <c r="AA107" i="12"/>
  <c r="AB107" i="12"/>
  <c r="AC107" i="12"/>
  <c r="AD107" i="12"/>
  <c r="AE107" i="12"/>
  <c r="AG107" i="12"/>
  <c r="AH107" i="12"/>
  <c r="AI107" i="12"/>
  <c r="AJ107" i="12"/>
  <c r="AK107" i="12"/>
  <c r="AL107" i="12"/>
  <c r="AM107" i="12"/>
  <c r="AN107" i="12"/>
  <c r="AO107" i="12"/>
  <c r="AP107" i="12"/>
  <c r="AQ107" i="12"/>
  <c r="AR107" i="12"/>
  <c r="AS107" i="12"/>
  <c r="AT107" i="12"/>
  <c r="AU107" i="12"/>
  <c r="AV107" i="12"/>
  <c r="W108" i="12"/>
  <c r="Y108" i="12"/>
  <c r="Z108" i="12"/>
  <c r="AA108" i="12"/>
  <c r="AB108" i="12"/>
  <c r="AC108" i="12"/>
  <c r="AD108" i="12"/>
  <c r="AE108" i="12"/>
  <c r="AG108" i="12"/>
  <c r="AH108" i="12"/>
  <c r="AI108" i="12"/>
  <c r="AJ108" i="12"/>
  <c r="AK108" i="12"/>
  <c r="AL108" i="12"/>
  <c r="AM108" i="12"/>
  <c r="AN108" i="12"/>
  <c r="AO108" i="12"/>
  <c r="AP108" i="12"/>
  <c r="AQ108" i="12"/>
  <c r="AR108" i="12"/>
  <c r="AS108" i="12"/>
  <c r="AT108" i="12"/>
  <c r="AU108" i="12"/>
  <c r="AV108" i="12"/>
  <c r="W109" i="12"/>
  <c r="Y109" i="12"/>
  <c r="Z109" i="12"/>
  <c r="AA109" i="12"/>
  <c r="AB109" i="12"/>
  <c r="AC109" i="12"/>
  <c r="AD109" i="12"/>
  <c r="AE109" i="12"/>
  <c r="AG109" i="12"/>
  <c r="AH109" i="12"/>
  <c r="AI109" i="12"/>
  <c r="AJ109" i="12"/>
  <c r="AK109" i="12"/>
  <c r="AL109" i="12"/>
  <c r="AM109" i="12"/>
  <c r="AN109" i="12"/>
  <c r="AO109" i="12"/>
  <c r="AP109" i="12"/>
  <c r="AQ109" i="12"/>
  <c r="AR109" i="12"/>
  <c r="AS109" i="12"/>
  <c r="AT109" i="12"/>
  <c r="AU109" i="12"/>
  <c r="AV109" i="12"/>
  <c r="W110" i="12"/>
  <c r="Y110" i="12"/>
  <c r="Z110" i="12"/>
  <c r="AA110" i="12"/>
  <c r="AB110" i="12"/>
  <c r="AC110" i="12"/>
  <c r="AD110" i="12"/>
  <c r="AE110" i="12"/>
  <c r="AG110" i="12"/>
  <c r="AH110" i="12"/>
  <c r="AI110" i="12"/>
  <c r="AJ110" i="12"/>
  <c r="AK110" i="12"/>
  <c r="AL110" i="12"/>
  <c r="AM110" i="12"/>
  <c r="AN110" i="12"/>
  <c r="AO110" i="12"/>
  <c r="AP110" i="12"/>
  <c r="AQ110" i="12"/>
  <c r="AR110" i="12"/>
  <c r="AS110" i="12"/>
  <c r="AT110" i="12"/>
  <c r="AU110" i="12"/>
  <c r="AV110" i="12"/>
  <c r="W111" i="12"/>
  <c r="Y111" i="12"/>
  <c r="Z111" i="12"/>
  <c r="AA111" i="12"/>
  <c r="AB111" i="12"/>
  <c r="AC111" i="12"/>
  <c r="AD111" i="12"/>
  <c r="AE111" i="12"/>
  <c r="AG111" i="12"/>
  <c r="AH111" i="12"/>
  <c r="AI111" i="12"/>
  <c r="AJ111" i="12"/>
  <c r="AK111" i="12"/>
  <c r="AL111" i="12"/>
  <c r="AM111" i="12"/>
  <c r="AN111" i="12"/>
  <c r="AO111" i="12"/>
  <c r="AP111" i="12"/>
  <c r="AQ111" i="12"/>
  <c r="AR111" i="12"/>
  <c r="AS111" i="12"/>
  <c r="AT111" i="12"/>
  <c r="AU111" i="12"/>
  <c r="AV111" i="12"/>
  <c r="W112" i="12"/>
  <c r="Y112" i="12"/>
  <c r="Z112" i="12"/>
  <c r="AA112" i="12"/>
  <c r="AB112" i="12"/>
  <c r="AC112" i="12"/>
  <c r="AD112" i="12"/>
  <c r="AE112" i="12"/>
  <c r="AG112" i="12"/>
  <c r="AH112" i="12"/>
  <c r="AI112" i="12"/>
  <c r="AJ112" i="12"/>
  <c r="AK112" i="12"/>
  <c r="AL112" i="12"/>
  <c r="AM112" i="12"/>
  <c r="AN112" i="12"/>
  <c r="AO112" i="12"/>
  <c r="AP112" i="12"/>
  <c r="AQ112" i="12"/>
  <c r="AR112" i="12"/>
  <c r="AS112" i="12"/>
  <c r="AT112" i="12"/>
  <c r="AU112" i="12"/>
  <c r="AV112" i="12"/>
  <c r="W113" i="12"/>
  <c r="Y113" i="12"/>
  <c r="Z113" i="12"/>
  <c r="AA113" i="12"/>
  <c r="AB113" i="12"/>
  <c r="AC113" i="12"/>
  <c r="AD113" i="12"/>
  <c r="AE113" i="12"/>
  <c r="AG113" i="12"/>
  <c r="AH113" i="12"/>
  <c r="AI113" i="12"/>
  <c r="AJ113" i="12"/>
  <c r="AK113" i="12"/>
  <c r="AL113" i="12"/>
  <c r="AM113" i="12"/>
  <c r="AN113" i="12"/>
  <c r="AO113" i="12"/>
  <c r="AP113" i="12"/>
  <c r="AQ113" i="12"/>
  <c r="AR113" i="12"/>
  <c r="AS113" i="12"/>
  <c r="AT113" i="12"/>
  <c r="AU113" i="12"/>
  <c r="AV113" i="12"/>
  <c r="W114" i="12"/>
  <c r="Y114" i="12"/>
  <c r="Z114" i="12"/>
  <c r="AA114" i="12"/>
  <c r="AB114" i="12"/>
  <c r="AC114" i="12"/>
  <c r="AD114" i="12"/>
  <c r="AE114" i="12"/>
  <c r="AG114" i="12"/>
  <c r="AH114" i="12"/>
  <c r="AI114" i="12"/>
  <c r="AJ114" i="12"/>
  <c r="AK114" i="12"/>
  <c r="AL114" i="12"/>
  <c r="AM114" i="12"/>
  <c r="AN114" i="12"/>
  <c r="AO114" i="12"/>
  <c r="AP114" i="12"/>
  <c r="AQ114" i="12"/>
  <c r="AR114" i="12"/>
  <c r="AS114" i="12"/>
  <c r="AT114" i="12"/>
  <c r="AU114" i="12"/>
  <c r="AV114" i="12"/>
  <c r="W115" i="12"/>
  <c r="Y115" i="12"/>
  <c r="Z115" i="12"/>
  <c r="AA115" i="12"/>
  <c r="AB115" i="12"/>
  <c r="AC115" i="12"/>
  <c r="AD115" i="12"/>
  <c r="AE115" i="12"/>
  <c r="AG115" i="12"/>
  <c r="AH115" i="12"/>
  <c r="AI115" i="12"/>
  <c r="AJ115" i="12"/>
  <c r="AK115" i="12"/>
  <c r="AL115" i="12"/>
  <c r="AM115" i="12"/>
  <c r="AN115" i="12"/>
  <c r="AO115" i="12"/>
  <c r="AP115" i="12"/>
  <c r="AQ115" i="12"/>
  <c r="AR115" i="12"/>
  <c r="AS115" i="12"/>
  <c r="AT115" i="12"/>
  <c r="AU115" i="12"/>
  <c r="AV115" i="12"/>
  <c r="W116" i="12"/>
  <c r="Y116" i="12"/>
  <c r="Z116" i="12"/>
  <c r="AA116" i="12"/>
  <c r="AB116" i="12"/>
  <c r="AC116" i="12"/>
  <c r="AD116" i="12"/>
  <c r="AE116" i="12"/>
  <c r="AG116" i="12"/>
  <c r="AH116" i="12"/>
  <c r="AI116" i="12"/>
  <c r="AJ116" i="12"/>
  <c r="AK116" i="12"/>
  <c r="AL116" i="12"/>
  <c r="AM116" i="12"/>
  <c r="AN116" i="12"/>
  <c r="AO116" i="12"/>
  <c r="AP116" i="12"/>
  <c r="AQ116" i="12"/>
  <c r="AR116" i="12"/>
  <c r="AS116" i="12"/>
  <c r="AT116" i="12"/>
  <c r="AU116" i="12"/>
  <c r="AV116" i="12"/>
  <c r="W117" i="12"/>
  <c r="Y117" i="12"/>
  <c r="Z117" i="12"/>
  <c r="AA117" i="12"/>
  <c r="AB117" i="12"/>
  <c r="AC117" i="12"/>
  <c r="AD117" i="12"/>
  <c r="AE117" i="12"/>
  <c r="AG117" i="12"/>
  <c r="AH117" i="12"/>
  <c r="AI117" i="12"/>
  <c r="AJ117" i="12"/>
  <c r="AK117" i="12"/>
  <c r="AL117" i="12"/>
  <c r="AM117" i="12"/>
  <c r="AN117" i="12"/>
  <c r="AO117" i="12"/>
  <c r="AP117" i="12"/>
  <c r="AQ117" i="12"/>
  <c r="AR117" i="12"/>
  <c r="AS117" i="12"/>
  <c r="AT117" i="12"/>
  <c r="AU117" i="12"/>
  <c r="AV117" i="12"/>
  <c r="W118" i="12"/>
  <c r="Y118" i="12"/>
  <c r="Z118" i="12"/>
  <c r="AA118" i="12"/>
  <c r="AB118" i="12"/>
  <c r="AC118" i="12"/>
  <c r="AD118" i="12"/>
  <c r="AE118" i="12"/>
  <c r="AG118" i="12"/>
  <c r="AH118" i="12"/>
  <c r="AI118" i="12"/>
  <c r="AJ118" i="12"/>
  <c r="AK118" i="12"/>
  <c r="AL118" i="12"/>
  <c r="AM118" i="12"/>
  <c r="AN118" i="12"/>
  <c r="AO118" i="12"/>
  <c r="AP118" i="12"/>
  <c r="AQ118" i="12"/>
  <c r="AR118" i="12"/>
  <c r="AS118" i="12"/>
  <c r="AT118" i="12"/>
  <c r="AU118" i="12"/>
  <c r="AV118" i="12"/>
  <c r="W119" i="12"/>
  <c r="Y119" i="12"/>
  <c r="Z119" i="12"/>
  <c r="AA119" i="12"/>
  <c r="AB119" i="12"/>
  <c r="AC119" i="12"/>
  <c r="AD119" i="12"/>
  <c r="AE119" i="12"/>
  <c r="AG119" i="12"/>
  <c r="AH119" i="12"/>
  <c r="AI119" i="12"/>
  <c r="AJ119" i="12"/>
  <c r="AK119" i="12"/>
  <c r="AL119" i="12"/>
  <c r="AM119" i="12"/>
  <c r="AN119" i="12"/>
  <c r="AO119" i="12"/>
  <c r="AP119" i="12"/>
  <c r="AQ119" i="12"/>
  <c r="AR119" i="12"/>
  <c r="AS119" i="12"/>
  <c r="AT119" i="12"/>
  <c r="AU119" i="12"/>
  <c r="AV119" i="12"/>
  <c r="W120" i="12"/>
  <c r="Y120" i="12"/>
  <c r="Z120" i="12"/>
  <c r="AA120" i="12"/>
  <c r="AB120" i="12"/>
  <c r="AC120" i="12"/>
  <c r="AD120" i="12"/>
  <c r="AE120" i="12"/>
  <c r="AG120" i="12"/>
  <c r="AH120" i="12"/>
  <c r="AI120" i="12"/>
  <c r="AJ120" i="12"/>
  <c r="AK120" i="12"/>
  <c r="AL120" i="12"/>
  <c r="AM120" i="12"/>
  <c r="AN120" i="12"/>
  <c r="AO120" i="12"/>
  <c r="AP120" i="12"/>
  <c r="AQ120" i="12"/>
  <c r="AR120" i="12"/>
  <c r="AS120" i="12"/>
  <c r="AT120" i="12"/>
  <c r="AU120" i="12"/>
  <c r="AV120" i="12"/>
  <c r="W121" i="12"/>
  <c r="Y121" i="12"/>
  <c r="Z121" i="12"/>
  <c r="AA121" i="12"/>
  <c r="AB121" i="12"/>
  <c r="AC121" i="12"/>
  <c r="AD121" i="12"/>
  <c r="AE121" i="12"/>
  <c r="AG121" i="12"/>
  <c r="AH121" i="12"/>
  <c r="AI121" i="12"/>
  <c r="AJ121" i="12"/>
  <c r="AK121" i="12"/>
  <c r="AL121" i="12"/>
  <c r="AM121" i="12"/>
  <c r="AN121" i="12"/>
  <c r="AO121" i="12"/>
  <c r="AP121" i="12"/>
  <c r="AQ121" i="12"/>
  <c r="AR121" i="12"/>
  <c r="AS121" i="12"/>
  <c r="AT121" i="12"/>
  <c r="AU121" i="12"/>
  <c r="AV121" i="12"/>
  <c r="W122" i="12"/>
  <c r="Y122" i="12"/>
  <c r="Z122" i="12"/>
  <c r="AA122" i="12"/>
  <c r="AB122" i="12"/>
  <c r="AC122" i="12"/>
  <c r="AD122" i="12"/>
  <c r="AE122" i="12"/>
  <c r="AG122" i="12"/>
  <c r="AH122" i="12"/>
  <c r="AI122" i="12"/>
  <c r="AJ122" i="12"/>
  <c r="AK122" i="12"/>
  <c r="AL122" i="12"/>
  <c r="AM122" i="12"/>
  <c r="AN122" i="12"/>
  <c r="AO122" i="12"/>
  <c r="AP122" i="12"/>
  <c r="AQ122" i="12"/>
  <c r="AR122" i="12"/>
  <c r="AS122" i="12"/>
  <c r="AT122" i="12"/>
  <c r="AU122" i="12"/>
  <c r="AV122" i="12"/>
  <c r="W213" i="12"/>
  <c r="Y213" i="12"/>
  <c r="Z213" i="12"/>
  <c r="AA213" i="12"/>
  <c r="AB213" i="12"/>
  <c r="AC213" i="12"/>
  <c r="AD213" i="12"/>
  <c r="AE213" i="12"/>
  <c r="AG213" i="12"/>
  <c r="AH213" i="12"/>
  <c r="AI213" i="12"/>
  <c r="AJ213" i="12"/>
  <c r="AK213" i="12"/>
  <c r="AL213" i="12"/>
  <c r="AM213" i="12"/>
  <c r="AN213" i="12"/>
  <c r="AO213" i="12"/>
  <c r="AP213" i="12"/>
  <c r="AQ213" i="12"/>
  <c r="AR213" i="12"/>
  <c r="AS213" i="12"/>
  <c r="AT213" i="12"/>
  <c r="AU213" i="12"/>
  <c r="AV213" i="12"/>
  <c r="W124" i="12"/>
  <c r="Y124" i="12"/>
  <c r="Z124" i="12"/>
  <c r="AA124" i="12"/>
  <c r="AB124" i="12"/>
  <c r="AC124" i="12"/>
  <c r="AD124" i="12"/>
  <c r="AE124" i="12"/>
  <c r="AG124" i="12"/>
  <c r="AH124" i="12"/>
  <c r="AI124" i="12"/>
  <c r="AJ124" i="12"/>
  <c r="AK124" i="12"/>
  <c r="AL124" i="12"/>
  <c r="AM124" i="12"/>
  <c r="AN124" i="12"/>
  <c r="AO124" i="12"/>
  <c r="AP124" i="12"/>
  <c r="AQ124" i="12"/>
  <c r="AR124" i="12"/>
  <c r="AS124" i="12"/>
  <c r="AT124" i="12"/>
  <c r="AU124" i="12"/>
  <c r="AV124" i="12"/>
  <c r="W125" i="12"/>
  <c r="Y125" i="12"/>
  <c r="Z125" i="12"/>
  <c r="AA125" i="12"/>
  <c r="AB125" i="12"/>
  <c r="AC125" i="12"/>
  <c r="AD125" i="12"/>
  <c r="AE125" i="12"/>
  <c r="AG125" i="12"/>
  <c r="AH125" i="12"/>
  <c r="AI125" i="12"/>
  <c r="AJ125" i="12"/>
  <c r="AK125" i="12"/>
  <c r="AL125" i="12"/>
  <c r="AM125" i="12"/>
  <c r="AN125" i="12"/>
  <c r="AO125" i="12"/>
  <c r="AP125" i="12"/>
  <c r="AQ125" i="12"/>
  <c r="AR125" i="12"/>
  <c r="AS125" i="12"/>
  <c r="AT125" i="12"/>
  <c r="AU125" i="12"/>
  <c r="AV125" i="12"/>
  <c r="W135" i="12"/>
  <c r="Y135" i="12"/>
  <c r="Z135" i="12"/>
  <c r="AA135" i="12"/>
  <c r="AB135" i="12"/>
  <c r="AC135" i="12"/>
  <c r="AD135" i="12"/>
  <c r="AE135" i="12"/>
  <c r="AG135" i="12"/>
  <c r="AH135" i="12"/>
  <c r="AI135" i="12"/>
  <c r="AJ135" i="12"/>
  <c r="AK135" i="12"/>
  <c r="AL135" i="12"/>
  <c r="AM135" i="12"/>
  <c r="AN135" i="12"/>
  <c r="AO135" i="12"/>
  <c r="AP135" i="12"/>
  <c r="AQ135" i="12"/>
  <c r="AR135" i="12"/>
  <c r="AS135" i="12"/>
  <c r="AT135" i="12"/>
  <c r="AU135" i="12"/>
  <c r="AV135" i="12"/>
  <c r="W127" i="12"/>
  <c r="Y127" i="12"/>
  <c r="Z127" i="12"/>
  <c r="AA127" i="12"/>
  <c r="AB127" i="12"/>
  <c r="AC127" i="12"/>
  <c r="AD127" i="12"/>
  <c r="AE127" i="12"/>
  <c r="AG127" i="12"/>
  <c r="AH127" i="12"/>
  <c r="AI127" i="12"/>
  <c r="AJ127" i="12"/>
  <c r="AK127" i="12"/>
  <c r="AL127" i="12"/>
  <c r="AM127" i="12"/>
  <c r="AN127" i="12"/>
  <c r="AO127" i="12"/>
  <c r="AP127" i="12"/>
  <c r="AQ127" i="12"/>
  <c r="AR127" i="12"/>
  <c r="AS127" i="12"/>
  <c r="AT127" i="12"/>
  <c r="AU127" i="12"/>
  <c r="AV127" i="12"/>
  <c r="W128" i="12"/>
  <c r="Y128" i="12"/>
  <c r="Z128" i="12"/>
  <c r="AA128" i="12"/>
  <c r="AB128" i="12"/>
  <c r="AC128" i="12"/>
  <c r="AD128" i="12"/>
  <c r="AE128" i="12"/>
  <c r="AG128" i="12"/>
  <c r="AH128" i="12"/>
  <c r="AI128" i="12"/>
  <c r="AJ128" i="12"/>
  <c r="AK128" i="12"/>
  <c r="AL128" i="12"/>
  <c r="AM128" i="12"/>
  <c r="AN128" i="12"/>
  <c r="AO128" i="12"/>
  <c r="AP128" i="12"/>
  <c r="AQ128" i="12"/>
  <c r="AR128" i="12"/>
  <c r="AS128" i="12"/>
  <c r="AT128" i="12"/>
  <c r="AU128" i="12"/>
  <c r="AV128" i="12"/>
  <c r="W129" i="12"/>
  <c r="Y129" i="12"/>
  <c r="Z129" i="12"/>
  <c r="AA129" i="12"/>
  <c r="AB129" i="12"/>
  <c r="AC129" i="12"/>
  <c r="AD129" i="12"/>
  <c r="AE129" i="12"/>
  <c r="AG129" i="12"/>
  <c r="AH129" i="12"/>
  <c r="AI129" i="12"/>
  <c r="AJ129" i="12"/>
  <c r="AK129" i="12"/>
  <c r="AL129" i="12"/>
  <c r="AM129" i="12"/>
  <c r="AN129" i="12"/>
  <c r="AO129" i="12"/>
  <c r="AP129" i="12"/>
  <c r="AQ129" i="12"/>
  <c r="AR129" i="12"/>
  <c r="AS129" i="12"/>
  <c r="AT129" i="12"/>
  <c r="AU129" i="12"/>
  <c r="AV129" i="12"/>
  <c r="W130" i="12"/>
  <c r="Y130" i="12"/>
  <c r="Z130" i="12"/>
  <c r="AA130" i="12"/>
  <c r="AB130" i="12"/>
  <c r="AC130" i="12"/>
  <c r="AD130" i="12"/>
  <c r="AE130" i="12"/>
  <c r="AG130" i="12"/>
  <c r="AH130" i="12"/>
  <c r="AI130" i="12"/>
  <c r="AJ130" i="12"/>
  <c r="AK130" i="12"/>
  <c r="AL130" i="12"/>
  <c r="AM130" i="12"/>
  <c r="AN130" i="12"/>
  <c r="AO130" i="12"/>
  <c r="AP130" i="12"/>
  <c r="AQ130" i="12"/>
  <c r="AR130" i="12"/>
  <c r="AS130" i="12"/>
  <c r="AT130" i="12"/>
  <c r="AU130" i="12"/>
  <c r="AV130" i="12"/>
  <c r="W131" i="12"/>
  <c r="Y131" i="12"/>
  <c r="Z131" i="12"/>
  <c r="AA131" i="12"/>
  <c r="AB131" i="12"/>
  <c r="AC131" i="12"/>
  <c r="AD131" i="12"/>
  <c r="AE131" i="12"/>
  <c r="AG131" i="12"/>
  <c r="AH131" i="12"/>
  <c r="AI131" i="12"/>
  <c r="AJ131" i="12"/>
  <c r="AK131" i="12"/>
  <c r="AL131" i="12"/>
  <c r="AM131" i="12"/>
  <c r="AN131" i="12"/>
  <c r="AO131" i="12"/>
  <c r="AP131" i="12"/>
  <c r="AQ131" i="12"/>
  <c r="AR131" i="12"/>
  <c r="AS131" i="12"/>
  <c r="AT131" i="12"/>
  <c r="AU131" i="12"/>
  <c r="AV131" i="12"/>
  <c r="W132" i="12"/>
  <c r="Y132" i="12"/>
  <c r="Z132" i="12"/>
  <c r="AA132" i="12"/>
  <c r="AB132" i="12"/>
  <c r="AC132" i="12"/>
  <c r="AD132" i="12"/>
  <c r="AE132" i="12"/>
  <c r="AG132" i="12"/>
  <c r="AH132" i="12"/>
  <c r="AI132" i="12"/>
  <c r="AJ132" i="12"/>
  <c r="AK132" i="12"/>
  <c r="AL132" i="12"/>
  <c r="AM132" i="12"/>
  <c r="AN132" i="12"/>
  <c r="AO132" i="12"/>
  <c r="AP132" i="12"/>
  <c r="AQ132" i="12"/>
  <c r="AR132" i="12"/>
  <c r="AS132" i="12"/>
  <c r="AT132" i="12"/>
  <c r="AU132" i="12"/>
  <c r="AV132" i="12"/>
  <c r="W133" i="12"/>
  <c r="Y133" i="12"/>
  <c r="Z133" i="12"/>
  <c r="AA133" i="12"/>
  <c r="AB133" i="12"/>
  <c r="AC133" i="12"/>
  <c r="AD133" i="12"/>
  <c r="AE133" i="12"/>
  <c r="AG133" i="12"/>
  <c r="AH133" i="12"/>
  <c r="AI133" i="12"/>
  <c r="AJ133" i="12"/>
  <c r="AK133" i="12"/>
  <c r="AL133" i="12"/>
  <c r="AM133" i="12"/>
  <c r="AN133" i="12"/>
  <c r="AO133" i="12"/>
  <c r="AP133" i="12"/>
  <c r="AQ133" i="12"/>
  <c r="AR133" i="12"/>
  <c r="AS133" i="12"/>
  <c r="AT133" i="12"/>
  <c r="AU133" i="12"/>
  <c r="AV133" i="12"/>
  <c r="W275" i="12"/>
  <c r="Y275" i="12"/>
  <c r="Z275" i="12"/>
  <c r="AA275" i="12"/>
  <c r="AB275" i="12"/>
  <c r="AC275" i="12"/>
  <c r="AD275" i="12"/>
  <c r="AE275" i="12"/>
  <c r="AG275" i="12"/>
  <c r="AH275" i="12"/>
  <c r="AI275" i="12"/>
  <c r="AJ275" i="12"/>
  <c r="AK275" i="12"/>
  <c r="AL275" i="12"/>
  <c r="AM275" i="12"/>
  <c r="AN275" i="12"/>
  <c r="AO275" i="12"/>
  <c r="AP275" i="12"/>
  <c r="AQ275" i="12"/>
  <c r="AR275" i="12"/>
  <c r="AS275" i="12"/>
  <c r="AT275" i="12"/>
  <c r="AU275" i="12"/>
  <c r="AV275" i="12"/>
  <c r="W160" i="12"/>
  <c r="Y160" i="12"/>
  <c r="Z160" i="12"/>
  <c r="AA160" i="12"/>
  <c r="AB160" i="12"/>
  <c r="AC160" i="12"/>
  <c r="AD160" i="12"/>
  <c r="AE160" i="12"/>
  <c r="AG160" i="12"/>
  <c r="AH160" i="12"/>
  <c r="AI160" i="12"/>
  <c r="AJ160" i="12"/>
  <c r="AK160" i="12"/>
  <c r="AL160" i="12"/>
  <c r="AM160" i="12"/>
  <c r="AN160" i="12"/>
  <c r="AO160" i="12"/>
  <c r="AP160" i="12"/>
  <c r="AQ160" i="12"/>
  <c r="AR160" i="12"/>
  <c r="AS160" i="12"/>
  <c r="AT160" i="12"/>
  <c r="AU160" i="12"/>
  <c r="AV160" i="12"/>
  <c r="W170" i="12"/>
  <c r="Y170" i="12"/>
  <c r="Z170" i="12"/>
  <c r="AA170" i="12"/>
  <c r="AB170" i="12"/>
  <c r="AC170" i="12"/>
  <c r="AD170" i="12"/>
  <c r="AE170" i="12"/>
  <c r="AG170" i="12"/>
  <c r="AH170" i="12"/>
  <c r="AI170" i="12"/>
  <c r="AJ170" i="12"/>
  <c r="AK170" i="12"/>
  <c r="AL170" i="12"/>
  <c r="AM170" i="12"/>
  <c r="AN170" i="12"/>
  <c r="AO170" i="12"/>
  <c r="AP170" i="12"/>
  <c r="AQ170" i="12"/>
  <c r="AR170" i="12"/>
  <c r="AS170" i="12"/>
  <c r="AT170" i="12"/>
  <c r="AU170" i="12"/>
  <c r="AV170" i="12"/>
  <c r="W184" i="12"/>
  <c r="Y184" i="12"/>
  <c r="Z184" i="12"/>
  <c r="AA184" i="12"/>
  <c r="AB184" i="12"/>
  <c r="AC184" i="12"/>
  <c r="AD184" i="12"/>
  <c r="AE184" i="12"/>
  <c r="AG184" i="12"/>
  <c r="AH184" i="12"/>
  <c r="AI184" i="12"/>
  <c r="AJ184" i="12"/>
  <c r="AK184" i="12"/>
  <c r="AL184" i="12"/>
  <c r="AM184" i="12"/>
  <c r="AN184" i="12"/>
  <c r="AO184" i="12"/>
  <c r="AP184" i="12"/>
  <c r="AQ184" i="12"/>
  <c r="AR184" i="12"/>
  <c r="AS184" i="12"/>
  <c r="AT184" i="12"/>
  <c r="AU184" i="12"/>
  <c r="AV184" i="12"/>
  <c r="W123" i="12"/>
  <c r="Y123" i="12"/>
  <c r="Z123" i="12"/>
  <c r="AA123" i="12"/>
  <c r="AB123" i="12"/>
  <c r="AC123" i="12"/>
  <c r="AD123" i="12"/>
  <c r="AE123" i="12"/>
  <c r="AG123" i="12"/>
  <c r="AH123" i="12"/>
  <c r="AI123" i="12"/>
  <c r="AJ123" i="12"/>
  <c r="AK123" i="12"/>
  <c r="AL123" i="12"/>
  <c r="AM123" i="12"/>
  <c r="AN123" i="12"/>
  <c r="AO123" i="12"/>
  <c r="AP123" i="12"/>
  <c r="AQ123" i="12"/>
  <c r="AR123" i="12"/>
  <c r="AS123" i="12"/>
  <c r="AT123" i="12"/>
  <c r="AU123" i="12"/>
  <c r="AV123" i="12"/>
  <c r="W169" i="12"/>
  <c r="Y169" i="12"/>
  <c r="Z169" i="12"/>
  <c r="AA169" i="12"/>
  <c r="AB169" i="12"/>
  <c r="AC169" i="12"/>
  <c r="AD169" i="12"/>
  <c r="AE169" i="12"/>
  <c r="AG169" i="12"/>
  <c r="AH169" i="12"/>
  <c r="AI169" i="12"/>
  <c r="AJ169" i="12"/>
  <c r="AK169" i="12"/>
  <c r="AL169" i="12"/>
  <c r="AM169" i="12"/>
  <c r="AN169" i="12"/>
  <c r="AO169" i="12"/>
  <c r="AP169" i="12"/>
  <c r="AQ169" i="12"/>
  <c r="AR169" i="12"/>
  <c r="AS169" i="12"/>
  <c r="AT169" i="12"/>
  <c r="AU169" i="12"/>
  <c r="AV169" i="12"/>
  <c r="W141" i="12"/>
  <c r="Y141" i="12"/>
  <c r="Z141" i="12"/>
  <c r="AA141" i="12"/>
  <c r="AB141" i="12"/>
  <c r="AC141" i="12"/>
  <c r="AD141" i="12"/>
  <c r="AE141" i="12"/>
  <c r="AG141" i="12"/>
  <c r="AH141" i="12"/>
  <c r="AI141" i="12"/>
  <c r="AJ141" i="12"/>
  <c r="AK141" i="12"/>
  <c r="AL141" i="12"/>
  <c r="AM141" i="12"/>
  <c r="AN141" i="12"/>
  <c r="AO141" i="12"/>
  <c r="AP141" i="12"/>
  <c r="AQ141" i="12"/>
  <c r="AR141" i="12"/>
  <c r="AS141" i="12"/>
  <c r="AT141" i="12"/>
  <c r="AU141" i="12"/>
  <c r="AV141" i="12"/>
  <c r="W142" i="12"/>
  <c r="Y142" i="12"/>
  <c r="Z142" i="12"/>
  <c r="AA142" i="12"/>
  <c r="AB142" i="12"/>
  <c r="AC142" i="12"/>
  <c r="AD142" i="12"/>
  <c r="AE142" i="12"/>
  <c r="AG142" i="12"/>
  <c r="AH142" i="12"/>
  <c r="AI142" i="12"/>
  <c r="AJ142" i="12"/>
  <c r="AK142" i="12"/>
  <c r="AL142" i="12"/>
  <c r="AM142" i="12"/>
  <c r="AN142" i="12"/>
  <c r="AO142" i="12"/>
  <c r="AP142" i="12"/>
  <c r="AQ142" i="12"/>
  <c r="AR142" i="12"/>
  <c r="AS142" i="12"/>
  <c r="AT142" i="12"/>
  <c r="AU142" i="12"/>
  <c r="AV142" i="12"/>
  <c r="W143" i="12"/>
  <c r="Y143" i="12"/>
  <c r="Z143" i="12"/>
  <c r="AA143" i="12"/>
  <c r="AB143" i="12"/>
  <c r="AC143" i="12"/>
  <c r="AD143" i="12"/>
  <c r="AE143" i="12"/>
  <c r="AG143" i="12"/>
  <c r="AH143" i="12"/>
  <c r="AI143" i="12"/>
  <c r="AJ143" i="12"/>
  <c r="AK143" i="12"/>
  <c r="AL143" i="12"/>
  <c r="AM143" i="12"/>
  <c r="AN143" i="12"/>
  <c r="AO143" i="12"/>
  <c r="AP143" i="12"/>
  <c r="AQ143" i="12"/>
  <c r="AR143" i="12"/>
  <c r="AS143" i="12"/>
  <c r="AT143" i="12"/>
  <c r="AU143" i="12"/>
  <c r="AV143" i="12"/>
  <c r="W144" i="12"/>
  <c r="Y144" i="12"/>
  <c r="Z144" i="12"/>
  <c r="AA144" i="12"/>
  <c r="AB144" i="12"/>
  <c r="AC144" i="12"/>
  <c r="AD144" i="12"/>
  <c r="AE144" i="12"/>
  <c r="AG144" i="12"/>
  <c r="AH144" i="12"/>
  <c r="AI144" i="12"/>
  <c r="AJ144" i="12"/>
  <c r="AK144" i="12"/>
  <c r="AL144" i="12"/>
  <c r="AM144" i="12"/>
  <c r="AN144" i="12"/>
  <c r="AO144" i="12"/>
  <c r="AP144" i="12"/>
  <c r="AQ144" i="12"/>
  <c r="AR144" i="12"/>
  <c r="AS144" i="12"/>
  <c r="AT144" i="12"/>
  <c r="AU144" i="12"/>
  <c r="AV144" i="12"/>
  <c r="W145" i="12"/>
  <c r="Y145" i="12"/>
  <c r="Z145" i="12"/>
  <c r="AA145" i="12"/>
  <c r="AB145" i="12"/>
  <c r="AC145" i="12"/>
  <c r="AD145" i="12"/>
  <c r="AE145" i="12"/>
  <c r="AG145" i="12"/>
  <c r="AH145" i="12"/>
  <c r="AI145" i="12"/>
  <c r="AJ145" i="12"/>
  <c r="AK145" i="12"/>
  <c r="AL145" i="12"/>
  <c r="AM145" i="12"/>
  <c r="AN145" i="12"/>
  <c r="AO145" i="12"/>
  <c r="AP145" i="12"/>
  <c r="AQ145" i="12"/>
  <c r="AR145" i="12"/>
  <c r="AS145" i="12"/>
  <c r="AT145" i="12"/>
  <c r="AU145" i="12"/>
  <c r="AV145" i="12"/>
  <c r="W146" i="12"/>
  <c r="Y146" i="12"/>
  <c r="Z146" i="12"/>
  <c r="AA146" i="12"/>
  <c r="AB146" i="12"/>
  <c r="AC146" i="12"/>
  <c r="AD146" i="12"/>
  <c r="AE146" i="12"/>
  <c r="AG146" i="12"/>
  <c r="AH146" i="12"/>
  <c r="AI146" i="12"/>
  <c r="AJ146" i="12"/>
  <c r="AK146" i="12"/>
  <c r="AL146" i="12"/>
  <c r="AM146" i="12"/>
  <c r="AN146" i="12"/>
  <c r="AO146" i="12"/>
  <c r="AP146" i="12"/>
  <c r="AQ146" i="12"/>
  <c r="AR146" i="12"/>
  <c r="AS146" i="12"/>
  <c r="AT146" i="12"/>
  <c r="AU146" i="12"/>
  <c r="AV146" i="12"/>
  <c r="W147" i="12"/>
  <c r="Y147" i="12"/>
  <c r="Z147" i="12"/>
  <c r="AA147" i="12"/>
  <c r="AB147" i="12"/>
  <c r="AC147" i="12"/>
  <c r="AD147" i="12"/>
  <c r="AE147" i="12"/>
  <c r="AG147" i="12"/>
  <c r="AH147" i="12"/>
  <c r="AI147" i="12"/>
  <c r="AJ147" i="12"/>
  <c r="AK147" i="12"/>
  <c r="AL147" i="12"/>
  <c r="AM147" i="12"/>
  <c r="AN147" i="12"/>
  <c r="AO147" i="12"/>
  <c r="AP147" i="12"/>
  <c r="AQ147" i="12"/>
  <c r="AR147" i="12"/>
  <c r="AS147" i="12"/>
  <c r="AT147" i="12"/>
  <c r="AU147" i="12"/>
  <c r="AV147" i="12"/>
  <c r="W148" i="12"/>
  <c r="Y148" i="12"/>
  <c r="Z148" i="12"/>
  <c r="AA148" i="12"/>
  <c r="AB148" i="12"/>
  <c r="AC148" i="12"/>
  <c r="AD148" i="12"/>
  <c r="AE148" i="12"/>
  <c r="AG148" i="12"/>
  <c r="AH148" i="12"/>
  <c r="AI148" i="12"/>
  <c r="AJ148" i="12"/>
  <c r="AK148" i="12"/>
  <c r="AL148" i="12"/>
  <c r="AM148" i="12"/>
  <c r="AN148" i="12"/>
  <c r="AO148" i="12"/>
  <c r="AP148" i="12"/>
  <c r="AQ148" i="12"/>
  <c r="AR148" i="12"/>
  <c r="AS148" i="12"/>
  <c r="AT148" i="12"/>
  <c r="AU148" i="12"/>
  <c r="AV148" i="12"/>
  <c r="W149" i="12"/>
  <c r="Y149" i="12"/>
  <c r="Z149" i="12"/>
  <c r="AA149" i="12"/>
  <c r="AB149" i="12"/>
  <c r="AC149" i="12"/>
  <c r="AD149" i="12"/>
  <c r="AE149" i="12"/>
  <c r="AG149" i="12"/>
  <c r="AH149" i="12"/>
  <c r="AI149" i="12"/>
  <c r="AJ149" i="12"/>
  <c r="AK149" i="12"/>
  <c r="AL149" i="12"/>
  <c r="AM149" i="12"/>
  <c r="AN149" i="12"/>
  <c r="AO149" i="12"/>
  <c r="AP149" i="12"/>
  <c r="AQ149" i="12"/>
  <c r="AR149" i="12"/>
  <c r="AS149" i="12"/>
  <c r="AT149" i="12"/>
  <c r="AU149" i="12"/>
  <c r="AV149" i="12"/>
  <c r="W150" i="12"/>
  <c r="Y150" i="12"/>
  <c r="Z150" i="12"/>
  <c r="AA150" i="12"/>
  <c r="AB150" i="12"/>
  <c r="AC150" i="12"/>
  <c r="AD150" i="12"/>
  <c r="AE150" i="12"/>
  <c r="AG150" i="12"/>
  <c r="AH150" i="12"/>
  <c r="AI150" i="12"/>
  <c r="AJ150" i="12"/>
  <c r="AK150" i="12"/>
  <c r="AL150" i="12"/>
  <c r="AM150" i="12"/>
  <c r="AN150" i="12"/>
  <c r="AO150" i="12"/>
  <c r="AP150" i="12"/>
  <c r="AQ150" i="12"/>
  <c r="AR150" i="12"/>
  <c r="AS150" i="12"/>
  <c r="AT150" i="12"/>
  <c r="AU150" i="12"/>
  <c r="AV150" i="12"/>
  <c r="W151" i="12"/>
  <c r="Y151" i="12"/>
  <c r="Z151" i="12"/>
  <c r="AA151" i="12"/>
  <c r="AB151" i="12"/>
  <c r="AC151" i="12"/>
  <c r="AD151" i="12"/>
  <c r="AE151" i="12"/>
  <c r="AG151" i="12"/>
  <c r="AH151" i="12"/>
  <c r="AI151" i="12"/>
  <c r="AJ151" i="12"/>
  <c r="AK151" i="12"/>
  <c r="AL151" i="12"/>
  <c r="AM151" i="12"/>
  <c r="AN151" i="12"/>
  <c r="AO151" i="12"/>
  <c r="AP151" i="12"/>
  <c r="AQ151" i="12"/>
  <c r="AR151" i="12"/>
  <c r="AS151" i="12"/>
  <c r="AT151" i="12"/>
  <c r="AU151" i="12"/>
  <c r="AV151" i="12"/>
  <c r="W152" i="12"/>
  <c r="Y152" i="12"/>
  <c r="Z152" i="12"/>
  <c r="AA152" i="12"/>
  <c r="AB152" i="12"/>
  <c r="AC152" i="12"/>
  <c r="AD152" i="12"/>
  <c r="AE152" i="12"/>
  <c r="AG152" i="12"/>
  <c r="AH152" i="12"/>
  <c r="AI152" i="12"/>
  <c r="AJ152" i="12"/>
  <c r="AK152" i="12"/>
  <c r="AL152" i="12"/>
  <c r="AM152" i="12"/>
  <c r="AN152" i="12"/>
  <c r="AO152" i="12"/>
  <c r="AP152" i="12"/>
  <c r="AQ152" i="12"/>
  <c r="AR152" i="12"/>
  <c r="AS152" i="12"/>
  <c r="AT152" i="12"/>
  <c r="AU152" i="12"/>
  <c r="AV152" i="12"/>
  <c r="W153" i="12"/>
  <c r="Y153" i="12"/>
  <c r="Z153" i="12"/>
  <c r="AA153" i="12"/>
  <c r="AB153" i="12"/>
  <c r="AC153" i="12"/>
  <c r="AD153" i="12"/>
  <c r="AE153" i="12"/>
  <c r="AG153" i="12"/>
  <c r="AH153" i="12"/>
  <c r="AI153" i="12"/>
  <c r="AJ153" i="12"/>
  <c r="AK153" i="12"/>
  <c r="AL153" i="12"/>
  <c r="AM153" i="12"/>
  <c r="AN153" i="12"/>
  <c r="AO153" i="12"/>
  <c r="AP153" i="12"/>
  <c r="AQ153" i="12"/>
  <c r="AR153" i="12"/>
  <c r="AS153" i="12"/>
  <c r="AT153" i="12"/>
  <c r="AU153" i="12"/>
  <c r="AV153" i="12"/>
  <c r="W154" i="12"/>
  <c r="Y154" i="12"/>
  <c r="Z154" i="12"/>
  <c r="AA154" i="12"/>
  <c r="AB154" i="12"/>
  <c r="AC154" i="12"/>
  <c r="AD154" i="12"/>
  <c r="AE154" i="12"/>
  <c r="AG154" i="12"/>
  <c r="AH154" i="12"/>
  <c r="AI154" i="12"/>
  <c r="AJ154" i="12"/>
  <c r="AK154" i="12"/>
  <c r="AL154" i="12"/>
  <c r="AM154" i="12"/>
  <c r="AN154" i="12"/>
  <c r="AO154" i="12"/>
  <c r="AP154" i="12"/>
  <c r="AQ154" i="12"/>
  <c r="AR154" i="12"/>
  <c r="AS154" i="12"/>
  <c r="AT154" i="12"/>
  <c r="AU154" i="12"/>
  <c r="AV154" i="12"/>
  <c r="W155" i="12"/>
  <c r="Y155" i="12"/>
  <c r="Z155" i="12"/>
  <c r="AA155" i="12"/>
  <c r="AB155" i="12"/>
  <c r="AC155" i="12"/>
  <c r="AD155" i="12"/>
  <c r="AE155" i="12"/>
  <c r="AG155" i="12"/>
  <c r="AH155" i="12"/>
  <c r="AI155" i="12"/>
  <c r="AJ155" i="12"/>
  <c r="AK155" i="12"/>
  <c r="AL155" i="12"/>
  <c r="AM155" i="12"/>
  <c r="AN155" i="12"/>
  <c r="AO155" i="12"/>
  <c r="AP155" i="12"/>
  <c r="AQ155" i="12"/>
  <c r="AR155" i="12"/>
  <c r="AS155" i="12"/>
  <c r="AT155" i="12"/>
  <c r="AU155" i="12"/>
  <c r="AV155" i="12"/>
  <c r="W156" i="12"/>
  <c r="Y156" i="12"/>
  <c r="Z156" i="12"/>
  <c r="AA156" i="12"/>
  <c r="AB156" i="12"/>
  <c r="AC156" i="12"/>
  <c r="AD156" i="12"/>
  <c r="AE156" i="12"/>
  <c r="AG156" i="12"/>
  <c r="AH156" i="12"/>
  <c r="AI156" i="12"/>
  <c r="AJ156" i="12"/>
  <c r="AK156" i="12"/>
  <c r="AL156" i="12"/>
  <c r="AM156" i="12"/>
  <c r="AN156" i="12"/>
  <c r="AO156" i="12"/>
  <c r="AP156" i="12"/>
  <c r="AQ156" i="12"/>
  <c r="AR156" i="12"/>
  <c r="AS156" i="12"/>
  <c r="AT156" i="12"/>
  <c r="AU156" i="12"/>
  <c r="AV156" i="12"/>
  <c r="W157" i="12"/>
  <c r="Y157" i="12"/>
  <c r="Z157" i="12"/>
  <c r="AA157" i="12"/>
  <c r="AB157" i="12"/>
  <c r="AC157" i="12"/>
  <c r="AD157" i="12"/>
  <c r="AE157" i="12"/>
  <c r="AG157" i="12"/>
  <c r="AH157" i="12"/>
  <c r="AI157" i="12"/>
  <c r="AJ157" i="12"/>
  <c r="AK157" i="12"/>
  <c r="AL157" i="12"/>
  <c r="AM157" i="12"/>
  <c r="AN157" i="12"/>
  <c r="AO157" i="12"/>
  <c r="AP157" i="12"/>
  <c r="AQ157" i="12"/>
  <c r="AR157" i="12"/>
  <c r="AS157" i="12"/>
  <c r="AT157" i="12"/>
  <c r="AU157" i="12"/>
  <c r="AV157" i="12"/>
  <c r="W158" i="12"/>
  <c r="Y158" i="12"/>
  <c r="Z158" i="12"/>
  <c r="AA158" i="12"/>
  <c r="AB158" i="12"/>
  <c r="AC158" i="12"/>
  <c r="AD158" i="12"/>
  <c r="AE158" i="12"/>
  <c r="AG158" i="12"/>
  <c r="AH158" i="12"/>
  <c r="AI158" i="12"/>
  <c r="AJ158" i="12"/>
  <c r="AK158" i="12"/>
  <c r="AL158" i="12"/>
  <c r="AM158" i="12"/>
  <c r="AN158" i="12"/>
  <c r="AO158" i="12"/>
  <c r="AP158" i="12"/>
  <c r="AQ158" i="12"/>
  <c r="AR158" i="12"/>
  <c r="AS158" i="12"/>
  <c r="AT158" i="12"/>
  <c r="AU158" i="12"/>
  <c r="AV158" i="12"/>
  <c r="W159" i="12"/>
  <c r="Y159" i="12"/>
  <c r="Z159" i="12"/>
  <c r="AA159" i="12"/>
  <c r="AB159" i="12"/>
  <c r="AC159" i="12"/>
  <c r="AD159" i="12"/>
  <c r="AE159" i="12"/>
  <c r="AG159" i="12"/>
  <c r="AH159" i="12"/>
  <c r="AI159" i="12"/>
  <c r="AJ159" i="12"/>
  <c r="AK159" i="12"/>
  <c r="AL159" i="12"/>
  <c r="AM159" i="12"/>
  <c r="AN159" i="12"/>
  <c r="AO159" i="12"/>
  <c r="AP159" i="12"/>
  <c r="AQ159" i="12"/>
  <c r="AR159" i="12"/>
  <c r="AS159" i="12"/>
  <c r="AT159" i="12"/>
  <c r="AU159" i="12"/>
  <c r="AV159" i="12"/>
  <c r="W238" i="12"/>
  <c r="Y238" i="12"/>
  <c r="Z238" i="12"/>
  <c r="AA238" i="12"/>
  <c r="AB238" i="12"/>
  <c r="AC238" i="12"/>
  <c r="AD238" i="12"/>
  <c r="AE238" i="12"/>
  <c r="AG238" i="12"/>
  <c r="AH238" i="12"/>
  <c r="AI238" i="12"/>
  <c r="AJ238" i="12"/>
  <c r="AK238" i="12"/>
  <c r="AL238" i="12"/>
  <c r="AM238" i="12"/>
  <c r="AN238" i="12"/>
  <c r="AO238" i="12"/>
  <c r="AP238" i="12"/>
  <c r="AQ238" i="12"/>
  <c r="AR238" i="12"/>
  <c r="AS238" i="12"/>
  <c r="AT238" i="12"/>
  <c r="AU238" i="12"/>
  <c r="AV238" i="12"/>
  <c r="W161" i="12"/>
  <c r="Y161" i="12"/>
  <c r="Z161" i="12"/>
  <c r="AA161" i="12"/>
  <c r="AB161" i="12"/>
  <c r="AC161" i="12"/>
  <c r="AD161" i="12"/>
  <c r="AE161" i="12"/>
  <c r="AG161" i="12"/>
  <c r="AH161" i="12"/>
  <c r="AI161" i="12"/>
  <c r="AJ161" i="12"/>
  <c r="AK161" i="12"/>
  <c r="AL161" i="12"/>
  <c r="AM161" i="12"/>
  <c r="AN161" i="12"/>
  <c r="AO161" i="12"/>
  <c r="AP161" i="12"/>
  <c r="AQ161" i="12"/>
  <c r="AR161" i="12"/>
  <c r="AS161" i="12"/>
  <c r="AT161" i="12"/>
  <c r="AU161" i="12"/>
  <c r="AV161" i="12"/>
  <c r="W162" i="12"/>
  <c r="Y162" i="12"/>
  <c r="Z162" i="12"/>
  <c r="AA162" i="12"/>
  <c r="AB162" i="12"/>
  <c r="AC162" i="12"/>
  <c r="AD162" i="12"/>
  <c r="AE162" i="12"/>
  <c r="AG162" i="12"/>
  <c r="AH162" i="12"/>
  <c r="AI162" i="12"/>
  <c r="AJ162" i="12"/>
  <c r="AK162" i="12"/>
  <c r="AL162" i="12"/>
  <c r="AM162" i="12"/>
  <c r="AN162" i="12"/>
  <c r="AO162" i="12"/>
  <c r="AP162" i="12"/>
  <c r="AQ162" i="12"/>
  <c r="AR162" i="12"/>
  <c r="AS162" i="12"/>
  <c r="AT162" i="12"/>
  <c r="AU162" i="12"/>
  <c r="AV162" i="12"/>
  <c r="W163" i="12"/>
  <c r="Y163" i="12"/>
  <c r="Z163" i="12"/>
  <c r="AA163" i="12"/>
  <c r="AB163" i="12"/>
  <c r="AC163" i="12"/>
  <c r="AD163" i="12"/>
  <c r="AE163" i="12"/>
  <c r="AG163" i="12"/>
  <c r="AH163" i="12"/>
  <c r="AI163" i="12"/>
  <c r="AJ163" i="12"/>
  <c r="AK163" i="12"/>
  <c r="AL163" i="12"/>
  <c r="AM163" i="12"/>
  <c r="AN163" i="12"/>
  <c r="AO163" i="12"/>
  <c r="AP163" i="12"/>
  <c r="AQ163" i="12"/>
  <c r="AR163" i="12"/>
  <c r="AS163" i="12"/>
  <c r="AT163" i="12"/>
  <c r="AU163" i="12"/>
  <c r="AV163" i="12"/>
  <c r="W164" i="12"/>
  <c r="Y164" i="12"/>
  <c r="Z164" i="12"/>
  <c r="AA164" i="12"/>
  <c r="AB164" i="12"/>
  <c r="AC164" i="12"/>
  <c r="AD164" i="12"/>
  <c r="AE164" i="12"/>
  <c r="AG164" i="12"/>
  <c r="AH164" i="12"/>
  <c r="AI164" i="12"/>
  <c r="AJ164" i="12"/>
  <c r="AK164" i="12"/>
  <c r="AL164" i="12"/>
  <c r="AM164" i="12"/>
  <c r="AN164" i="12"/>
  <c r="AO164" i="12"/>
  <c r="AP164" i="12"/>
  <c r="AQ164" i="12"/>
  <c r="AR164" i="12"/>
  <c r="AS164" i="12"/>
  <c r="AT164" i="12"/>
  <c r="AU164" i="12"/>
  <c r="AV164" i="12"/>
  <c r="W165" i="12"/>
  <c r="Y165" i="12"/>
  <c r="Z165" i="12"/>
  <c r="AA165" i="12"/>
  <c r="AB165" i="12"/>
  <c r="AC165" i="12"/>
  <c r="AD165" i="12"/>
  <c r="AE165" i="12"/>
  <c r="AG165" i="12"/>
  <c r="AH165" i="12"/>
  <c r="AI165" i="12"/>
  <c r="AJ165" i="12"/>
  <c r="AK165" i="12"/>
  <c r="AL165" i="12"/>
  <c r="AM165" i="12"/>
  <c r="AN165" i="12"/>
  <c r="AO165" i="12"/>
  <c r="AP165" i="12"/>
  <c r="AQ165" i="12"/>
  <c r="AR165" i="12"/>
  <c r="AS165" i="12"/>
  <c r="AT165" i="12"/>
  <c r="AU165" i="12"/>
  <c r="AV165" i="12"/>
  <c r="W166" i="12"/>
  <c r="Y166" i="12"/>
  <c r="Z166" i="12"/>
  <c r="AA166" i="12"/>
  <c r="AB166" i="12"/>
  <c r="AC166" i="12"/>
  <c r="AD166" i="12"/>
  <c r="AE166" i="12"/>
  <c r="AG166" i="12"/>
  <c r="AH166" i="12"/>
  <c r="AI166" i="12"/>
  <c r="AJ166" i="12"/>
  <c r="AK166" i="12"/>
  <c r="AL166" i="12"/>
  <c r="AM166" i="12"/>
  <c r="AN166" i="12"/>
  <c r="AO166" i="12"/>
  <c r="AP166" i="12"/>
  <c r="AQ166" i="12"/>
  <c r="AR166" i="12"/>
  <c r="AS166" i="12"/>
  <c r="AT166" i="12"/>
  <c r="AU166" i="12"/>
  <c r="AV166" i="12"/>
  <c r="W167" i="12"/>
  <c r="Y167" i="12"/>
  <c r="Z167" i="12"/>
  <c r="AA167" i="12"/>
  <c r="AB167" i="12"/>
  <c r="AC167" i="12"/>
  <c r="AD167" i="12"/>
  <c r="AE167" i="12"/>
  <c r="AG167" i="12"/>
  <c r="AH167" i="12"/>
  <c r="AI167" i="12"/>
  <c r="AJ167" i="12"/>
  <c r="AK167" i="12"/>
  <c r="AL167" i="12"/>
  <c r="AM167" i="12"/>
  <c r="AN167" i="12"/>
  <c r="AO167" i="12"/>
  <c r="AP167" i="12"/>
  <c r="AQ167" i="12"/>
  <c r="AR167" i="12"/>
  <c r="AS167" i="12"/>
  <c r="AT167" i="12"/>
  <c r="AU167" i="12"/>
  <c r="AV167" i="12"/>
  <c r="W168" i="12"/>
  <c r="Y168" i="12"/>
  <c r="Z168" i="12"/>
  <c r="AA168" i="12"/>
  <c r="AB168" i="12"/>
  <c r="AC168" i="12"/>
  <c r="AD168" i="12"/>
  <c r="AE168" i="12"/>
  <c r="AG168" i="12"/>
  <c r="AH168" i="12"/>
  <c r="AI168" i="12"/>
  <c r="AJ168" i="12"/>
  <c r="AK168" i="12"/>
  <c r="AL168" i="12"/>
  <c r="AM168" i="12"/>
  <c r="AN168" i="12"/>
  <c r="AO168" i="12"/>
  <c r="AP168" i="12"/>
  <c r="AQ168" i="12"/>
  <c r="AR168" i="12"/>
  <c r="AS168" i="12"/>
  <c r="AT168" i="12"/>
  <c r="AU168" i="12"/>
  <c r="AV168" i="12"/>
  <c r="W136" i="12"/>
  <c r="Y136" i="12"/>
  <c r="Z136" i="12"/>
  <c r="AA136" i="12"/>
  <c r="AB136" i="12"/>
  <c r="AC136" i="12"/>
  <c r="AD136" i="12"/>
  <c r="AE136" i="12"/>
  <c r="AG136" i="12"/>
  <c r="AH136" i="12"/>
  <c r="AI136" i="12"/>
  <c r="AJ136" i="12"/>
  <c r="AK136" i="12"/>
  <c r="AL136" i="12"/>
  <c r="AM136" i="12"/>
  <c r="AN136" i="12"/>
  <c r="AO136" i="12"/>
  <c r="AP136" i="12"/>
  <c r="AQ136" i="12"/>
  <c r="AR136" i="12"/>
  <c r="AS136" i="12"/>
  <c r="AT136" i="12"/>
  <c r="AU136" i="12"/>
  <c r="AV136" i="12"/>
  <c r="W54" i="12"/>
  <c r="Y54" i="12"/>
  <c r="Z54" i="12"/>
  <c r="AA54" i="12"/>
  <c r="AB54" i="12"/>
  <c r="AC54" i="12"/>
  <c r="AD54" i="12"/>
  <c r="AE54" i="12"/>
  <c r="AG54" i="12"/>
  <c r="AH54" i="12"/>
  <c r="AI54" i="12"/>
  <c r="AJ54" i="12"/>
  <c r="AK54" i="12"/>
  <c r="AL54" i="12"/>
  <c r="AM54" i="12"/>
  <c r="AN54" i="12"/>
  <c r="AO54" i="12"/>
  <c r="AP54" i="12"/>
  <c r="AQ54" i="12"/>
  <c r="AR54" i="12"/>
  <c r="AS54" i="12"/>
  <c r="AT54" i="12"/>
  <c r="AU54" i="12"/>
  <c r="AV54" i="12"/>
  <c r="W171" i="12"/>
  <c r="Y171" i="12"/>
  <c r="Z171" i="12"/>
  <c r="AA171" i="12"/>
  <c r="AB171" i="12"/>
  <c r="AC171" i="12"/>
  <c r="AD171" i="12"/>
  <c r="AE171" i="12"/>
  <c r="AG171" i="12"/>
  <c r="AH171" i="12"/>
  <c r="AI171" i="12"/>
  <c r="AJ171" i="12"/>
  <c r="AK171" i="12"/>
  <c r="AL171" i="12"/>
  <c r="AM171" i="12"/>
  <c r="AN171" i="12"/>
  <c r="AO171" i="12"/>
  <c r="AP171" i="12"/>
  <c r="AQ171" i="12"/>
  <c r="AR171" i="12"/>
  <c r="AS171" i="12"/>
  <c r="AT171" i="12"/>
  <c r="AU171" i="12"/>
  <c r="AV171" i="12"/>
  <c r="W172" i="12"/>
  <c r="Y172" i="12"/>
  <c r="Z172" i="12"/>
  <c r="AA172" i="12"/>
  <c r="AB172" i="12"/>
  <c r="AC172" i="12"/>
  <c r="AD172" i="12"/>
  <c r="AE172" i="12"/>
  <c r="AG172" i="12"/>
  <c r="AH172" i="12"/>
  <c r="AI172" i="12"/>
  <c r="AJ172" i="12"/>
  <c r="AK172" i="12"/>
  <c r="AL172" i="12"/>
  <c r="AM172" i="12"/>
  <c r="AN172" i="12"/>
  <c r="AO172" i="12"/>
  <c r="AP172" i="12"/>
  <c r="AQ172" i="12"/>
  <c r="AR172" i="12"/>
  <c r="AS172" i="12"/>
  <c r="AT172" i="12"/>
  <c r="AU172" i="12"/>
  <c r="AV172" i="12"/>
  <c r="W173" i="12"/>
  <c r="Y173" i="12"/>
  <c r="Z173" i="12"/>
  <c r="AA173" i="12"/>
  <c r="AB173" i="12"/>
  <c r="AC173" i="12"/>
  <c r="AD173" i="12"/>
  <c r="AE173" i="12"/>
  <c r="AG173" i="12"/>
  <c r="AH173" i="12"/>
  <c r="AI173" i="12"/>
  <c r="AJ173" i="12"/>
  <c r="AK173" i="12"/>
  <c r="AL173" i="12"/>
  <c r="AM173" i="12"/>
  <c r="AN173" i="12"/>
  <c r="AO173" i="12"/>
  <c r="AP173" i="12"/>
  <c r="AQ173" i="12"/>
  <c r="AR173" i="12"/>
  <c r="AS173" i="12"/>
  <c r="AT173" i="12"/>
  <c r="AU173" i="12"/>
  <c r="AV173" i="12"/>
  <c r="W174" i="12"/>
  <c r="Y174" i="12"/>
  <c r="Z174" i="12"/>
  <c r="AA174" i="12"/>
  <c r="AB174" i="12"/>
  <c r="AC174" i="12"/>
  <c r="AD174" i="12"/>
  <c r="AE174" i="12"/>
  <c r="AG174" i="12"/>
  <c r="AH174" i="12"/>
  <c r="AI174" i="12"/>
  <c r="AJ174" i="12"/>
  <c r="AK174" i="12"/>
  <c r="AL174" i="12"/>
  <c r="AM174" i="12"/>
  <c r="AN174" i="12"/>
  <c r="AO174" i="12"/>
  <c r="AP174" i="12"/>
  <c r="AQ174" i="12"/>
  <c r="AR174" i="12"/>
  <c r="AS174" i="12"/>
  <c r="AT174" i="12"/>
  <c r="AU174" i="12"/>
  <c r="AV174" i="12"/>
  <c r="W175" i="12"/>
  <c r="Y175" i="12"/>
  <c r="Z175" i="12"/>
  <c r="AA175" i="12"/>
  <c r="AB175" i="12"/>
  <c r="AC175" i="12"/>
  <c r="AD175" i="12"/>
  <c r="AE175" i="12"/>
  <c r="AG175" i="12"/>
  <c r="AH175" i="12"/>
  <c r="AI175" i="12"/>
  <c r="AJ175" i="12"/>
  <c r="AK175" i="12"/>
  <c r="AL175" i="12"/>
  <c r="AM175" i="12"/>
  <c r="AN175" i="12"/>
  <c r="AO175" i="12"/>
  <c r="AP175" i="12"/>
  <c r="AQ175" i="12"/>
  <c r="AR175" i="12"/>
  <c r="AS175" i="12"/>
  <c r="AT175" i="12"/>
  <c r="AU175" i="12"/>
  <c r="AV175" i="12"/>
  <c r="W176" i="12"/>
  <c r="Y176" i="12"/>
  <c r="Z176" i="12"/>
  <c r="AA176" i="12"/>
  <c r="AB176" i="12"/>
  <c r="AC176" i="12"/>
  <c r="AD176" i="12"/>
  <c r="AE176" i="12"/>
  <c r="AG176" i="12"/>
  <c r="AH176" i="12"/>
  <c r="AI176" i="12"/>
  <c r="AJ176" i="12"/>
  <c r="AK176" i="12"/>
  <c r="AL176" i="12"/>
  <c r="AM176" i="12"/>
  <c r="AN176" i="12"/>
  <c r="AO176" i="12"/>
  <c r="AP176" i="12"/>
  <c r="AQ176" i="12"/>
  <c r="AR176" i="12"/>
  <c r="AS176" i="12"/>
  <c r="AT176" i="12"/>
  <c r="AU176" i="12"/>
  <c r="AV176" i="12"/>
  <c r="W177" i="12"/>
  <c r="Y177" i="12"/>
  <c r="Z177" i="12"/>
  <c r="AA177" i="12"/>
  <c r="AB177" i="12"/>
  <c r="AC177" i="12"/>
  <c r="AD177" i="12"/>
  <c r="AE177" i="12"/>
  <c r="AG177" i="12"/>
  <c r="AH177" i="12"/>
  <c r="AI177" i="12"/>
  <c r="AJ177" i="12"/>
  <c r="AK177" i="12"/>
  <c r="AL177" i="12"/>
  <c r="AM177" i="12"/>
  <c r="AN177" i="12"/>
  <c r="AO177" i="12"/>
  <c r="AP177" i="12"/>
  <c r="AQ177" i="12"/>
  <c r="AR177" i="12"/>
  <c r="AS177" i="12"/>
  <c r="AT177" i="12"/>
  <c r="AU177" i="12"/>
  <c r="AV177" i="12"/>
  <c r="W178" i="12"/>
  <c r="Y178" i="12"/>
  <c r="Z178" i="12"/>
  <c r="AA178" i="12"/>
  <c r="AB178" i="12"/>
  <c r="AC178" i="12"/>
  <c r="AD178" i="12"/>
  <c r="AE178" i="12"/>
  <c r="AG178" i="12"/>
  <c r="AH178" i="12"/>
  <c r="AI178" i="12"/>
  <c r="AJ178" i="12"/>
  <c r="AK178" i="12"/>
  <c r="AL178" i="12"/>
  <c r="AM178" i="12"/>
  <c r="AN178" i="12"/>
  <c r="AO178" i="12"/>
  <c r="AP178" i="12"/>
  <c r="AQ178" i="12"/>
  <c r="AR178" i="12"/>
  <c r="AS178" i="12"/>
  <c r="AT178" i="12"/>
  <c r="AU178" i="12"/>
  <c r="AV178" i="12"/>
  <c r="W179" i="12"/>
  <c r="Y179" i="12"/>
  <c r="Z179" i="12"/>
  <c r="AA179" i="12"/>
  <c r="AB179" i="12"/>
  <c r="AC179" i="12"/>
  <c r="AD179" i="12"/>
  <c r="AE179" i="12"/>
  <c r="AG179" i="12"/>
  <c r="AH179" i="12"/>
  <c r="AI179" i="12"/>
  <c r="AJ179" i="12"/>
  <c r="AK179" i="12"/>
  <c r="AL179" i="12"/>
  <c r="AM179" i="12"/>
  <c r="AN179" i="12"/>
  <c r="AO179" i="12"/>
  <c r="AP179" i="12"/>
  <c r="AQ179" i="12"/>
  <c r="AR179" i="12"/>
  <c r="AS179" i="12"/>
  <c r="AT179" i="12"/>
  <c r="AU179" i="12"/>
  <c r="AV179" i="12"/>
  <c r="W180" i="12"/>
  <c r="Y180" i="12"/>
  <c r="Z180" i="12"/>
  <c r="AA180" i="12"/>
  <c r="AB180" i="12"/>
  <c r="AC180" i="12"/>
  <c r="AD180" i="12"/>
  <c r="AE180" i="12"/>
  <c r="AG180" i="12"/>
  <c r="AH180" i="12"/>
  <c r="AI180" i="12"/>
  <c r="AJ180" i="12"/>
  <c r="AK180" i="12"/>
  <c r="AL180" i="12"/>
  <c r="AM180" i="12"/>
  <c r="AN180" i="12"/>
  <c r="AO180" i="12"/>
  <c r="AP180" i="12"/>
  <c r="AQ180" i="12"/>
  <c r="AR180" i="12"/>
  <c r="AS180" i="12"/>
  <c r="AT180" i="12"/>
  <c r="AU180" i="12"/>
  <c r="AV180" i="12"/>
  <c r="W181" i="12"/>
  <c r="Y181" i="12"/>
  <c r="Z181" i="12"/>
  <c r="AA181" i="12"/>
  <c r="AB181" i="12"/>
  <c r="AC181" i="12"/>
  <c r="AD181" i="12"/>
  <c r="AE181" i="12"/>
  <c r="AG181" i="12"/>
  <c r="AH181" i="12"/>
  <c r="AI181" i="12"/>
  <c r="AJ181" i="12"/>
  <c r="AK181" i="12"/>
  <c r="AL181" i="12"/>
  <c r="AM181" i="12"/>
  <c r="AN181" i="12"/>
  <c r="AO181" i="12"/>
  <c r="AP181" i="12"/>
  <c r="AQ181" i="12"/>
  <c r="AR181" i="12"/>
  <c r="AS181" i="12"/>
  <c r="AT181" i="12"/>
  <c r="AU181" i="12"/>
  <c r="AV181" i="12"/>
  <c r="W182" i="12"/>
  <c r="Y182" i="12"/>
  <c r="Z182" i="12"/>
  <c r="AA182" i="12"/>
  <c r="AB182" i="12"/>
  <c r="AC182" i="12"/>
  <c r="AD182" i="12"/>
  <c r="AE182" i="12"/>
  <c r="AG182" i="12"/>
  <c r="AH182" i="12"/>
  <c r="AI182" i="12"/>
  <c r="AJ182" i="12"/>
  <c r="AK182" i="12"/>
  <c r="AL182" i="12"/>
  <c r="AM182" i="12"/>
  <c r="AN182" i="12"/>
  <c r="AO182" i="12"/>
  <c r="AP182" i="12"/>
  <c r="AQ182" i="12"/>
  <c r="AR182" i="12"/>
  <c r="AS182" i="12"/>
  <c r="AT182" i="12"/>
  <c r="AU182" i="12"/>
  <c r="AV182" i="12"/>
  <c r="W183" i="12"/>
  <c r="Y183" i="12"/>
  <c r="Z183" i="12"/>
  <c r="AA183" i="12"/>
  <c r="AB183" i="12"/>
  <c r="AC183" i="12"/>
  <c r="AD183" i="12"/>
  <c r="AE183" i="12"/>
  <c r="AG183" i="12"/>
  <c r="AH183" i="12"/>
  <c r="AI183" i="12"/>
  <c r="AJ183" i="12"/>
  <c r="AK183" i="12"/>
  <c r="AL183" i="12"/>
  <c r="AM183" i="12"/>
  <c r="AN183" i="12"/>
  <c r="AO183" i="12"/>
  <c r="AP183" i="12"/>
  <c r="AQ183" i="12"/>
  <c r="AR183" i="12"/>
  <c r="AS183" i="12"/>
  <c r="AT183" i="12"/>
  <c r="AU183" i="12"/>
  <c r="AV183" i="12"/>
  <c r="W317" i="12"/>
  <c r="Y317" i="12"/>
  <c r="Z317" i="12"/>
  <c r="AA317" i="12"/>
  <c r="AB317" i="12"/>
  <c r="AC317" i="12"/>
  <c r="AD317" i="12"/>
  <c r="AE317" i="12"/>
  <c r="AG317" i="12"/>
  <c r="AH317" i="12"/>
  <c r="AI317" i="12"/>
  <c r="AJ317" i="12"/>
  <c r="AK317" i="12"/>
  <c r="AL317" i="12"/>
  <c r="AM317" i="12"/>
  <c r="AN317" i="12"/>
  <c r="AO317" i="12"/>
  <c r="AP317" i="12"/>
  <c r="AQ317" i="12"/>
  <c r="AR317" i="12"/>
  <c r="AS317" i="12"/>
  <c r="AT317" i="12"/>
  <c r="AU317" i="12"/>
  <c r="AV317" i="12"/>
  <c r="W185" i="12"/>
  <c r="Y185" i="12"/>
  <c r="Z185" i="12"/>
  <c r="AA185" i="12"/>
  <c r="AB185" i="12"/>
  <c r="AC185" i="12"/>
  <c r="AD185" i="12"/>
  <c r="AE185" i="12"/>
  <c r="AG185" i="12"/>
  <c r="AH185" i="12"/>
  <c r="AI185" i="12"/>
  <c r="AJ185" i="12"/>
  <c r="AK185" i="12"/>
  <c r="AL185" i="12"/>
  <c r="AM185" i="12"/>
  <c r="AN185" i="12"/>
  <c r="AO185" i="12"/>
  <c r="AP185" i="12"/>
  <c r="AQ185" i="12"/>
  <c r="AR185" i="12"/>
  <c r="AS185" i="12"/>
  <c r="AT185" i="12"/>
  <c r="AU185" i="12"/>
  <c r="AV185" i="12"/>
  <c r="W186" i="12"/>
  <c r="Y186" i="12"/>
  <c r="Z186" i="12"/>
  <c r="AA186" i="12"/>
  <c r="AB186" i="12"/>
  <c r="AC186" i="12"/>
  <c r="AD186" i="12"/>
  <c r="AE186" i="12"/>
  <c r="AG186" i="12"/>
  <c r="AH186" i="12"/>
  <c r="AI186" i="12"/>
  <c r="AJ186" i="12"/>
  <c r="AK186" i="12"/>
  <c r="AL186" i="12"/>
  <c r="AM186" i="12"/>
  <c r="AN186" i="12"/>
  <c r="AO186" i="12"/>
  <c r="AP186" i="12"/>
  <c r="AQ186" i="12"/>
  <c r="AR186" i="12"/>
  <c r="AS186" i="12"/>
  <c r="AT186" i="12"/>
  <c r="AU186" i="12"/>
  <c r="AV186" i="12"/>
  <c r="W187" i="12"/>
  <c r="Y187" i="12"/>
  <c r="Z187" i="12"/>
  <c r="AA187" i="12"/>
  <c r="AB187" i="12"/>
  <c r="AC187" i="12"/>
  <c r="AD187" i="12"/>
  <c r="AE187" i="12"/>
  <c r="AG187" i="12"/>
  <c r="AH187" i="12"/>
  <c r="AI187" i="12"/>
  <c r="AJ187" i="12"/>
  <c r="AK187" i="12"/>
  <c r="AL187" i="12"/>
  <c r="AM187" i="12"/>
  <c r="AN187" i="12"/>
  <c r="AO187" i="12"/>
  <c r="AP187" i="12"/>
  <c r="AQ187" i="12"/>
  <c r="AR187" i="12"/>
  <c r="AS187" i="12"/>
  <c r="AT187" i="12"/>
  <c r="AU187" i="12"/>
  <c r="AV187" i="12"/>
  <c r="W188" i="12"/>
  <c r="Y188" i="12"/>
  <c r="Z188" i="12"/>
  <c r="AA188" i="12"/>
  <c r="AB188" i="12"/>
  <c r="AC188" i="12"/>
  <c r="AD188" i="12"/>
  <c r="AE188" i="12"/>
  <c r="AG188" i="12"/>
  <c r="AH188" i="12"/>
  <c r="AI188" i="12"/>
  <c r="AJ188" i="12"/>
  <c r="AK188" i="12"/>
  <c r="AL188" i="12"/>
  <c r="AM188" i="12"/>
  <c r="AN188" i="12"/>
  <c r="AO188" i="12"/>
  <c r="AP188" i="12"/>
  <c r="AQ188" i="12"/>
  <c r="AR188" i="12"/>
  <c r="AS188" i="12"/>
  <c r="AT188" i="12"/>
  <c r="AU188" i="12"/>
  <c r="AV188" i="12"/>
  <c r="W189" i="12"/>
  <c r="Y189" i="12"/>
  <c r="Z189" i="12"/>
  <c r="AA189" i="12"/>
  <c r="AB189" i="12"/>
  <c r="AC189" i="12"/>
  <c r="AD189" i="12"/>
  <c r="AE189" i="12"/>
  <c r="AG189" i="12"/>
  <c r="AH189" i="12"/>
  <c r="AI189" i="12"/>
  <c r="AJ189" i="12"/>
  <c r="AK189" i="12"/>
  <c r="AL189" i="12"/>
  <c r="AM189" i="12"/>
  <c r="AN189" i="12"/>
  <c r="AO189" i="12"/>
  <c r="AP189" i="12"/>
  <c r="AQ189" i="12"/>
  <c r="AR189" i="12"/>
  <c r="AS189" i="12"/>
  <c r="AT189" i="12"/>
  <c r="AU189" i="12"/>
  <c r="AV189" i="12"/>
  <c r="W190" i="12"/>
  <c r="Y190" i="12"/>
  <c r="Z190" i="12"/>
  <c r="AA190" i="12"/>
  <c r="AB190" i="12"/>
  <c r="AC190" i="12"/>
  <c r="AD190" i="12"/>
  <c r="AE190" i="12"/>
  <c r="AG190" i="12"/>
  <c r="AH190" i="12"/>
  <c r="AI190" i="12"/>
  <c r="AJ190" i="12"/>
  <c r="AK190" i="12"/>
  <c r="AL190" i="12"/>
  <c r="AM190" i="12"/>
  <c r="AN190" i="12"/>
  <c r="AO190" i="12"/>
  <c r="AP190" i="12"/>
  <c r="AQ190" i="12"/>
  <c r="AR190" i="12"/>
  <c r="AS190" i="12"/>
  <c r="AT190" i="12"/>
  <c r="AU190" i="12"/>
  <c r="AV190" i="12"/>
  <c r="W191" i="12"/>
  <c r="Y191" i="12"/>
  <c r="Z191" i="12"/>
  <c r="AA191" i="12"/>
  <c r="AB191" i="12"/>
  <c r="AC191" i="12"/>
  <c r="AD191" i="12"/>
  <c r="AE191" i="12"/>
  <c r="AG191" i="12"/>
  <c r="AH191" i="12"/>
  <c r="AI191" i="12"/>
  <c r="AJ191" i="12"/>
  <c r="AK191" i="12"/>
  <c r="AL191" i="12"/>
  <c r="AM191" i="12"/>
  <c r="AN191" i="12"/>
  <c r="AO191" i="12"/>
  <c r="AP191" i="12"/>
  <c r="AQ191" i="12"/>
  <c r="AR191" i="12"/>
  <c r="AS191" i="12"/>
  <c r="AT191" i="12"/>
  <c r="AU191" i="12"/>
  <c r="AV191" i="12"/>
  <c r="W192" i="12"/>
  <c r="Y192" i="12"/>
  <c r="Z192" i="12"/>
  <c r="AA192" i="12"/>
  <c r="AB192" i="12"/>
  <c r="AC192" i="12"/>
  <c r="AD192" i="12"/>
  <c r="AE192" i="12"/>
  <c r="AG192" i="12"/>
  <c r="AH192" i="12"/>
  <c r="AI192" i="12"/>
  <c r="AJ192" i="12"/>
  <c r="AK192" i="12"/>
  <c r="AL192" i="12"/>
  <c r="AM192" i="12"/>
  <c r="AN192" i="12"/>
  <c r="AO192" i="12"/>
  <c r="AP192" i="12"/>
  <c r="AQ192" i="12"/>
  <c r="AR192" i="12"/>
  <c r="AS192" i="12"/>
  <c r="AT192" i="12"/>
  <c r="AU192" i="12"/>
  <c r="AV192" i="12"/>
  <c r="W193" i="12"/>
  <c r="Y193" i="12"/>
  <c r="Z193" i="12"/>
  <c r="AA193" i="12"/>
  <c r="AB193" i="12"/>
  <c r="AC193" i="12"/>
  <c r="AD193" i="12"/>
  <c r="AE193" i="12"/>
  <c r="AG193" i="12"/>
  <c r="AH193" i="12"/>
  <c r="AI193" i="12"/>
  <c r="AJ193" i="12"/>
  <c r="AK193" i="12"/>
  <c r="AL193" i="12"/>
  <c r="AM193" i="12"/>
  <c r="AN193" i="12"/>
  <c r="AO193" i="12"/>
  <c r="AP193" i="12"/>
  <c r="AQ193" i="12"/>
  <c r="AR193" i="12"/>
  <c r="AS193" i="12"/>
  <c r="AT193" i="12"/>
  <c r="AU193" i="12"/>
  <c r="AV193" i="12"/>
  <c r="W194" i="12"/>
  <c r="Y194" i="12"/>
  <c r="Z194" i="12"/>
  <c r="AA194" i="12"/>
  <c r="AB194" i="12"/>
  <c r="AC194" i="12"/>
  <c r="AD194" i="12"/>
  <c r="AE194" i="12"/>
  <c r="AG194" i="12"/>
  <c r="AH194" i="12"/>
  <c r="AI194" i="12"/>
  <c r="AJ194" i="12"/>
  <c r="AK194" i="12"/>
  <c r="AL194" i="12"/>
  <c r="AM194" i="12"/>
  <c r="AN194" i="12"/>
  <c r="AO194" i="12"/>
  <c r="AP194" i="12"/>
  <c r="AQ194" i="12"/>
  <c r="AR194" i="12"/>
  <c r="AS194" i="12"/>
  <c r="AT194" i="12"/>
  <c r="AU194" i="12"/>
  <c r="AV194" i="12"/>
  <c r="W195" i="12"/>
  <c r="Y195" i="12"/>
  <c r="Z195" i="12"/>
  <c r="AA195" i="12"/>
  <c r="AB195" i="12"/>
  <c r="AC195" i="12"/>
  <c r="AD195" i="12"/>
  <c r="AE195" i="12"/>
  <c r="AG195" i="12"/>
  <c r="AH195" i="12"/>
  <c r="AI195" i="12"/>
  <c r="AJ195" i="12"/>
  <c r="AK195" i="12"/>
  <c r="AL195" i="12"/>
  <c r="AM195" i="12"/>
  <c r="AN195" i="12"/>
  <c r="AO195" i="12"/>
  <c r="AP195" i="12"/>
  <c r="AQ195" i="12"/>
  <c r="AR195" i="12"/>
  <c r="AS195" i="12"/>
  <c r="AT195" i="12"/>
  <c r="AU195" i="12"/>
  <c r="AV195" i="12"/>
  <c r="W196" i="12"/>
  <c r="Y196" i="12"/>
  <c r="Z196" i="12"/>
  <c r="AA196" i="12"/>
  <c r="AB196" i="12"/>
  <c r="AC196" i="12"/>
  <c r="AD196" i="12"/>
  <c r="AE196" i="12"/>
  <c r="AG196" i="12"/>
  <c r="AH196" i="12"/>
  <c r="AI196" i="12"/>
  <c r="AJ196" i="12"/>
  <c r="AK196" i="12"/>
  <c r="AL196" i="12"/>
  <c r="AM196" i="12"/>
  <c r="AN196" i="12"/>
  <c r="AO196" i="12"/>
  <c r="AP196" i="12"/>
  <c r="AQ196" i="12"/>
  <c r="AR196" i="12"/>
  <c r="AS196" i="12"/>
  <c r="AT196" i="12"/>
  <c r="AU196" i="12"/>
  <c r="AV196" i="12"/>
  <c r="W197" i="12"/>
  <c r="Y197" i="12"/>
  <c r="Z197" i="12"/>
  <c r="AA197" i="12"/>
  <c r="AB197" i="12"/>
  <c r="AC197" i="12"/>
  <c r="AD197" i="12"/>
  <c r="AE197" i="12"/>
  <c r="AG197" i="12"/>
  <c r="AH197" i="12"/>
  <c r="AI197" i="12"/>
  <c r="AJ197" i="12"/>
  <c r="AK197" i="12"/>
  <c r="AL197" i="12"/>
  <c r="AM197" i="12"/>
  <c r="AN197" i="12"/>
  <c r="AO197" i="12"/>
  <c r="AP197" i="12"/>
  <c r="AQ197" i="12"/>
  <c r="AR197" i="12"/>
  <c r="AS197" i="12"/>
  <c r="AT197" i="12"/>
  <c r="AU197" i="12"/>
  <c r="AV197" i="12"/>
  <c r="W198" i="12"/>
  <c r="Y198" i="12"/>
  <c r="Z198" i="12"/>
  <c r="AA198" i="12"/>
  <c r="AB198" i="12"/>
  <c r="AC198" i="12"/>
  <c r="AD198" i="12"/>
  <c r="AE198" i="12"/>
  <c r="AG198" i="12"/>
  <c r="AH198" i="12"/>
  <c r="AI198" i="12"/>
  <c r="AJ198" i="12"/>
  <c r="AK198" i="12"/>
  <c r="AL198" i="12"/>
  <c r="AM198" i="12"/>
  <c r="AN198" i="12"/>
  <c r="AO198" i="12"/>
  <c r="AP198" i="12"/>
  <c r="AQ198" i="12"/>
  <c r="AR198" i="12"/>
  <c r="AS198" i="12"/>
  <c r="AT198" i="12"/>
  <c r="AU198" i="12"/>
  <c r="AV198" i="12"/>
  <c r="W276" i="12"/>
  <c r="Y276" i="12"/>
  <c r="Z276" i="12"/>
  <c r="AA276" i="12"/>
  <c r="AB276" i="12"/>
  <c r="AC276" i="12"/>
  <c r="AD276" i="12"/>
  <c r="AE276" i="12"/>
  <c r="AG276" i="12"/>
  <c r="AH276" i="12"/>
  <c r="AI276" i="12"/>
  <c r="AJ276" i="12"/>
  <c r="AK276" i="12"/>
  <c r="AL276" i="12"/>
  <c r="AM276" i="12"/>
  <c r="AN276" i="12"/>
  <c r="AO276" i="12"/>
  <c r="AP276" i="12"/>
  <c r="AQ276" i="12"/>
  <c r="AR276" i="12"/>
  <c r="AS276" i="12"/>
  <c r="AT276" i="12"/>
  <c r="AU276" i="12"/>
  <c r="AV276" i="12"/>
  <c r="W200" i="12"/>
  <c r="Y200" i="12"/>
  <c r="Z200" i="12"/>
  <c r="AA200" i="12"/>
  <c r="AB200" i="12"/>
  <c r="AC200" i="12"/>
  <c r="AD200" i="12"/>
  <c r="AE200" i="12"/>
  <c r="AG200" i="12"/>
  <c r="AH200" i="12"/>
  <c r="AI200" i="12"/>
  <c r="AJ200" i="12"/>
  <c r="AK200" i="12"/>
  <c r="AL200" i="12"/>
  <c r="AM200" i="12"/>
  <c r="AN200" i="12"/>
  <c r="AO200" i="12"/>
  <c r="AP200" i="12"/>
  <c r="AQ200" i="12"/>
  <c r="AR200" i="12"/>
  <c r="AS200" i="12"/>
  <c r="AT200" i="12"/>
  <c r="AU200" i="12"/>
  <c r="AV200" i="12"/>
  <c r="W201" i="12"/>
  <c r="Y201" i="12"/>
  <c r="Z201" i="12"/>
  <c r="AA201" i="12"/>
  <c r="AB201" i="12"/>
  <c r="AC201" i="12"/>
  <c r="AD201" i="12"/>
  <c r="AE201" i="12"/>
  <c r="AG201" i="12"/>
  <c r="AH201" i="12"/>
  <c r="AI201" i="12"/>
  <c r="AJ201" i="12"/>
  <c r="AK201" i="12"/>
  <c r="AL201" i="12"/>
  <c r="AM201" i="12"/>
  <c r="AN201" i="12"/>
  <c r="AO201" i="12"/>
  <c r="AP201" i="12"/>
  <c r="AQ201" i="12"/>
  <c r="AR201" i="12"/>
  <c r="AS201" i="12"/>
  <c r="AT201" i="12"/>
  <c r="AU201" i="12"/>
  <c r="AV201" i="12"/>
  <c r="W202" i="12"/>
  <c r="Y202" i="12"/>
  <c r="Z202" i="12"/>
  <c r="AA202" i="12"/>
  <c r="AB202" i="12"/>
  <c r="AC202" i="12"/>
  <c r="AD202" i="12"/>
  <c r="AE202" i="12"/>
  <c r="AG202" i="12"/>
  <c r="AH202" i="12"/>
  <c r="AI202" i="12"/>
  <c r="AJ202" i="12"/>
  <c r="AK202" i="12"/>
  <c r="AL202" i="12"/>
  <c r="AM202" i="12"/>
  <c r="AN202" i="12"/>
  <c r="AO202" i="12"/>
  <c r="AP202" i="12"/>
  <c r="AQ202" i="12"/>
  <c r="AR202" i="12"/>
  <c r="AS202" i="12"/>
  <c r="AT202" i="12"/>
  <c r="AU202" i="12"/>
  <c r="AV202" i="12"/>
  <c r="W203" i="12"/>
  <c r="Y203" i="12"/>
  <c r="Z203" i="12"/>
  <c r="AA203" i="12"/>
  <c r="AB203" i="12"/>
  <c r="AC203" i="12"/>
  <c r="AD203" i="12"/>
  <c r="AE203" i="12"/>
  <c r="AG203" i="12"/>
  <c r="AH203" i="12"/>
  <c r="AI203" i="12"/>
  <c r="AJ203" i="12"/>
  <c r="AK203" i="12"/>
  <c r="AL203" i="12"/>
  <c r="AM203" i="12"/>
  <c r="AN203" i="12"/>
  <c r="AO203" i="12"/>
  <c r="AP203" i="12"/>
  <c r="AQ203" i="12"/>
  <c r="AR203" i="12"/>
  <c r="AS203" i="12"/>
  <c r="AT203" i="12"/>
  <c r="AU203" i="12"/>
  <c r="AV203" i="12"/>
  <c r="W204" i="12"/>
  <c r="Y204" i="12"/>
  <c r="Z204" i="12"/>
  <c r="AA204" i="12"/>
  <c r="AB204" i="12"/>
  <c r="AC204" i="12"/>
  <c r="AD204" i="12"/>
  <c r="AE204" i="12"/>
  <c r="AG204" i="12"/>
  <c r="AH204" i="12"/>
  <c r="AI204" i="12"/>
  <c r="AJ204" i="12"/>
  <c r="AK204" i="12"/>
  <c r="AL204" i="12"/>
  <c r="AM204" i="12"/>
  <c r="AN204" i="12"/>
  <c r="AO204" i="12"/>
  <c r="AP204" i="12"/>
  <c r="AQ204" i="12"/>
  <c r="AR204" i="12"/>
  <c r="AS204" i="12"/>
  <c r="AT204" i="12"/>
  <c r="AU204" i="12"/>
  <c r="AV204" i="12"/>
  <c r="W205" i="12"/>
  <c r="Y205" i="12"/>
  <c r="Z205" i="12"/>
  <c r="AA205" i="12"/>
  <c r="AB205" i="12"/>
  <c r="AC205" i="12"/>
  <c r="AD205" i="12"/>
  <c r="AE205" i="12"/>
  <c r="AG205" i="12"/>
  <c r="AH205" i="12"/>
  <c r="AI205" i="12"/>
  <c r="AJ205" i="12"/>
  <c r="AK205" i="12"/>
  <c r="AL205" i="12"/>
  <c r="AM205" i="12"/>
  <c r="AN205" i="12"/>
  <c r="AO205" i="12"/>
  <c r="AP205" i="12"/>
  <c r="AQ205" i="12"/>
  <c r="AR205" i="12"/>
  <c r="AS205" i="12"/>
  <c r="AT205" i="12"/>
  <c r="AU205" i="12"/>
  <c r="AV205" i="12"/>
  <c r="W206" i="12"/>
  <c r="Y206" i="12"/>
  <c r="Z206" i="12"/>
  <c r="AA206" i="12"/>
  <c r="AB206" i="12"/>
  <c r="AC206" i="12"/>
  <c r="AD206" i="12"/>
  <c r="AE206" i="12"/>
  <c r="AG206" i="12"/>
  <c r="AH206" i="12"/>
  <c r="AI206" i="12"/>
  <c r="AJ206" i="12"/>
  <c r="AK206" i="12"/>
  <c r="AL206" i="12"/>
  <c r="AM206" i="12"/>
  <c r="AN206" i="12"/>
  <c r="AO206" i="12"/>
  <c r="AP206" i="12"/>
  <c r="AQ206" i="12"/>
  <c r="AR206" i="12"/>
  <c r="AS206" i="12"/>
  <c r="AT206" i="12"/>
  <c r="AU206" i="12"/>
  <c r="AV206" i="12"/>
  <c r="W207" i="12"/>
  <c r="Y207" i="12"/>
  <c r="Z207" i="12"/>
  <c r="AA207" i="12"/>
  <c r="AB207" i="12"/>
  <c r="AC207" i="12"/>
  <c r="AD207" i="12"/>
  <c r="AE207" i="12"/>
  <c r="AG207" i="12"/>
  <c r="AH207" i="12"/>
  <c r="AI207" i="12"/>
  <c r="AJ207" i="12"/>
  <c r="AK207" i="12"/>
  <c r="AL207" i="12"/>
  <c r="AM207" i="12"/>
  <c r="AN207" i="12"/>
  <c r="AO207" i="12"/>
  <c r="AP207" i="12"/>
  <c r="AQ207" i="12"/>
  <c r="AR207" i="12"/>
  <c r="AS207" i="12"/>
  <c r="AT207" i="12"/>
  <c r="AU207" i="12"/>
  <c r="AV207" i="12"/>
  <c r="W208" i="12"/>
  <c r="Y208" i="12"/>
  <c r="Z208" i="12"/>
  <c r="AA208" i="12"/>
  <c r="AB208" i="12"/>
  <c r="AC208" i="12"/>
  <c r="AD208" i="12"/>
  <c r="AE208" i="12"/>
  <c r="AG208" i="12"/>
  <c r="AH208" i="12"/>
  <c r="AI208" i="12"/>
  <c r="AJ208" i="12"/>
  <c r="AK208" i="12"/>
  <c r="AL208" i="12"/>
  <c r="AM208" i="12"/>
  <c r="AN208" i="12"/>
  <c r="AO208" i="12"/>
  <c r="AP208" i="12"/>
  <c r="AQ208" i="12"/>
  <c r="AR208" i="12"/>
  <c r="AS208" i="12"/>
  <c r="AT208" i="12"/>
  <c r="AU208" i="12"/>
  <c r="AV208" i="12"/>
  <c r="W209" i="12"/>
  <c r="Y209" i="12"/>
  <c r="Z209" i="12"/>
  <c r="AA209" i="12"/>
  <c r="AB209" i="12"/>
  <c r="AC209" i="12"/>
  <c r="AD209" i="12"/>
  <c r="AE209" i="12"/>
  <c r="AG209" i="12"/>
  <c r="AH209" i="12"/>
  <c r="AI209" i="12"/>
  <c r="AJ209" i="12"/>
  <c r="AK209" i="12"/>
  <c r="AL209" i="12"/>
  <c r="AM209" i="12"/>
  <c r="AN209" i="12"/>
  <c r="AO209" i="12"/>
  <c r="AP209" i="12"/>
  <c r="AQ209" i="12"/>
  <c r="AR209" i="12"/>
  <c r="AS209" i="12"/>
  <c r="AT209" i="12"/>
  <c r="AU209" i="12"/>
  <c r="AV209" i="12"/>
  <c r="W210" i="12"/>
  <c r="Y210" i="12"/>
  <c r="Z210" i="12"/>
  <c r="AA210" i="12"/>
  <c r="AB210" i="12"/>
  <c r="AC210" i="12"/>
  <c r="AD210" i="12"/>
  <c r="AE210" i="12"/>
  <c r="AG210" i="12"/>
  <c r="AH210" i="12"/>
  <c r="AI210" i="12"/>
  <c r="AJ210" i="12"/>
  <c r="AK210" i="12"/>
  <c r="AL210" i="12"/>
  <c r="AM210" i="12"/>
  <c r="AN210" i="12"/>
  <c r="AO210" i="12"/>
  <c r="AP210" i="12"/>
  <c r="AQ210" i="12"/>
  <c r="AR210" i="12"/>
  <c r="AS210" i="12"/>
  <c r="AT210" i="12"/>
  <c r="AU210" i="12"/>
  <c r="AV210" i="12"/>
  <c r="W211" i="12"/>
  <c r="Y211" i="12"/>
  <c r="Z211" i="12"/>
  <c r="AA211" i="12"/>
  <c r="AB211" i="12"/>
  <c r="AC211" i="12"/>
  <c r="AD211" i="12"/>
  <c r="AE211" i="12"/>
  <c r="AG211" i="12"/>
  <c r="AH211" i="12"/>
  <c r="AI211" i="12"/>
  <c r="AJ211" i="12"/>
  <c r="AK211" i="12"/>
  <c r="AL211" i="12"/>
  <c r="AM211" i="12"/>
  <c r="AN211" i="12"/>
  <c r="AO211" i="12"/>
  <c r="AP211" i="12"/>
  <c r="AQ211" i="12"/>
  <c r="AR211" i="12"/>
  <c r="AS211" i="12"/>
  <c r="AT211" i="12"/>
  <c r="AU211" i="12"/>
  <c r="AV211" i="12"/>
  <c r="W212" i="12"/>
  <c r="Y212" i="12"/>
  <c r="Z212" i="12"/>
  <c r="AA212" i="12"/>
  <c r="AB212" i="12"/>
  <c r="AC212" i="12"/>
  <c r="AD212" i="12"/>
  <c r="AE212" i="12"/>
  <c r="AG212" i="12"/>
  <c r="AH212" i="12"/>
  <c r="AI212" i="12"/>
  <c r="AJ212" i="12"/>
  <c r="AK212" i="12"/>
  <c r="AL212" i="12"/>
  <c r="AM212" i="12"/>
  <c r="AN212" i="12"/>
  <c r="AO212" i="12"/>
  <c r="AP212" i="12"/>
  <c r="AQ212" i="12"/>
  <c r="AR212" i="12"/>
  <c r="AS212" i="12"/>
  <c r="AT212" i="12"/>
  <c r="AU212" i="12"/>
  <c r="AV212" i="12"/>
  <c r="W126" i="12"/>
  <c r="Y126" i="12"/>
  <c r="Z126" i="12"/>
  <c r="AA126" i="12"/>
  <c r="AB126" i="12"/>
  <c r="AC126" i="12"/>
  <c r="AD126" i="12"/>
  <c r="AE126" i="12"/>
  <c r="AG126" i="12"/>
  <c r="AH126" i="12"/>
  <c r="AI126" i="12"/>
  <c r="AJ126" i="12"/>
  <c r="AK126" i="12"/>
  <c r="AL126" i="12"/>
  <c r="AM126" i="12"/>
  <c r="AN126" i="12"/>
  <c r="AO126" i="12"/>
  <c r="AP126" i="12"/>
  <c r="AQ126" i="12"/>
  <c r="AR126" i="12"/>
  <c r="AS126" i="12"/>
  <c r="AT126" i="12"/>
  <c r="AU126" i="12"/>
  <c r="AV126" i="12"/>
  <c r="W214" i="12"/>
  <c r="Y214" i="12"/>
  <c r="Z214" i="12"/>
  <c r="AA214" i="12"/>
  <c r="AB214" i="12"/>
  <c r="AC214" i="12"/>
  <c r="AD214" i="12"/>
  <c r="AE214" i="12"/>
  <c r="AG214" i="12"/>
  <c r="AH214" i="12"/>
  <c r="AI214" i="12"/>
  <c r="AJ214" i="12"/>
  <c r="AK214" i="12"/>
  <c r="AL214" i="12"/>
  <c r="AM214" i="12"/>
  <c r="AN214" i="12"/>
  <c r="AO214" i="12"/>
  <c r="AP214" i="12"/>
  <c r="AQ214" i="12"/>
  <c r="AR214" i="12"/>
  <c r="AS214" i="12"/>
  <c r="AT214" i="12"/>
  <c r="AU214" i="12"/>
  <c r="AV214" i="12"/>
  <c r="W215" i="12"/>
  <c r="Y215" i="12"/>
  <c r="Z215" i="12"/>
  <c r="AA215" i="12"/>
  <c r="AB215" i="12"/>
  <c r="AC215" i="12"/>
  <c r="AD215" i="12"/>
  <c r="AE215" i="12"/>
  <c r="AG215" i="12"/>
  <c r="AH215" i="12"/>
  <c r="AI215" i="12"/>
  <c r="AJ215" i="12"/>
  <c r="AK215" i="12"/>
  <c r="AL215" i="12"/>
  <c r="AM215" i="12"/>
  <c r="AN215" i="12"/>
  <c r="AO215" i="12"/>
  <c r="AP215" i="12"/>
  <c r="AQ215" i="12"/>
  <c r="AR215" i="12"/>
  <c r="AS215" i="12"/>
  <c r="AT215" i="12"/>
  <c r="AU215" i="12"/>
  <c r="AV215" i="12"/>
  <c r="W216" i="12"/>
  <c r="Y216" i="12"/>
  <c r="Z216" i="12"/>
  <c r="AA216" i="12"/>
  <c r="AB216" i="12"/>
  <c r="AC216" i="12"/>
  <c r="AD216" i="12"/>
  <c r="AE216" i="12"/>
  <c r="AG216" i="12"/>
  <c r="AH216" i="12"/>
  <c r="AI216" i="12"/>
  <c r="AJ216" i="12"/>
  <c r="AK216" i="12"/>
  <c r="AL216" i="12"/>
  <c r="AM216" i="12"/>
  <c r="AN216" i="12"/>
  <c r="AO216" i="12"/>
  <c r="AP216" i="12"/>
  <c r="AQ216" i="12"/>
  <c r="AR216" i="12"/>
  <c r="AS216" i="12"/>
  <c r="AT216" i="12"/>
  <c r="AU216" i="12"/>
  <c r="AV216" i="12"/>
  <c r="W217" i="12"/>
  <c r="Y217" i="12"/>
  <c r="Z217" i="12"/>
  <c r="AA217" i="12"/>
  <c r="AB217" i="12"/>
  <c r="AC217" i="12"/>
  <c r="AD217" i="12"/>
  <c r="AE217" i="12"/>
  <c r="AG217" i="12"/>
  <c r="AH217" i="12"/>
  <c r="AI217" i="12"/>
  <c r="AJ217" i="12"/>
  <c r="AK217" i="12"/>
  <c r="AL217" i="12"/>
  <c r="AM217" i="12"/>
  <c r="AN217" i="12"/>
  <c r="AO217" i="12"/>
  <c r="AP217" i="12"/>
  <c r="AQ217" i="12"/>
  <c r="AR217" i="12"/>
  <c r="AS217" i="12"/>
  <c r="AT217" i="12"/>
  <c r="AU217" i="12"/>
  <c r="AV217" i="12"/>
  <c r="W218" i="12"/>
  <c r="Y218" i="12"/>
  <c r="Z218" i="12"/>
  <c r="AA218" i="12"/>
  <c r="AB218" i="12"/>
  <c r="AC218" i="12"/>
  <c r="AD218" i="12"/>
  <c r="AE218" i="12"/>
  <c r="AG218" i="12"/>
  <c r="AH218" i="12"/>
  <c r="AI218" i="12"/>
  <c r="AJ218" i="12"/>
  <c r="AK218" i="12"/>
  <c r="AL218" i="12"/>
  <c r="AM218" i="12"/>
  <c r="AN218" i="12"/>
  <c r="AO218" i="12"/>
  <c r="AP218" i="12"/>
  <c r="AQ218" i="12"/>
  <c r="AR218" i="12"/>
  <c r="AS218" i="12"/>
  <c r="AT218" i="12"/>
  <c r="AU218" i="12"/>
  <c r="AV218" i="12"/>
  <c r="W219" i="12"/>
  <c r="Y219" i="12"/>
  <c r="Z219" i="12"/>
  <c r="AA219" i="12"/>
  <c r="AB219" i="12"/>
  <c r="AC219" i="12"/>
  <c r="AD219" i="12"/>
  <c r="AE219" i="12"/>
  <c r="AG219" i="12"/>
  <c r="AH219" i="12"/>
  <c r="AI219" i="12"/>
  <c r="AJ219" i="12"/>
  <c r="AK219" i="12"/>
  <c r="AL219" i="12"/>
  <c r="AM219" i="12"/>
  <c r="AN219" i="12"/>
  <c r="AO219" i="12"/>
  <c r="AP219" i="12"/>
  <c r="AQ219" i="12"/>
  <c r="AR219" i="12"/>
  <c r="AS219" i="12"/>
  <c r="AT219" i="12"/>
  <c r="AU219" i="12"/>
  <c r="AV219" i="12"/>
  <c r="W220" i="12"/>
  <c r="Y220" i="12"/>
  <c r="Z220" i="12"/>
  <c r="AA220" i="12"/>
  <c r="AB220" i="12"/>
  <c r="AC220" i="12"/>
  <c r="AD220" i="12"/>
  <c r="AE220" i="12"/>
  <c r="AG220" i="12"/>
  <c r="AH220" i="12"/>
  <c r="AI220" i="12"/>
  <c r="AJ220" i="12"/>
  <c r="AK220" i="12"/>
  <c r="AL220" i="12"/>
  <c r="AM220" i="12"/>
  <c r="AN220" i="12"/>
  <c r="AO220" i="12"/>
  <c r="AP220" i="12"/>
  <c r="AQ220" i="12"/>
  <c r="AR220" i="12"/>
  <c r="AS220" i="12"/>
  <c r="AT220" i="12"/>
  <c r="AU220" i="12"/>
  <c r="AV220" i="12"/>
  <c r="W221" i="12"/>
  <c r="Y221" i="12"/>
  <c r="Z221" i="12"/>
  <c r="AA221" i="12"/>
  <c r="AB221" i="12"/>
  <c r="AC221" i="12"/>
  <c r="AD221" i="12"/>
  <c r="AE221" i="12"/>
  <c r="AG221" i="12"/>
  <c r="AH221" i="12"/>
  <c r="AI221" i="12"/>
  <c r="AJ221" i="12"/>
  <c r="AK221" i="12"/>
  <c r="AL221" i="12"/>
  <c r="AM221" i="12"/>
  <c r="AN221" i="12"/>
  <c r="AO221" i="12"/>
  <c r="AP221" i="12"/>
  <c r="AQ221" i="12"/>
  <c r="AR221" i="12"/>
  <c r="AS221" i="12"/>
  <c r="AT221" i="12"/>
  <c r="AU221" i="12"/>
  <c r="AV221" i="12"/>
  <c r="W222" i="12"/>
  <c r="Y222" i="12"/>
  <c r="Z222" i="12"/>
  <c r="AA222" i="12"/>
  <c r="AB222" i="12"/>
  <c r="AC222" i="12"/>
  <c r="AD222" i="12"/>
  <c r="AE222" i="12"/>
  <c r="AG222" i="12"/>
  <c r="AH222" i="12"/>
  <c r="AI222" i="12"/>
  <c r="AJ222" i="12"/>
  <c r="AK222" i="12"/>
  <c r="AL222" i="12"/>
  <c r="AM222" i="12"/>
  <c r="AN222" i="12"/>
  <c r="AO222" i="12"/>
  <c r="AP222" i="12"/>
  <c r="AQ222" i="12"/>
  <c r="AR222" i="12"/>
  <c r="AS222" i="12"/>
  <c r="AT222" i="12"/>
  <c r="AU222" i="12"/>
  <c r="AV222" i="12"/>
  <c r="W223" i="12"/>
  <c r="Y223" i="12"/>
  <c r="Z223" i="12"/>
  <c r="AA223" i="12"/>
  <c r="AB223" i="12"/>
  <c r="AC223" i="12"/>
  <c r="AD223" i="12"/>
  <c r="AE223" i="12"/>
  <c r="AG223" i="12"/>
  <c r="AH223" i="12"/>
  <c r="AI223" i="12"/>
  <c r="AJ223" i="12"/>
  <c r="AK223" i="12"/>
  <c r="AL223" i="12"/>
  <c r="AM223" i="12"/>
  <c r="AN223" i="12"/>
  <c r="AO223" i="12"/>
  <c r="AP223" i="12"/>
  <c r="AQ223" i="12"/>
  <c r="AR223" i="12"/>
  <c r="AS223" i="12"/>
  <c r="AT223" i="12"/>
  <c r="AU223" i="12"/>
  <c r="AV223" i="12"/>
  <c r="W224" i="12"/>
  <c r="Y224" i="12"/>
  <c r="Z224" i="12"/>
  <c r="AA224" i="12"/>
  <c r="AB224" i="12"/>
  <c r="AC224" i="12"/>
  <c r="AD224" i="12"/>
  <c r="AE224" i="12"/>
  <c r="AG224" i="12"/>
  <c r="AH224" i="12"/>
  <c r="AI224" i="12"/>
  <c r="AJ224" i="12"/>
  <c r="AK224" i="12"/>
  <c r="AL224" i="12"/>
  <c r="AM224" i="12"/>
  <c r="AN224" i="12"/>
  <c r="AO224" i="12"/>
  <c r="AP224" i="12"/>
  <c r="AQ224" i="12"/>
  <c r="AR224" i="12"/>
  <c r="AS224" i="12"/>
  <c r="AT224" i="12"/>
  <c r="AU224" i="12"/>
  <c r="AV224" i="12"/>
  <c r="W225" i="12"/>
  <c r="Y225" i="12"/>
  <c r="Z225" i="12"/>
  <c r="AA225" i="12"/>
  <c r="AB225" i="12"/>
  <c r="AC225" i="12"/>
  <c r="AD225" i="12"/>
  <c r="AE225" i="12"/>
  <c r="AG225" i="12"/>
  <c r="AH225" i="12"/>
  <c r="AI225" i="12"/>
  <c r="AJ225" i="12"/>
  <c r="AK225" i="12"/>
  <c r="AL225" i="12"/>
  <c r="AM225" i="12"/>
  <c r="AN225" i="12"/>
  <c r="AO225" i="12"/>
  <c r="AP225" i="12"/>
  <c r="AQ225" i="12"/>
  <c r="AR225" i="12"/>
  <c r="AS225" i="12"/>
  <c r="AT225" i="12"/>
  <c r="AU225" i="12"/>
  <c r="AV225" i="12"/>
  <c r="W226" i="12"/>
  <c r="Y226" i="12"/>
  <c r="Z226" i="12"/>
  <c r="AA226" i="12"/>
  <c r="AB226" i="12"/>
  <c r="AC226" i="12"/>
  <c r="AD226" i="12"/>
  <c r="AE226" i="12"/>
  <c r="AG226" i="12"/>
  <c r="AH226" i="12"/>
  <c r="AI226" i="12"/>
  <c r="AJ226" i="12"/>
  <c r="AK226" i="12"/>
  <c r="AL226" i="12"/>
  <c r="AM226" i="12"/>
  <c r="AN226" i="12"/>
  <c r="AO226" i="12"/>
  <c r="AP226" i="12"/>
  <c r="AQ226" i="12"/>
  <c r="AR226" i="12"/>
  <c r="AS226" i="12"/>
  <c r="AT226" i="12"/>
  <c r="AU226" i="12"/>
  <c r="AV226" i="12"/>
  <c r="W227" i="12"/>
  <c r="Y227" i="12"/>
  <c r="Z227" i="12"/>
  <c r="AA227" i="12"/>
  <c r="AB227" i="12"/>
  <c r="AC227" i="12"/>
  <c r="AD227" i="12"/>
  <c r="AE227" i="12"/>
  <c r="AG227" i="12"/>
  <c r="AH227" i="12"/>
  <c r="AI227" i="12"/>
  <c r="AJ227" i="12"/>
  <c r="AK227" i="12"/>
  <c r="AL227" i="12"/>
  <c r="AM227" i="12"/>
  <c r="AN227" i="12"/>
  <c r="AO227" i="12"/>
  <c r="AP227" i="12"/>
  <c r="AQ227" i="12"/>
  <c r="AR227" i="12"/>
  <c r="AS227" i="12"/>
  <c r="AT227" i="12"/>
  <c r="AU227" i="12"/>
  <c r="AV227" i="12"/>
  <c r="W228" i="12"/>
  <c r="Y228" i="12"/>
  <c r="Z228" i="12"/>
  <c r="AA228" i="12"/>
  <c r="AB228" i="12"/>
  <c r="AC228" i="12"/>
  <c r="AD228" i="12"/>
  <c r="AE228" i="12"/>
  <c r="AG228" i="12"/>
  <c r="AH228" i="12"/>
  <c r="AI228" i="12"/>
  <c r="AJ228" i="12"/>
  <c r="AK228" i="12"/>
  <c r="AL228" i="12"/>
  <c r="AM228" i="12"/>
  <c r="AN228" i="12"/>
  <c r="AO228" i="12"/>
  <c r="AP228" i="12"/>
  <c r="AQ228" i="12"/>
  <c r="AR228" i="12"/>
  <c r="AS228" i="12"/>
  <c r="AT228" i="12"/>
  <c r="AU228" i="12"/>
  <c r="AV228" i="12"/>
  <c r="W229" i="12"/>
  <c r="Y229" i="12"/>
  <c r="Z229" i="12"/>
  <c r="AA229" i="12"/>
  <c r="AB229" i="12"/>
  <c r="AC229" i="12"/>
  <c r="AD229" i="12"/>
  <c r="AE229" i="12"/>
  <c r="AG229" i="12"/>
  <c r="AH229" i="12"/>
  <c r="AI229" i="12"/>
  <c r="AJ229" i="12"/>
  <c r="AK229" i="12"/>
  <c r="AL229" i="12"/>
  <c r="AM229" i="12"/>
  <c r="AN229" i="12"/>
  <c r="AO229" i="12"/>
  <c r="AP229" i="12"/>
  <c r="AQ229" i="12"/>
  <c r="AR229" i="12"/>
  <c r="AS229" i="12"/>
  <c r="AT229" i="12"/>
  <c r="AU229" i="12"/>
  <c r="AV229" i="12"/>
  <c r="W230" i="12"/>
  <c r="Y230" i="12"/>
  <c r="Z230" i="12"/>
  <c r="AA230" i="12"/>
  <c r="AB230" i="12"/>
  <c r="AC230" i="12"/>
  <c r="AD230" i="12"/>
  <c r="AE230" i="12"/>
  <c r="AG230" i="12"/>
  <c r="AH230" i="12"/>
  <c r="AI230" i="12"/>
  <c r="AJ230" i="12"/>
  <c r="AK230" i="12"/>
  <c r="AL230" i="12"/>
  <c r="AM230" i="12"/>
  <c r="AN230" i="12"/>
  <c r="AO230" i="12"/>
  <c r="AP230" i="12"/>
  <c r="AQ230" i="12"/>
  <c r="AR230" i="12"/>
  <c r="AS230" i="12"/>
  <c r="AT230" i="12"/>
  <c r="AU230" i="12"/>
  <c r="AV230" i="12"/>
  <c r="W251" i="12"/>
  <c r="Y251" i="12"/>
  <c r="Z251" i="12"/>
  <c r="AA251" i="12"/>
  <c r="AB251" i="12"/>
  <c r="AC251" i="12"/>
  <c r="AD251" i="12"/>
  <c r="AE251" i="12"/>
  <c r="AG251" i="12"/>
  <c r="AH251" i="12"/>
  <c r="AI251" i="12"/>
  <c r="AJ251" i="12"/>
  <c r="AK251" i="12"/>
  <c r="AL251" i="12"/>
  <c r="AM251" i="12"/>
  <c r="AN251" i="12"/>
  <c r="AO251" i="12"/>
  <c r="AP251" i="12"/>
  <c r="AQ251" i="12"/>
  <c r="AR251" i="12"/>
  <c r="AS251" i="12"/>
  <c r="AT251" i="12"/>
  <c r="AU251" i="12"/>
  <c r="AV251" i="12"/>
  <c r="W232" i="12"/>
  <c r="Y232" i="12"/>
  <c r="Z232" i="12"/>
  <c r="AA232" i="12"/>
  <c r="AB232" i="12"/>
  <c r="AC232" i="12"/>
  <c r="AD232" i="12"/>
  <c r="AE232" i="12"/>
  <c r="AG232" i="12"/>
  <c r="AH232" i="12"/>
  <c r="AI232" i="12"/>
  <c r="AJ232" i="12"/>
  <c r="AK232" i="12"/>
  <c r="AL232" i="12"/>
  <c r="AM232" i="12"/>
  <c r="AN232" i="12"/>
  <c r="AO232" i="12"/>
  <c r="AP232" i="12"/>
  <c r="AQ232" i="12"/>
  <c r="AR232" i="12"/>
  <c r="AS232" i="12"/>
  <c r="AT232" i="12"/>
  <c r="AU232" i="12"/>
  <c r="AV232" i="12"/>
  <c r="W233" i="12"/>
  <c r="Y233" i="12"/>
  <c r="Z233" i="12"/>
  <c r="AA233" i="12"/>
  <c r="AB233" i="12"/>
  <c r="AC233" i="12"/>
  <c r="AD233" i="12"/>
  <c r="AE233" i="12"/>
  <c r="AG233" i="12"/>
  <c r="AH233" i="12"/>
  <c r="AI233" i="12"/>
  <c r="AJ233" i="12"/>
  <c r="AK233" i="12"/>
  <c r="AL233" i="12"/>
  <c r="AM233" i="12"/>
  <c r="AN233" i="12"/>
  <c r="AO233" i="12"/>
  <c r="AP233" i="12"/>
  <c r="AQ233" i="12"/>
  <c r="AR233" i="12"/>
  <c r="AS233" i="12"/>
  <c r="AT233" i="12"/>
  <c r="AU233" i="12"/>
  <c r="AV233" i="12"/>
  <c r="W234" i="12"/>
  <c r="Y234" i="12"/>
  <c r="Z234" i="12"/>
  <c r="AA234" i="12"/>
  <c r="AB234" i="12"/>
  <c r="AC234" i="12"/>
  <c r="AD234" i="12"/>
  <c r="AE234" i="12"/>
  <c r="AG234" i="12"/>
  <c r="AH234" i="12"/>
  <c r="AI234" i="12"/>
  <c r="AJ234" i="12"/>
  <c r="AK234" i="12"/>
  <c r="AL234" i="12"/>
  <c r="AM234" i="12"/>
  <c r="AN234" i="12"/>
  <c r="AO234" i="12"/>
  <c r="AP234" i="12"/>
  <c r="AQ234" i="12"/>
  <c r="AR234" i="12"/>
  <c r="AS234" i="12"/>
  <c r="AT234" i="12"/>
  <c r="AU234" i="12"/>
  <c r="AV234" i="12"/>
  <c r="W60" i="12"/>
  <c r="Y60" i="12"/>
  <c r="Z60" i="12"/>
  <c r="AA60" i="12"/>
  <c r="AB60" i="12"/>
  <c r="AC60" i="12"/>
  <c r="AD60" i="12"/>
  <c r="AE60" i="12"/>
  <c r="AG60" i="12"/>
  <c r="AH60" i="12"/>
  <c r="AI60" i="12"/>
  <c r="AJ60" i="12"/>
  <c r="AK60" i="12"/>
  <c r="AL60" i="12"/>
  <c r="AM60" i="12"/>
  <c r="AN60" i="12"/>
  <c r="AO60" i="12"/>
  <c r="AP60" i="12"/>
  <c r="AQ60" i="12"/>
  <c r="AR60" i="12"/>
  <c r="AS60" i="12"/>
  <c r="AT60" i="12"/>
  <c r="AU60" i="12"/>
  <c r="AV60" i="12"/>
  <c r="W236" i="12"/>
  <c r="Y236" i="12"/>
  <c r="Z236" i="12"/>
  <c r="AA236" i="12"/>
  <c r="AB236" i="12"/>
  <c r="AC236" i="12"/>
  <c r="AD236" i="12"/>
  <c r="AE236" i="12"/>
  <c r="AG236" i="12"/>
  <c r="AH236" i="12"/>
  <c r="AI236" i="12"/>
  <c r="AJ236" i="12"/>
  <c r="AK236" i="12"/>
  <c r="AL236" i="12"/>
  <c r="AM236" i="12"/>
  <c r="AN236" i="12"/>
  <c r="AO236" i="12"/>
  <c r="AP236" i="12"/>
  <c r="AQ236" i="12"/>
  <c r="AR236" i="12"/>
  <c r="AS236" i="12"/>
  <c r="AT236" i="12"/>
  <c r="AU236" i="12"/>
  <c r="AV236" i="12"/>
  <c r="W237" i="12"/>
  <c r="Y237" i="12"/>
  <c r="Z237" i="12"/>
  <c r="AA237" i="12"/>
  <c r="AB237" i="12"/>
  <c r="AC237" i="12"/>
  <c r="AD237" i="12"/>
  <c r="AE237" i="12"/>
  <c r="AG237" i="12"/>
  <c r="AH237" i="12"/>
  <c r="AI237" i="12"/>
  <c r="AJ237" i="12"/>
  <c r="AK237" i="12"/>
  <c r="AL237" i="12"/>
  <c r="AM237" i="12"/>
  <c r="AN237" i="12"/>
  <c r="AO237" i="12"/>
  <c r="AP237" i="12"/>
  <c r="AQ237" i="12"/>
  <c r="AR237" i="12"/>
  <c r="AS237" i="12"/>
  <c r="AT237" i="12"/>
  <c r="AU237" i="12"/>
  <c r="AV237" i="12"/>
  <c r="W33" i="12"/>
  <c r="Y33" i="12"/>
  <c r="Z33" i="12"/>
  <c r="AA33" i="12"/>
  <c r="AB33" i="12"/>
  <c r="AC33" i="12"/>
  <c r="AD33" i="12"/>
  <c r="AE33" i="12"/>
  <c r="AG33" i="12"/>
  <c r="AH33" i="12"/>
  <c r="AI33" i="12"/>
  <c r="AJ33" i="12"/>
  <c r="AK33" i="12"/>
  <c r="AL33" i="12"/>
  <c r="AM33" i="12"/>
  <c r="AN33" i="12"/>
  <c r="AO33" i="12"/>
  <c r="AP33" i="12"/>
  <c r="AQ33" i="12"/>
  <c r="AR33" i="12"/>
  <c r="AS33" i="12"/>
  <c r="AT33" i="12"/>
  <c r="AU33" i="12"/>
  <c r="AV33" i="12"/>
  <c r="V58" i="12"/>
  <c r="V59" i="12"/>
  <c r="V139"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213" i="12"/>
  <c r="V124" i="12"/>
  <c r="V125" i="12"/>
  <c r="V135" i="12"/>
  <c r="V127" i="12"/>
  <c r="V128" i="12"/>
  <c r="V129" i="12"/>
  <c r="V130" i="12"/>
  <c r="V131" i="12"/>
  <c r="V132" i="12"/>
  <c r="V133" i="12"/>
  <c r="V275" i="12"/>
  <c r="V160" i="12"/>
  <c r="V170" i="12"/>
  <c r="V184" i="12"/>
  <c r="V123" i="12"/>
  <c r="V169" i="12"/>
  <c r="V141" i="12"/>
  <c r="V142" i="12"/>
  <c r="V143" i="12"/>
  <c r="V144" i="12"/>
  <c r="V145" i="12"/>
  <c r="V146" i="12"/>
  <c r="V147" i="12"/>
  <c r="V148" i="12"/>
  <c r="V149" i="12"/>
  <c r="V150" i="12"/>
  <c r="V151" i="12"/>
  <c r="V152" i="12"/>
  <c r="V153" i="12"/>
  <c r="V154" i="12"/>
  <c r="V155" i="12"/>
  <c r="V156" i="12"/>
  <c r="V157" i="12"/>
  <c r="V158" i="12"/>
  <c r="V159" i="12"/>
  <c r="V238" i="12"/>
  <c r="V161" i="12"/>
  <c r="V162" i="12"/>
  <c r="V163" i="12"/>
  <c r="V164" i="12"/>
  <c r="V165" i="12"/>
  <c r="V166" i="12"/>
  <c r="V167" i="12"/>
  <c r="V168" i="12"/>
  <c r="V136" i="12"/>
  <c r="V54" i="12"/>
  <c r="V171" i="12"/>
  <c r="V172" i="12"/>
  <c r="V173" i="12"/>
  <c r="V174" i="12"/>
  <c r="V175" i="12"/>
  <c r="V176" i="12"/>
  <c r="V177" i="12"/>
  <c r="V178" i="12"/>
  <c r="V179" i="12"/>
  <c r="V180" i="12"/>
  <c r="V181" i="12"/>
  <c r="V182" i="12"/>
  <c r="V183" i="12"/>
  <c r="V317" i="12"/>
  <c r="V185" i="12"/>
  <c r="V186" i="12"/>
  <c r="V187" i="12"/>
  <c r="V188" i="12"/>
  <c r="V189" i="12"/>
  <c r="V190" i="12"/>
  <c r="V191" i="12"/>
  <c r="V192" i="12"/>
  <c r="V193" i="12"/>
  <c r="V194" i="12"/>
  <c r="V195" i="12"/>
  <c r="V196" i="12"/>
  <c r="V197" i="12"/>
  <c r="V198" i="12"/>
  <c r="V276" i="12"/>
  <c r="V200" i="12"/>
  <c r="V201" i="12"/>
  <c r="V202" i="12"/>
  <c r="V203" i="12"/>
  <c r="V204" i="12"/>
  <c r="V205" i="12"/>
  <c r="V206" i="12"/>
  <c r="V207" i="12"/>
  <c r="V208" i="12"/>
  <c r="V209" i="12"/>
  <c r="V210" i="12"/>
  <c r="V211" i="12"/>
  <c r="V212" i="12"/>
  <c r="V126" i="12"/>
  <c r="V214" i="12"/>
  <c r="V215" i="12"/>
  <c r="V216" i="12"/>
  <c r="V217" i="12"/>
  <c r="V218" i="12"/>
  <c r="V219" i="12"/>
  <c r="V220" i="12"/>
  <c r="V221" i="12"/>
  <c r="V222" i="12"/>
  <c r="V223" i="12"/>
  <c r="V224" i="12"/>
  <c r="V225" i="12"/>
  <c r="V226" i="12"/>
  <c r="V227" i="12"/>
  <c r="V228" i="12"/>
  <c r="V229" i="12"/>
  <c r="V230" i="12"/>
  <c r="V251" i="12"/>
  <c r="V232" i="12"/>
  <c r="V233" i="12"/>
  <c r="V234" i="12"/>
  <c r="V60" i="12"/>
  <c r="V236" i="12"/>
  <c r="V237" i="12"/>
  <c r="L47" i="12"/>
  <c r="S58" i="12" a="1"/>
  <c r="S58" i="12" s="1"/>
  <c r="L58" i="12" s="1"/>
  <c r="S59" i="12" a="1"/>
  <c r="S59" i="12" s="1"/>
  <c r="L59" i="12" s="1"/>
  <c r="S139" i="12" a="1"/>
  <c r="S139" i="12" s="1"/>
  <c r="L139" i="12" s="1"/>
  <c r="S61" i="12" a="1"/>
  <c r="S61" i="12" s="1"/>
  <c r="L61" i="12" s="1"/>
  <c r="S62" i="12" a="1"/>
  <c r="S62" i="12" s="1"/>
  <c r="L62" i="12" s="1"/>
  <c r="S63" i="12" a="1"/>
  <c r="S63" i="12" s="1"/>
  <c r="L63" i="12" s="1"/>
  <c r="S64" i="12" a="1"/>
  <c r="S64" i="12" s="1"/>
  <c r="L64" i="12" s="1"/>
  <c r="S65" i="12" a="1"/>
  <c r="S65" i="12" s="1"/>
  <c r="L65" i="12" s="1"/>
  <c r="S66" i="12" a="1"/>
  <c r="S66" i="12" s="1"/>
  <c r="L66" i="12" s="1"/>
  <c r="S67" i="12" a="1"/>
  <c r="N67" i="12" s="1"/>
  <c r="S68" i="12" a="1"/>
  <c r="S68" i="12" s="1"/>
  <c r="L68" i="12" s="1"/>
  <c r="S69" i="12" a="1"/>
  <c r="S69" i="12" s="1"/>
  <c r="L69" i="12" s="1"/>
  <c r="S70" i="12" a="1"/>
  <c r="P70" i="12" s="1"/>
  <c r="S71" i="12" a="1"/>
  <c r="P71" i="12" s="1"/>
  <c r="S72" i="12" a="1"/>
  <c r="S72" i="12" s="1"/>
  <c r="L72" i="12" s="1"/>
  <c r="S73" i="12" a="1"/>
  <c r="S73" i="12" s="1"/>
  <c r="L73" i="12" s="1"/>
  <c r="S74" i="12" a="1"/>
  <c r="S74" i="12" s="1"/>
  <c r="L74" i="12" s="1"/>
  <c r="S75" i="12" a="1"/>
  <c r="N75" i="12" s="1"/>
  <c r="S76" i="12" a="1"/>
  <c r="S76" i="12" s="1"/>
  <c r="L76" i="12" s="1"/>
  <c r="S77" i="12" a="1"/>
  <c r="N77" i="12" s="1"/>
  <c r="S78" i="12" a="1"/>
  <c r="S78" i="12" s="1"/>
  <c r="L78" i="12" s="1"/>
  <c r="S79" i="12" a="1"/>
  <c r="P79" i="12" s="1"/>
  <c r="Q79" i="12" s="1"/>
  <c r="S80" i="12" a="1"/>
  <c r="N80" i="12" s="1"/>
  <c r="S81" i="12" a="1"/>
  <c r="S81" i="12" s="1"/>
  <c r="L81" i="12" s="1"/>
  <c r="S82" i="12" a="1"/>
  <c r="S82" i="12" s="1"/>
  <c r="L82" i="12" s="1"/>
  <c r="S83" i="12" a="1"/>
  <c r="S83" i="12" s="1"/>
  <c r="L83" i="12" s="1"/>
  <c r="S84" i="12" a="1"/>
  <c r="N84" i="12" s="1"/>
  <c r="S85" i="12" a="1"/>
  <c r="S85" i="12" s="1"/>
  <c r="L85" i="12" s="1"/>
  <c r="S86" i="12" a="1"/>
  <c r="N86" i="12" s="1"/>
  <c r="S87" i="12" a="1"/>
  <c r="S87" i="12" s="1"/>
  <c r="L87" i="12" s="1"/>
  <c r="S88" i="12" a="1"/>
  <c r="P88" i="12" s="1"/>
  <c r="S89" i="12" a="1"/>
  <c r="P89" i="12" s="1"/>
  <c r="S90" i="12" a="1"/>
  <c r="S90" i="12" s="1"/>
  <c r="L90" i="12" s="1"/>
  <c r="S91" i="12" a="1"/>
  <c r="S91" i="12" s="1"/>
  <c r="L91" i="12" s="1"/>
  <c r="S92" i="12" a="1"/>
  <c r="S92" i="12" s="1"/>
  <c r="L92" i="12" s="1"/>
  <c r="S93" i="12" a="1"/>
  <c r="S93" i="12" s="1"/>
  <c r="L93" i="12" s="1"/>
  <c r="S94" i="12" a="1"/>
  <c r="S94" i="12" s="1"/>
  <c r="L94" i="12" s="1"/>
  <c r="S95" i="12" a="1"/>
  <c r="S95" i="12" s="1"/>
  <c r="L95" i="12" s="1"/>
  <c r="S96" i="12" a="1"/>
  <c r="S96" i="12" s="1"/>
  <c r="L96" i="12" s="1"/>
  <c r="S97" i="12" a="1"/>
  <c r="S97" i="12" s="1"/>
  <c r="L97" i="12" s="1"/>
  <c r="S98" i="12" a="1"/>
  <c r="P98" i="12" s="1"/>
  <c r="S99" i="12" a="1"/>
  <c r="S100" i="12" a="1"/>
  <c r="S100" i="12" s="1"/>
  <c r="L100" i="12" s="1"/>
  <c r="S101" i="12" a="1"/>
  <c r="S102" i="12" a="1"/>
  <c r="N102" i="12" s="1"/>
  <c r="S103" i="12" a="1"/>
  <c r="S103" i="12" s="1"/>
  <c r="L103" i="12" s="1"/>
  <c r="S104" i="12" a="1"/>
  <c r="S104" i="12" s="1"/>
  <c r="L104" i="12" s="1"/>
  <c r="S105" i="12" a="1"/>
  <c r="S105" i="12" s="1"/>
  <c r="L105" i="12" s="1"/>
  <c r="S106" i="12" a="1"/>
  <c r="S106" i="12" s="1"/>
  <c r="L106" i="12" s="1"/>
  <c r="S107" i="12" a="1"/>
  <c r="S107" i="12" s="1"/>
  <c r="L107" i="12" s="1"/>
  <c r="S108" i="12" a="1"/>
  <c r="S108" i="12" s="1"/>
  <c r="L108" i="12" s="1"/>
  <c r="S109" i="12" a="1"/>
  <c r="N109" i="12" s="1"/>
  <c r="S110" i="12" a="1"/>
  <c r="S111" i="12" a="1"/>
  <c r="S111" i="12" s="1"/>
  <c r="L111" i="12" s="1"/>
  <c r="S112" i="12" a="1"/>
  <c r="P112" i="12" s="1"/>
  <c r="S113" i="12" a="1"/>
  <c r="S113" i="12" s="1"/>
  <c r="L113" i="12" s="1"/>
  <c r="S114" i="12" a="1"/>
  <c r="S114" i="12" s="1"/>
  <c r="L114" i="12" s="1"/>
  <c r="S115" i="12" a="1"/>
  <c r="S115" i="12" s="1"/>
  <c r="L115" i="12" s="1"/>
  <c r="S116" i="12" a="1"/>
  <c r="S116" i="12" s="1"/>
  <c r="L116" i="12" s="1"/>
  <c r="S117" i="12" a="1"/>
  <c r="S117" i="12" s="1"/>
  <c r="L117" i="12" s="1"/>
  <c r="S118" i="12" a="1"/>
  <c r="S119" i="12" a="1"/>
  <c r="S119" i="12" s="1"/>
  <c r="L119" i="12" s="1"/>
  <c r="S120" i="12" a="1"/>
  <c r="S120" i="12" s="1"/>
  <c r="L120" i="12" s="1"/>
  <c r="S121" i="12" a="1"/>
  <c r="N121" i="12" s="1"/>
  <c r="S122" i="12" a="1"/>
  <c r="S213" i="12" a="1"/>
  <c r="S213" i="12" s="1"/>
  <c r="L213" i="12" s="1"/>
  <c r="S124" i="12" a="1"/>
  <c r="S125" i="12" a="1"/>
  <c r="P125" i="12" s="1"/>
  <c r="S135" i="12" a="1"/>
  <c r="N135" i="12" s="1"/>
  <c r="S127" i="12" a="1"/>
  <c r="S127" i="12" s="1"/>
  <c r="L127" i="12" s="1"/>
  <c r="S128" i="12" a="1"/>
  <c r="S128" i="12" s="1"/>
  <c r="L128" i="12" s="1"/>
  <c r="S129" i="12" a="1"/>
  <c r="P129" i="12" s="1"/>
  <c r="S130" i="12" a="1"/>
  <c r="S131" i="12" a="1"/>
  <c r="N131" i="12" s="1"/>
  <c r="S132" i="12" a="1"/>
  <c r="S132" i="12" s="1"/>
  <c r="L132" i="12" s="1"/>
  <c r="S133" i="12" a="1"/>
  <c r="S133" i="12" s="1"/>
  <c r="L133" i="12" s="1"/>
  <c r="S275" i="12" a="1"/>
  <c r="S275" i="12" s="1"/>
  <c r="L275" i="12" s="1"/>
  <c r="S160" i="12" a="1"/>
  <c r="N160" i="12" s="1"/>
  <c r="S170" i="12" a="1"/>
  <c r="S170" i="12" s="1"/>
  <c r="L170" i="12" s="1"/>
  <c r="S184" i="12" a="1"/>
  <c r="S184" i="12" s="1"/>
  <c r="L184" i="12" s="1"/>
  <c r="S123" i="12" a="1"/>
  <c r="S123" i="12" s="1"/>
  <c r="L123" i="12" s="1"/>
  <c r="S169" i="12" a="1"/>
  <c r="S169" i="12" s="1"/>
  <c r="L169" i="12" s="1"/>
  <c r="S140" i="12" a="1"/>
  <c r="S141" i="12" a="1"/>
  <c r="S142" i="12" a="1"/>
  <c r="S142" i="12" s="1"/>
  <c r="L142" i="12" s="1"/>
  <c r="S143" i="12" a="1"/>
  <c r="S143" i="12" s="1"/>
  <c r="L143" i="12" s="1"/>
  <c r="S144" i="12" a="1"/>
  <c r="N144" i="12" s="1"/>
  <c r="S145" i="12" a="1"/>
  <c r="S145" i="12" s="1"/>
  <c r="L145" i="12" s="1"/>
  <c r="S146" i="12" a="1"/>
  <c r="S146" i="12" s="1"/>
  <c r="L146" i="12" s="1"/>
  <c r="S147" i="12" a="1"/>
  <c r="S147" i="12" s="1"/>
  <c r="L147" i="12" s="1"/>
  <c r="S148" i="12" a="1"/>
  <c r="N148" i="12" s="1"/>
  <c r="S149" i="12" a="1"/>
  <c r="S149" i="12" s="1"/>
  <c r="L149" i="12" s="1"/>
  <c r="S150" i="12" a="1"/>
  <c r="S150" i="12" s="1"/>
  <c r="L150" i="12" s="1"/>
  <c r="S151" i="12" a="1"/>
  <c r="S151" i="12" s="1"/>
  <c r="L151" i="12" s="1"/>
  <c r="S152" i="12" a="1"/>
  <c r="S152" i="12" s="1"/>
  <c r="L152" i="12" s="1"/>
  <c r="S153" i="12" a="1"/>
  <c r="N153" i="12" s="1"/>
  <c r="S154" i="12" a="1"/>
  <c r="N154" i="12" s="1"/>
  <c r="S155" i="12" a="1"/>
  <c r="S155" i="12" s="1"/>
  <c r="L155" i="12" s="1"/>
  <c r="S156" i="12" a="1"/>
  <c r="S156" i="12" s="1"/>
  <c r="L156" i="12" s="1"/>
  <c r="S157" i="12" a="1"/>
  <c r="S157" i="12" s="1"/>
  <c r="L157" i="12" s="1"/>
  <c r="S158" i="12" a="1"/>
  <c r="S158" i="12" s="1"/>
  <c r="L158" i="12" s="1"/>
  <c r="S159" i="12" a="1"/>
  <c r="S159" i="12" s="1"/>
  <c r="L159" i="12" s="1"/>
  <c r="S238" i="12" a="1"/>
  <c r="S238" i="12" s="1"/>
  <c r="L238" i="12" s="1"/>
  <c r="S161" i="12" a="1"/>
  <c r="S162" i="12" a="1"/>
  <c r="S162" i="12" s="1"/>
  <c r="L162" i="12" s="1"/>
  <c r="S163" i="12" a="1"/>
  <c r="S164" i="12" a="1"/>
  <c r="S164" i="12" s="1"/>
  <c r="L164" i="12" s="1"/>
  <c r="S165" i="12" a="1"/>
  <c r="S165" i="12" s="1"/>
  <c r="L165" i="12" s="1"/>
  <c r="S166" i="12" a="1"/>
  <c r="S167" i="12" a="1"/>
  <c r="S167" i="12" s="1"/>
  <c r="L167" i="12" s="1"/>
  <c r="S168" i="12" a="1"/>
  <c r="S136" i="12" a="1"/>
  <c r="N136" i="12" s="1"/>
  <c r="S54" i="12" a="1"/>
  <c r="S54" i="12" s="1"/>
  <c r="L54" i="12" s="1"/>
  <c r="S171" i="12" a="1"/>
  <c r="S171" i="12" s="1"/>
  <c r="L171" i="12" s="1"/>
  <c r="S172" i="12" a="1"/>
  <c r="S172" i="12" s="1"/>
  <c r="L172" i="12" s="1"/>
  <c r="S173" i="12" a="1"/>
  <c r="S174" i="12" a="1"/>
  <c r="S174" i="12" s="1"/>
  <c r="L174" i="12" s="1"/>
  <c r="S175" i="12" a="1"/>
  <c r="S175" i="12" s="1"/>
  <c r="L175" i="12" s="1"/>
  <c r="S176" i="12" a="1"/>
  <c r="S176" i="12" s="1"/>
  <c r="L176" i="12" s="1"/>
  <c r="S177" i="12" a="1"/>
  <c r="N177" i="12" s="1"/>
  <c r="S178" i="12" a="1"/>
  <c r="S179" i="12" a="1"/>
  <c r="S179" i="12" s="1"/>
  <c r="L179" i="12" s="1"/>
  <c r="S180" i="12" a="1"/>
  <c r="S180" i="12" s="1"/>
  <c r="L180" i="12" s="1"/>
  <c r="S181" i="12" a="1"/>
  <c r="S181" i="12" s="1"/>
  <c r="L181" i="12" s="1"/>
  <c r="S182" i="12" a="1"/>
  <c r="N182" i="12" s="1"/>
  <c r="S183" i="12" a="1"/>
  <c r="N183" i="12" s="1"/>
  <c r="S317" i="12" a="1"/>
  <c r="N317" i="12" s="1"/>
  <c r="S185" i="12" a="1"/>
  <c r="N185" i="12" s="1"/>
  <c r="S186" i="12" a="1"/>
  <c r="S186" i="12" s="1"/>
  <c r="L186" i="12" s="1"/>
  <c r="S187" i="12" a="1"/>
  <c r="P187" i="12" s="1"/>
  <c r="Q187" i="12" s="1"/>
  <c r="S188" i="12" a="1"/>
  <c r="S188" i="12" s="1"/>
  <c r="L188" i="12" s="1"/>
  <c r="S189" i="12" a="1"/>
  <c r="N189" i="12" s="1"/>
  <c r="S190" i="12" a="1"/>
  <c r="S191" i="12" a="1"/>
  <c r="S191" i="12" s="1"/>
  <c r="L191" i="12" s="1"/>
  <c r="S192" i="12" a="1"/>
  <c r="S192" i="12" s="1"/>
  <c r="L192" i="12" s="1"/>
  <c r="S193" i="12" a="1"/>
  <c r="S194" i="12" a="1"/>
  <c r="S194" i="12" s="1"/>
  <c r="L194" i="12" s="1"/>
  <c r="S195" i="12" a="1"/>
  <c r="S195" i="12" s="1"/>
  <c r="L195" i="12" s="1"/>
  <c r="S196" i="12" a="1"/>
  <c r="S196" i="12" s="1"/>
  <c r="L196" i="12" s="1"/>
  <c r="S197" i="12" a="1"/>
  <c r="N197" i="12" s="1"/>
  <c r="S198" i="12" a="1"/>
  <c r="S198" i="12" s="1"/>
  <c r="L198" i="12" s="1"/>
  <c r="S276" i="12" a="1"/>
  <c r="S276" i="12" s="1"/>
  <c r="L276" i="12" s="1"/>
  <c r="S200" i="12" a="1"/>
  <c r="S200" i="12" s="1"/>
  <c r="L200" i="12" s="1"/>
  <c r="S201" i="12" a="1"/>
  <c r="S201" i="12" s="1"/>
  <c r="L201" i="12" s="1"/>
  <c r="S202" i="12" a="1"/>
  <c r="S202" i="12" s="1"/>
  <c r="L202" i="12" s="1"/>
  <c r="S203" i="12" a="1"/>
  <c r="S204" i="12" a="1"/>
  <c r="N204" i="12" s="1"/>
  <c r="S205" i="12" a="1"/>
  <c r="S205" i="12" s="1"/>
  <c r="L205" i="12" s="1"/>
  <c r="S206" i="12" a="1"/>
  <c r="S206" i="12" s="1"/>
  <c r="L206" i="12" s="1"/>
  <c r="S207" i="12" a="1"/>
  <c r="S207" i="12" s="1"/>
  <c r="L207" i="12" s="1"/>
  <c r="S208" i="12" a="1"/>
  <c r="N208" i="12" s="1"/>
  <c r="S209" i="12" a="1"/>
  <c r="S209" i="12" s="1"/>
  <c r="L209" i="12" s="1"/>
  <c r="S210" i="12" a="1"/>
  <c r="S210" i="12" s="1"/>
  <c r="L210" i="12" s="1"/>
  <c r="S211" i="12" a="1"/>
  <c r="S211" i="12" s="1"/>
  <c r="L211" i="12" s="1"/>
  <c r="S212" i="12" a="1"/>
  <c r="S212" i="12" s="1"/>
  <c r="L212" i="12" s="1"/>
  <c r="S126" i="12" a="1"/>
  <c r="S214" i="12" a="1"/>
  <c r="S214" i="12" s="1"/>
  <c r="L214" i="12" s="1"/>
  <c r="S215" i="12" a="1"/>
  <c r="S215" i="12" s="1"/>
  <c r="L215" i="12" s="1"/>
  <c r="S216" i="12" a="1"/>
  <c r="S217" i="12" a="1"/>
  <c r="S217" i="12" s="1"/>
  <c r="L217" i="12" s="1"/>
  <c r="S218" i="12" a="1"/>
  <c r="S218" i="12" s="1"/>
  <c r="L218" i="12" s="1"/>
  <c r="S219" i="12" a="1"/>
  <c r="S219" i="12" s="1"/>
  <c r="L219" i="12" s="1"/>
  <c r="S220" i="12" a="1"/>
  <c r="S220" i="12" s="1"/>
  <c r="L220" i="12" s="1"/>
  <c r="S221" i="12" a="1"/>
  <c r="S221" i="12" s="1"/>
  <c r="L221" i="12" s="1"/>
  <c r="S222" i="12" a="1"/>
  <c r="S222" i="12" s="1"/>
  <c r="L222" i="12" s="1"/>
  <c r="S223" i="12" a="1"/>
  <c r="S223" i="12" s="1"/>
  <c r="L223" i="12" s="1"/>
  <c r="S224" i="12" a="1"/>
  <c r="P224" i="12" s="1"/>
  <c r="S225" i="12" a="1"/>
  <c r="S225" i="12" s="1"/>
  <c r="L225" i="12" s="1"/>
  <c r="S226" i="12" a="1"/>
  <c r="P226" i="12" s="1"/>
  <c r="S227" i="12" a="1"/>
  <c r="S228" i="12" a="1"/>
  <c r="P228" i="12" s="1"/>
  <c r="S229" i="12" a="1"/>
  <c r="S229" i="12" s="1"/>
  <c r="L229" i="12" s="1"/>
  <c r="S230" i="12" a="1"/>
  <c r="P230" i="12" s="1"/>
  <c r="Q230" i="12" s="1"/>
  <c r="S251" i="12" a="1"/>
  <c r="S251" i="12" s="1"/>
  <c r="L251" i="12" s="1"/>
  <c r="S232" i="12" a="1"/>
  <c r="P232" i="12" s="1"/>
  <c r="S233" i="12" a="1"/>
  <c r="S234" i="12" a="1"/>
  <c r="S234" i="12" s="1"/>
  <c r="L234" i="12" s="1"/>
  <c r="S60" i="12" a="1"/>
  <c r="S60" i="12" s="1"/>
  <c r="L60" i="12" s="1"/>
  <c r="S236" i="12" a="1"/>
  <c r="S237" i="12" a="1"/>
  <c r="S237" i="12" s="1"/>
  <c r="L237" i="12" s="1"/>
  <c r="Q41" i="1"/>
  <c r="L125" i="2"/>
  <c r="P125" i="2" s="1"/>
  <c r="L126" i="2"/>
  <c r="P126" i="2" s="1"/>
  <c r="AJ35" i="3"/>
  <c r="AK35" i="3" s="1"/>
  <c r="E157" i="6"/>
  <c r="E156" i="6"/>
  <c r="BA156" i="6" s="1"/>
  <c r="E27" i="6"/>
  <c r="AD27" i="6" s="1"/>
  <c r="E26" i="6"/>
  <c r="BE26" i="6" s="1"/>
  <c r="E25" i="6"/>
  <c r="AM25" i="6" s="1"/>
  <c r="E24" i="6"/>
  <c r="E23" i="6"/>
  <c r="AA23" i="6" s="1"/>
  <c r="E22" i="6"/>
  <c r="AW22" i="6" s="1"/>
  <c r="E21" i="6"/>
  <c r="E20" i="6"/>
  <c r="E19" i="6"/>
  <c r="E18" i="6"/>
  <c r="E17" i="6"/>
  <c r="E16" i="6"/>
  <c r="AX16" i="6" s="1"/>
  <c r="E15" i="6"/>
  <c r="V15" i="6" s="1"/>
  <c r="E14" i="6"/>
  <c r="AY14" i="6" s="1"/>
  <c r="E13" i="6"/>
  <c r="Z13" i="6" s="1"/>
  <c r="E12" i="6"/>
  <c r="E11" i="6"/>
  <c r="BD11" i="6" s="1"/>
  <c r="E10" i="6"/>
  <c r="AP10" i="6" s="1"/>
  <c r="E9" i="6"/>
  <c r="AP9" i="6" s="1"/>
  <c r="E4" i="6"/>
  <c r="AR4" i="6" s="1"/>
  <c r="E5" i="6"/>
  <c r="E6" i="6"/>
  <c r="E7" i="6"/>
  <c r="E8" i="6"/>
  <c r="AF8" i="6" s="1"/>
  <c r="E28" i="6"/>
  <c r="E29" i="6"/>
  <c r="E30" i="6"/>
  <c r="E31" i="6"/>
  <c r="E32" i="6"/>
  <c r="AT32" i="6" s="1"/>
  <c r="E33" i="6"/>
  <c r="AH33" i="6" s="1"/>
  <c r="E34" i="6"/>
  <c r="AI34" i="6" s="1"/>
  <c r="E35" i="6"/>
  <c r="E36" i="6"/>
  <c r="E37" i="6"/>
  <c r="E38" i="6"/>
  <c r="E39" i="6"/>
  <c r="AI39" i="6" s="1"/>
  <c r="E40" i="6"/>
  <c r="E41" i="6"/>
  <c r="AK41" i="6" s="1"/>
  <c r="E42" i="6"/>
  <c r="AR42" i="6" s="1"/>
  <c r="E43" i="6"/>
  <c r="AL43" i="6" s="1"/>
  <c r="E44" i="6"/>
  <c r="AM44" i="6" s="1"/>
  <c r="E45" i="6"/>
  <c r="AN45" i="6" s="1"/>
  <c r="E46" i="6"/>
  <c r="AE46" i="6" s="1"/>
  <c r="E47" i="6"/>
  <c r="U47" i="6" s="1"/>
  <c r="E48" i="6"/>
  <c r="AI48" i="6" s="1"/>
  <c r="E49" i="6"/>
  <c r="E50" i="6"/>
  <c r="E51" i="6"/>
  <c r="E52" i="6"/>
  <c r="E53" i="6"/>
  <c r="Z53" i="6" s="1"/>
  <c r="E54" i="6"/>
  <c r="E55" i="6"/>
  <c r="W55" i="6" s="1"/>
  <c r="E56" i="6"/>
  <c r="AO56" i="6" s="1"/>
  <c r="E57" i="6"/>
  <c r="Z57" i="6" s="1"/>
  <c r="E58" i="6"/>
  <c r="AQ58" i="6" s="1"/>
  <c r="E59" i="6"/>
  <c r="AJ59" i="6" s="1"/>
  <c r="E60" i="6"/>
  <c r="E61" i="6"/>
  <c r="E62" i="6"/>
  <c r="S62" i="6" s="1"/>
  <c r="E63" i="6"/>
  <c r="AL63" i="6" s="1"/>
  <c r="E64" i="6"/>
  <c r="U64" i="6" s="1"/>
  <c r="E65" i="6"/>
  <c r="AP65" i="6" s="1"/>
  <c r="E66" i="6"/>
  <c r="E67" i="6"/>
  <c r="AM67" i="6" s="1"/>
  <c r="E68" i="6"/>
  <c r="V68" i="6" s="1"/>
  <c r="E69" i="6"/>
  <c r="AL69" i="6" s="1"/>
  <c r="E70" i="6"/>
  <c r="AD70" i="6" s="1"/>
  <c r="E71" i="6"/>
  <c r="E72" i="6"/>
  <c r="E73" i="6"/>
  <c r="AJ73" i="6" s="1"/>
  <c r="E74" i="6"/>
  <c r="Y74" i="6" s="1"/>
  <c r="E75" i="6"/>
  <c r="E76" i="6"/>
  <c r="E77" i="6"/>
  <c r="Y77" i="6" s="1"/>
  <c r="E78" i="6"/>
  <c r="E79" i="6"/>
  <c r="E80" i="6"/>
  <c r="AG80" i="6" s="1"/>
  <c r="E81" i="6"/>
  <c r="AU81" i="6" s="1"/>
  <c r="E82" i="6"/>
  <c r="AE82" i="6" s="1"/>
  <c r="E83" i="6"/>
  <c r="E84" i="6"/>
  <c r="E85" i="6"/>
  <c r="E86" i="6"/>
  <c r="S86" i="6" s="1"/>
  <c r="E87" i="6"/>
  <c r="E88" i="6"/>
  <c r="AU88" i="6" s="1"/>
  <c r="E89" i="6"/>
  <c r="AU89" i="6" s="1"/>
  <c r="E90" i="6"/>
  <c r="E91" i="6"/>
  <c r="AK91" i="6" s="1"/>
  <c r="E92" i="6"/>
  <c r="R92" i="6" s="1"/>
  <c r="E93" i="6"/>
  <c r="E94" i="6"/>
  <c r="W94" i="6" s="1"/>
  <c r="E95" i="6"/>
  <c r="E96" i="6"/>
  <c r="E97" i="6"/>
  <c r="E98" i="6"/>
  <c r="AD98" i="6" s="1"/>
  <c r="E99" i="6"/>
  <c r="AO99" i="6" s="1"/>
  <c r="E100" i="6"/>
  <c r="AK100" i="6" s="1"/>
  <c r="E101" i="6"/>
  <c r="AD101" i="6" s="1"/>
  <c r="E102" i="6"/>
  <c r="E103" i="6"/>
  <c r="S103" i="6" s="1"/>
  <c r="E104" i="6"/>
  <c r="AP104" i="6" s="1"/>
  <c r="E105" i="6"/>
  <c r="E106" i="6"/>
  <c r="AQ106" i="6" s="1"/>
  <c r="E107" i="6"/>
  <c r="E108" i="6"/>
  <c r="E109" i="6"/>
  <c r="AT109" i="6" s="1"/>
  <c r="E110" i="6"/>
  <c r="AT110" i="6" s="1"/>
  <c r="E111" i="6"/>
  <c r="E112" i="6"/>
  <c r="AM112" i="6" s="1"/>
  <c r="E113" i="6"/>
  <c r="E114" i="6"/>
  <c r="E115" i="6"/>
  <c r="E116" i="6"/>
  <c r="S116" i="6" s="1"/>
  <c r="E117" i="6"/>
  <c r="E118" i="6"/>
  <c r="E119" i="6"/>
  <c r="E120" i="6"/>
  <c r="E121" i="6"/>
  <c r="E122" i="6"/>
  <c r="AP122" i="6" s="1"/>
  <c r="E123" i="6"/>
  <c r="E124" i="6"/>
  <c r="AM124" i="6" s="1"/>
  <c r="E125" i="6"/>
  <c r="E126" i="6"/>
  <c r="Z126" i="6" s="1"/>
  <c r="E127" i="6"/>
  <c r="E128" i="6"/>
  <c r="AR128" i="6" s="1"/>
  <c r="E129" i="6"/>
  <c r="AO129" i="6" s="1"/>
  <c r="E130" i="6"/>
  <c r="E131" i="6"/>
  <c r="AK131" i="6" s="1"/>
  <c r="E132" i="6"/>
  <c r="E133" i="6"/>
  <c r="U133" i="6" s="1"/>
  <c r="E134" i="6"/>
  <c r="AN134" i="6" s="1"/>
  <c r="E135" i="6"/>
  <c r="E136" i="6"/>
  <c r="AM136" i="6" s="1"/>
  <c r="E137" i="6"/>
  <c r="AP137" i="6" s="1"/>
  <c r="E138" i="6"/>
  <c r="AB138" i="6" s="1"/>
  <c r="BR138" i="6" s="1"/>
  <c r="E139" i="6"/>
  <c r="E140" i="6"/>
  <c r="AP140" i="6" s="1"/>
  <c r="E141" i="6"/>
  <c r="E142" i="6"/>
  <c r="AD142" i="6" s="1"/>
  <c r="E143" i="6"/>
  <c r="E144" i="6"/>
  <c r="E145" i="6"/>
  <c r="E146" i="6"/>
  <c r="AD146" i="6" s="1"/>
  <c r="E147" i="6"/>
  <c r="AT147" i="6" s="1"/>
  <c r="E148" i="6"/>
  <c r="AI148" i="6" s="1"/>
  <c r="E149" i="6"/>
  <c r="Z149" i="6" s="1"/>
  <c r="E150" i="6"/>
  <c r="E151" i="6"/>
  <c r="E152" i="6"/>
  <c r="AL152" i="6" s="1"/>
  <c r="E153" i="6"/>
  <c r="E154" i="6"/>
  <c r="AK154" i="6" s="1"/>
  <c r="E155" i="6"/>
  <c r="T155" i="6" s="1"/>
  <c r="C12" i="5" a="1"/>
  <c r="C12" i="5" s="1"/>
  <c r="C13" i="5" a="1"/>
  <c r="C13" i="5" s="1"/>
  <c r="S48" i="2"/>
  <c r="F2" i="2"/>
  <c r="L129" i="2"/>
  <c r="P129" i="2" s="1"/>
  <c r="J23" i="2"/>
  <c r="J48" i="2" s="1"/>
  <c r="J60" i="2" s="1"/>
  <c r="J128" i="2" s="1"/>
  <c r="K23" i="2"/>
  <c r="K48" i="2" s="1"/>
  <c r="K60" i="2" s="1"/>
  <c r="L23" i="2"/>
  <c r="L48" i="2" s="1"/>
  <c r="L60" i="2" s="1"/>
  <c r="M23" i="2"/>
  <c r="M48" i="2" s="1"/>
  <c r="M60" i="2" s="1"/>
  <c r="N23" i="2"/>
  <c r="N48" i="2" s="1"/>
  <c r="N60" i="2" s="1"/>
  <c r="N69" i="2" s="1"/>
  <c r="O23" i="2"/>
  <c r="O48" i="2" s="1"/>
  <c r="O60" i="2" s="1"/>
  <c r="P23" i="2"/>
  <c r="P48" i="2" s="1"/>
  <c r="P60" i="2" s="1"/>
  <c r="P69" i="2" s="1"/>
  <c r="Q23" i="2"/>
  <c r="Q48" i="2" s="1"/>
  <c r="Q60" i="2" s="1"/>
  <c r="Q69" i="2" s="1"/>
  <c r="R23" i="2"/>
  <c r="R48" i="2" s="1"/>
  <c r="R60" i="2" s="1"/>
  <c r="R128" i="2" s="1"/>
  <c r="S60" i="2"/>
  <c r="S128" i="2" s="1"/>
  <c r="I23" i="2"/>
  <c r="I48" i="2" s="1"/>
  <c r="I60" i="2" s="1"/>
  <c r="L124" i="2"/>
  <c r="P124" i="2" s="1"/>
  <c r="L120" i="2"/>
  <c r="P120" i="2" s="1"/>
  <c r="L121" i="2"/>
  <c r="P121" i="2" s="1"/>
  <c r="L122" i="2"/>
  <c r="P122" i="2" s="1"/>
  <c r="L123" i="2"/>
  <c r="P123" i="2" s="1"/>
  <c r="L119" i="2"/>
  <c r="P119" i="2" s="1"/>
  <c r="F10" i="3"/>
  <c r="AA10" i="3" s="1"/>
  <c r="D48" i="3"/>
  <c r="R98" i="6" s="1"/>
  <c r="D43" i="1"/>
  <c r="K43" i="1"/>
  <c r="J30" i="2"/>
  <c r="K30" i="2"/>
  <c r="L30" i="2" s="1"/>
  <c r="P30" i="2" s="1"/>
  <c r="C30" i="2"/>
  <c r="E30" i="2"/>
  <c r="G30" i="2"/>
  <c r="P16" i="3"/>
  <c r="H27" i="1"/>
  <c r="H114" i="2" s="1"/>
  <c r="L41" i="6"/>
  <c r="M41" i="6"/>
  <c r="H25" i="1"/>
  <c r="AK27" i="3"/>
  <c r="P17" i="3"/>
  <c r="L16" i="6"/>
  <c r="M16" i="6"/>
  <c r="P18" i="3"/>
  <c r="P19" i="3"/>
  <c r="P20" i="3"/>
  <c r="M91" i="6"/>
  <c r="M87" i="6"/>
  <c r="L91" i="6"/>
  <c r="L87" i="6"/>
  <c r="C71" i="2"/>
  <c r="E71" i="2"/>
  <c r="G71" i="2"/>
  <c r="C72" i="2"/>
  <c r="E72" i="2"/>
  <c r="G72" i="2"/>
  <c r="C73" i="2"/>
  <c r="E73" i="2"/>
  <c r="F73" i="2" s="1"/>
  <c r="G73" i="2"/>
  <c r="C74" i="2"/>
  <c r="E74" i="2"/>
  <c r="G74" i="2"/>
  <c r="C75" i="2"/>
  <c r="E75" i="2"/>
  <c r="G75" i="2"/>
  <c r="C76" i="2"/>
  <c r="E76" i="2"/>
  <c r="G76" i="2"/>
  <c r="C77" i="2"/>
  <c r="E77" i="2"/>
  <c r="G77" i="2"/>
  <c r="C78" i="2"/>
  <c r="D78" i="2" s="1"/>
  <c r="E78" i="2"/>
  <c r="G78" i="2"/>
  <c r="C79" i="2"/>
  <c r="E79" i="2"/>
  <c r="G79" i="2"/>
  <c r="C80" i="2"/>
  <c r="E80" i="2"/>
  <c r="G80" i="2"/>
  <c r="C81" i="2"/>
  <c r="E81" i="2"/>
  <c r="G81" i="2"/>
  <c r="C82" i="2"/>
  <c r="E82" i="2"/>
  <c r="G82" i="2"/>
  <c r="C83" i="2"/>
  <c r="E83" i="2"/>
  <c r="G83" i="2"/>
  <c r="C84" i="2"/>
  <c r="E84" i="2"/>
  <c r="G84" i="2"/>
  <c r="C85" i="2"/>
  <c r="E85" i="2"/>
  <c r="F85" i="2" s="1"/>
  <c r="G85" i="2"/>
  <c r="C86" i="2"/>
  <c r="E86" i="2"/>
  <c r="G86" i="2"/>
  <c r="C87" i="2"/>
  <c r="E87" i="2"/>
  <c r="G87" i="2"/>
  <c r="C88" i="2"/>
  <c r="E88" i="2"/>
  <c r="G88" i="2"/>
  <c r="C89" i="2"/>
  <c r="E89" i="2"/>
  <c r="G89" i="2"/>
  <c r="C90" i="2"/>
  <c r="E90" i="2"/>
  <c r="G90" i="2"/>
  <c r="C91" i="2"/>
  <c r="E91" i="2"/>
  <c r="G91" i="2"/>
  <c r="C92" i="2"/>
  <c r="E92" i="2"/>
  <c r="G92" i="2"/>
  <c r="C93" i="2"/>
  <c r="E93" i="2"/>
  <c r="G93" i="2"/>
  <c r="C94" i="2"/>
  <c r="E94" i="2"/>
  <c r="G94" i="2"/>
  <c r="C95" i="2"/>
  <c r="E95" i="2"/>
  <c r="G95" i="2"/>
  <c r="C96" i="2"/>
  <c r="E96" i="2"/>
  <c r="G96" i="2"/>
  <c r="C97" i="2"/>
  <c r="E97" i="2"/>
  <c r="G97" i="2"/>
  <c r="C98" i="2"/>
  <c r="E98" i="2"/>
  <c r="G98" i="2"/>
  <c r="C99" i="2"/>
  <c r="E99" i="2"/>
  <c r="G99" i="2"/>
  <c r="C100" i="2"/>
  <c r="E100" i="2"/>
  <c r="G100" i="2"/>
  <c r="C101" i="2"/>
  <c r="E101" i="2"/>
  <c r="G101" i="2"/>
  <c r="C102" i="2"/>
  <c r="E102" i="2"/>
  <c r="G102" i="2"/>
  <c r="C103" i="2"/>
  <c r="E103" i="2"/>
  <c r="G103" i="2"/>
  <c r="C104" i="2"/>
  <c r="E104" i="2"/>
  <c r="G104" i="2"/>
  <c r="C105" i="2"/>
  <c r="E105" i="2"/>
  <c r="G105" i="2"/>
  <c r="C106" i="2"/>
  <c r="D106" i="2" s="1"/>
  <c r="E106" i="2"/>
  <c r="G106" i="2"/>
  <c r="C107" i="2"/>
  <c r="E107" i="2"/>
  <c r="G107" i="2"/>
  <c r="C108" i="2"/>
  <c r="E108" i="2"/>
  <c r="G108" i="2"/>
  <c r="C109" i="2"/>
  <c r="E109" i="2"/>
  <c r="G109" i="2"/>
  <c r="C110" i="2"/>
  <c r="E110" i="2"/>
  <c r="G110" i="2"/>
  <c r="C111" i="2"/>
  <c r="E111" i="2"/>
  <c r="G111" i="2"/>
  <c r="C112" i="2"/>
  <c r="E112" i="2"/>
  <c r="G112" i="2"/>
  <c r="C113" i="2"/>
  <c r="E113" i="2"/>
  <c r="G113" i="2"/>
  <c r="C114" i="2"/>
  <c r="D114" i="2" s="1"/>
  <c r="E114" i="2"/>
  <c r="G114" i="2"/>
  <c r="C115" i="2"/>
  <c r="E115" i="2"/>
  <c r="G115" i="2"/>
  <c r="C116" i="2"/>
  <c r="E116" i="2"/>
  <c r="G116" i="2"/>
  <c r="C62" i="2"/>
  <c r="E62" i="2"/>
  <c r="G62" i="2"/>
  <c r="C63" i="2"/>
  <c r="D63" i="2" s="1"/>
  <c r="E63" i="2"/>
  <c r="G63" i="2"/>
  <c r="C64" i="2"/>
  <c r="E64" i="2"/>
  <c r="G64" i="2"/>
  <c r="C65" i="2"/>
  <c r="E65" i="2"/>
  <c r="G65" i="2"/>
  <c r="C66" i="2"/>
  <c r="E66" i="2"/>
  <c r="G66" i="2"/>
  <c r="C67" i="2"/>
  <c r="E67" i="2"/>
  <c r="G67" i="2"/>
  <c r="G70" i="2"/>
  <c r="E70" i="2"/>
  <c r="C70" i="2"/>
  <c r="G61" i="2"/>
  <c r="E61" i="2"/>
  <c r="C61" i="2"/>
  <c r="C50" i="2"/>
  <c r="E50" i="2"/>
  <c r="G50" i="2"/>
  <c r="C51" i="2"/>
  <c r="D51" i="2" s="1"/>
  <c r="E51" i="2"/>
  <c r="G51" i="2"/>
  <c r="C52" i="2"/>
  <c r="E52" i="2"/>
  <c r="G52" i="2"/>
  <c r="C53" i="2"/>
  <c r="E53" i="2"/>
  <c r="G53" i="2"/>
  <c r="C54" i="2"/>
  <c r="E54" i="2"/>
  <c r="G54" i="2"/>
  <c r="C55" i="2"/>
  <c r="E55" i="2"/>
  <c r="G55" i="2"/>
  <c r="C56" i="2"/>
  <c r="E56" i="2"/>
  <c r="G56" i="2"/>
  <c r="C57" i="2"/>
  <c r="E57" i="2"/>
  <c r="G57" i="2"/>
  <c r="C58" i="2"/>
  <c r="E58" i="2"/>
  <c r="G58" i="2"/>
  <c r="G49" i="2"/>
  <c r="E49" i="2"/>
  <c r="C49" i="2"/>
  <c r="C25" i="2"/>
  <c r="E25" i="2"/>
  <c r="G25" i="2"/>
  <c r="C26" i="2"/>
  <c r="E26" i="2"/>
  <c r="G26" i="2"/>
  <c r="C27" i="2"/>
  <c r="E27" i="2"/>
  <c r="G27" i="2"/>
  <c r="C28" i="2"/>
  <c r="E28" i="2"/>
  <c r="G28" i="2"/>
  <c r="C29" i="2"/>
  <c r="E29" i="2"/>
  <c r="F29" i="2" s="1"/>
  <c r="G29" i="2"/>
  <c r="C31" i="2"/>
  <c r="E31" i="2"/>
  <c r="G31" i="2"/>
  <c r="C32" i="2"/>
  <c r="E32" i="2"/>
  <c r="G32" i="2"/>
  <c r="H32" i="2" s="1"/>
  <c r="C33" i="2"/>
  <c r="D33" i="2" s="1"/>
  <c r="E33" i="2"/>
  <c r="G33" i="2"/>
  <c r="C34" i="2"/>
  <c r="E34" i="2"/>
  <c r="G34" i="2"/>
  <c r="C35" i="2"/>
  <c r="E35" i="2"/>
  <c r="G35" i="2"/>
  <c r="C36" i="2"/>
  <c r="E36" i="2"/>
  <c r="G36" i="2"/>
  <c r="C37" i="2"/>
  <c r="E37" i="2"/>
  <c r="G37" i="2"/>
  <c r="C38" i="2"/>
  <c r="E38" i="2"/>
  <c r="G38" i="2"/>
  <c r="C39" i="2"/>
  <c r="E39" i="2"/>
  <c r="G39" i="2"/>
  <c r="C40" i="2"/>
  <c r="E40" i="2"/>
  <c r="G40" i="2"/>
  <c r="C41" i="2"/>
  <c r="E41" i="2"/>
  <c r="G41" i="2"/>
  <c r="C42" i="2"/>
  <c r="E42" i="2"/>
  <c r="F42" i="2" s="1"/>
  <c r="G42" i="2"/>
  <c r="C43" i="2"/>
  <c r="E43" i="2"/>
  <c r="G43" i="2"/>
  <c r="C44" i="2"/>
  <c r="E44" i="2"/>
  <c r="G44" i="2"/>
  <c r="C45" i="2"/>
  <c r="E45" i="2"/>
  <c r="G45" i="2"/>
  <c r="C46" i="2"/>
  <c r="E46" i="2"/>
  <c r="G46" i="2"/>
  <c r="G24" i="2"/>
  <c r="E24" i="2"/>
  <c r="C24" i="2"/>
  <c r="H21" i="1"/>
  <c r="F129" i="2" s="1"/>
  <c r="H22" i="1"/>
  <c r="H23" i="1"/>
  <c r="H24" i="1"/>
  <c r="H94" i="2" s="1"/>
  <c r="H20" i="1"/>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M4" i="6"/>
  <c r="M5" i="6"/>
  <c r="M6" i="6"/>
  <c r="M7" i="6"/>
  <c r="M8" i="6"/>
  <c r="M9" i="6"/>
  <c r="M10" i="6"/>
  <c r="M11" i="6"/>
  <c r="M12" i="6"/>
  <c r="S15" i="3" s="1"/>
  <c r="M13" i="6"/>
  <c r="M14" i="6"/>
  <c r="M15" i="6"/>
  <c r="M17" i="6"/>
  <c r="M18" i="6"/>
  <c r="M19" i="6"/>
  <c r="M20" i="6"/>
  <c r="M21" i="6"/>
  <c r="M22" i="6"/>
  <c r="M23" i="6"/>
  <c r="M24" i="6"/>
  <c r="M25" i="6"/>
  <c r="M26" i="6"/>
  <c r="M27" i="6"/>
  <c r="M28" i="6"/>
  <c r="M29" i="6"/>
  <c r="M30" i="6"/>
  <c r="M31" i="6"/>
  <c r="M32" i="6"/>
  <c r="M33" i="6"/>
  <c r="M34" i="6"/>
  <c r="M35" i="6"/>
  <c r="M36" i="6"/>
  <c r="M37" i="6"/>
  <c r="M38" i="6"/>
  <c r="M39" i="6"/>
  <c r="M40"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8" i="6"/>
  <c r="M89" i="6"/>
  <c r="M90"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L4" i="6"/>
  <c r="L5" i="6"/>
  <c r="L6" i="6"/>
  <c r="L7" i="6"/>
  <c r="L8" i="6"/>
  <c r="L9" i="6"/>
  <c r="L10" i="6"/>
  <c r="L11" i="6"/>
  <c r="L12" i="6"/>
  <c r="L13" i="6"/>
  <c r="L14" i="6"/>
  <c r="L15" i="6"/>
  <c r="L17" i="6"/>
  <c r="L18" i="6"/>
  <c r="L19" i="6"/>
  <c r="L20" i="6"/>
  <c r="L21" i="6"/>
  <c r="L22" i="6"/>
  <c r="L23" i="6"/>
  <c r="L24" i="6"/>
  <c r="L25" i="6"/>
  <c r="L26" i="6"/>
  <c r="L27" i="6"/>
  <c r="L28" i="6"/>
  <c r="L29" i="6"/>
  <c r="L30" i="6"/>
  <c r="L31" i="6"/>
  <c r="L32" i="6"/>
  <c r="L33" i="6"/>
  <c r="L34" i="6"/>
  <c r="L35" i="6"/>
  <c r="L36" i="6"/>
  <c r="L37" i="6"/>
  <c r="L38" i="6"/>
  <c r="L39" i="6"/>
  <c r="L40"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8" i="6"/>
  <c r="L89" i="6"/>
  <c r="L90"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L15" i="5"/>
  <c r="L16" i="5"/>
  <c r="L17" i="5"/>
  <c r="L18" i="5"/>
  <c r="L19" i="5"/>
  <c r="L20" i="5"/>
  <c r="J6" i="3"/>
  <c r="N27" i="1"/>
  <c r="AK40" i="3"/>
  <c r="F37" i="3"/>
  <c r="F38" i="3"/>
  <c r="F36" i="3"/>
  <c r="Z31" i="3"/>
  <c r="AB36" i="3"/>
  <c r="AB31" i="3"/>
  <c r="S10" i="3"/>
  <c r="F8" i="3"/>
  <c r="H13" i="4"/>
  <c r="H14" i="4"/>
  <c r="H12" i="4"/>
  <c r="H10" i="4"/>
  <c r="H11" i="4"/>
  <c r="H9" i="4"/>
  <c r="H15" i="4"/>
  <c r="H3" i="4"/>
  <c r="H4" i="4"/>
  <c r="H5" i="4"/>
  <c r="H6" i="4"/>
  <c r="H7" i="4"/>
  <c r="H8" i="4"/>
  <c r="H2" i="4"/>
  <c r="S69" i="2"/>
  <c r="S23" i="2"/>
  <c r="N24" i="1"/>
  <c r="N26" i="1"/>
  <c r="N28" i="1"/>
  <c r="D21" i="1"/>
  <c r="I21" i="1" s="1"/>
  <c r="D22" i="1"/>
  <c r="I22" i="1" s="1"/>
  <c r="D23" i="1"/>
  <c r="I23" i="1" s="1"/>
  <c r="D24" i="1"/>
  <c r="I24" i="1" s="1"/>
  <c r="D25" i="1"/>
  <c r="I25" i="1" s="1"/>
  <c r="D26" i="1"/>
  <c r="I26" i="1" s="1"/>
  <c r="D27" i="1"/>
  <c r="I27" i="1" s="1"/>
  <c r="D20" i="1"/>
  <c r="I20" i="1" s="1"/>
  <c r="P15" i="3"/>
  <c r="P14" i="3"/>
  <c r="Q68" i="9"/>
  <c r="E57" i="9"/>
  <c r="AK11" i="9"/>
  <c r="V11" i="9"/>
  <c r="T11" i="9"/>
  <c r="S11" i="9"/>
  <c r="R11" i="9"/>
  <c r="W11" i="9" s="1"/>
  <c r="AA11" i="9" s="1"/>
  <c r="P11" i="9"/>
  <c r="Q11" i="9" s="1"/>
  <c r="AK10" i="9"/>
  <c r="T10" i="9"/>
  <c r="S10" i="9"/>
  <c r="R10" i="9"/>
  <c r="W10" i="9" s="1"/>
  <c r="AA10" i="9" s="1"/>
  <c r="P10" i="9"/>
  <c r="Q10" i="9" s="1"/>
  <c r="AO9" i="9"/>
  <c r="AK9" i="9"/>
  <c r="T9" i="9"/>
  <c r="S9" i="9"/>
  <c r="R9" i="9"/>
  <c r="W9" i="9" s="1"/>
  <c r="AA9" i="9" s="1"/>
  <c r="P9" i="9"/>
  <c r="Q9" i="9" s="1"/>
  <c r="AK8" i="9"/>
  <c r="T8" i="9"/>
  <c r="S8" i="9"/>
  <c r="R8" i="9"/>
  <c r="W8" i="9" s="1"/>
  <c r="AA8" i="9" s="1"/>
  <c r="P8" i="9"/>
  <c r="Q8" i="9" s="1"/>
  <c r="AK7" i="9"/>
  <c r="AR8" i="9" s="1"/>
  <c r="AQ9" i="9" s="1"/>
  <c r="AO10" i="9" s="1"/>
  <c r="T7" i="9"/>
  <c r="S7" i="9"/>
  <c r="R7" i="9"/>
  <c r="W7" i="9" s="1"/>
  <c r="AA7" i="9" s="1"/>
  <c r="P7" i="9"/>
  <c r="S25" i="5"/>
  <c r="S26" i="5"/>
  <c r="S27" i="5"/>
  <c r="S28" i="5"/>
  <c r="S29" i="5"/>
  <c r="S30" i="5"/>
  <c r="S31" i="5"/>
  <c r="S32" i="5"/>
  <c r="S33" i="5"/>
  <c r="S24" i="5"/>
  <c r="I25" i="5"/>
  <c r="I26" i="5"/>
  <c r="I27" i="5"/>
  <c r="I28" i="5"/>
  <c r="I29" i="5"/>
  <c r="I30" i="5"/>
  <c r="I31" i="5"/>
  <c r="I32" i="5"/>
  <c r="I33" i="5"/>
  <c r="I24" i="5"/>
  <c r="P116" i="2"/>
  <c r="J92" i="2"/>
  <c r="K92" i="2"/>
  <c r="L92" i="2" s="1"/>
  <c r="P92" i="2" s="1"/>
  <c r="J95" i="2"/>
  <c r="K95" i="2"/>
  <c r="L95" i="2" s="1"/>
  <c r="P95" i="2" s="1"/>
  <c r="J97" i="2"/>
  <c r="K97" i="2"/>
  <c r="L97" i="2" s="1"/>
  <c r="P97" i="2" s="1"/>
  <c r="J98" i="2"/>
  <c r="K98" i="2"/>
  <c r="L98" i="2" s="1"/>
  <c r="P98" i="2" s="1"/>
  <c r="J104" i="2"/>
  <c r="K104" i="2"/>
  <c r="L104" i="2" s="1"/>
  <c r="P104" i="2" s="1"/>
  <c r="J70" i="2"/>
  <c r="K70" i="2"/>
  <c r="L70" i="2" s="1"/>
  <c r="P70" i="2" s="1"/>
  <c r="J71" i="2"/>
  <c r="K71" i="2"/>
  <c r="L71" i="2" s="1"/>
  <c r="P71" i="2" s="1"/>
  <c r="K72" i="2"/>
  <c r="L72" i="2" s="1"/>
  <c r="P72" i="2" s="1"/>
  <c r="J73" i="2"/>
  <c r="K73" i="2"/>
  <c r="L73" i="2" s="1"/>
  <c r="P73" i="2" s="1"/>
  <c r="J74" i="2"/>
  <c r="K74" i="2"/>
  <c r="L74" i="2" s="1"/>
  <c r="P74" i="2" s="1"/>
  <c r="J75" i="2"/>
  <c r="K75" i="2"/>
  <c r="L75" i="2" s="1"/>
  <c r="P75" i="2" s="1"/>
  <c r="J76" i="2"/>
  <c r="K76" i="2"/>
  <c r="L76" i="2" s="1"/>
  <c r="P76" i="2" s="1"/>
  <c r="J77" i="2"/>
  <c r="K77" i="2"/>
  <c r="L77" i="2" s="1"/>
  <c r="P77" i="2" s="1"/>
  <c r="J78" i="2"/>
  <c r="K78" i="2"/>
  <c r="L78" i="2" s="1"/>
  <c r="P78" i="2" s="1"/>
  <c r="J79" i="2"/>
  <c r="K79" i="2"/>
  <c r="L79" i="2" s="1"/>
  <c r="P79" i="2" s="1"/>
  <c r="J80" i="2"/>
  <c r="K80" i="2"/>
  <c r="L80" i="2" s="1"/>
  <c r="P80" i="2" s="1"/>
  <c r="J81" i="2"/>
  <c r="K81" i="2"/>
  <c r="L81" i="2" s="1"/>
  <c r="P81" i="2" s="1"/>
  <c r="J82" i="2"/>
  <c r="K82" i="2"/>
  <c r="L82" i="2" s="1"/>
  <c r="P82" i="2" s="1"/>
  <c r="J83" i="2"/>
  <c r="K83" i="2"/>
  <c r="L83" i="2" s="1"/>
  <c r="P83" i="2" s="1"/>
  <c r="J84" i="2"/>
  <c r="K84" i="2"/>
  <c r="L84" i="2" s="1"/>
  <c r="P84" i="2" s="1"/>
  <c r="J85" i="2"/>
  <c r="K85" i="2"/>
  <c r="L85" i="2" s="1"/>
  <c r="P85" i="2" s="1"/>
  <c r="J86" i="2"/>
  <c r="K86" i="2"/>
  <c r="L86" i="2" s="1"/>
  <c r="P86" i="2" s="1"/>
  <c r="J87" i="2"/>
  <c r="K87" i="2"/>
  <c r="L87" i="2" s="1"/>
  <c r="P87" i="2" s="1"/>
  <c r="J88" i="2"/>
  <c r="K88" i="2"/>
  <c r="L88" i="2" s="1"/>
  <c r="P88" i="2" s="1"/>
  <c r="J89" i="2"/>
  <c r="K89" i="2"/>
  <c r="L89" i="2" s="1"/>
  <c r="P89" i="2" s="1"/>
  <c r="J90" i="2"/>
  <c r="K90" i="2"/>
  <c r="L90" i="2" s="1"/>
  <c r="P90" i="2" s="1"/>
  <c r="J93" i="2"/>
  <c r="K93" i="2"/>
  <c r="L93" i="2" s="1"/>
  <c r="P93" i="2" s="1"/>
  <c r="J94" i="2"/>
  <c r="K94" i="2"/>
  <c r="L94" i="2" s="1"/>
  <c r="P94" i="2" s="1"/>
  <c r="J96" i="2"/>
  <c r="K96" i="2"/>
  <c r="L96" i="2" s="1"/>
  <c r="P96" i="2" s="1"/>
  <c r="J99" i="2"/>
  <c r="K99" i="2"/>
  <c r="L99" i="2" s="1"/>
  <c r="P99" i="2" s="1"/>
  <c r="J100" i="2"/>
  <c r="K100" i="2"/>
  <c r="L100" i="2" s="1"/>
  <c r="P100" i="2" s="1"/>
  <c r="J101" i="2"/>
  <c r="K101" i="2"/>
  <c r="L101" i="2" s="1"/>
  <c r="P101" i="2" s="1"/>
  <c r="J102" i="2"/>
  <c r="K102" i="2"/>
  <c r="L102" i="2" s="1"/>
  <c r="P102" i="2" s="1"/>
  <c r="J103" i="2"/>
  <c r="K103" i="2"/>
  <c r="L103" i="2" s="1"/>
  <c r="P103" i="2" s="1"/>
  <c r="J105" i="2"/>
  <c r="K105" i="2"/>
  <c r="L105" i="2" s="1"/>
  <c r="P105" i="2" s="1"/>
  <c r="J106" i="2"/>
  <c r="K106" i="2"/>
  <c r="L106" i="2" s="1"/>
  <c r="P106" i="2" s="1"/>
  <c r="J107" i="2"/>
  <c r="K107" i="2"/>
  <c r="L107" i="2" s="1"/>
  <c r="P107" i="2" s="1"/>
  <c r="J108" i="2"/>
  <c r="K108" i="2"/>
  <c r="L108" i="2" s="1"/>
  <c r="P108" i="2" s="1"/>
  <c r="J109" i="2"/>
  <c r="K109" i="2"/>
  <c r="L109" i="2" s="1"/>
  <c r="P109" i="2" s="1"/>
  <c r="J110" i="2"/>
  <c r="K110" i="2"/>
  <c r="L110" i="2" s="1"/>
  <c r="P110" i="2" s="1"/>
  <c r="J111" i="2"/>
  <c r="K111" i="2"/>
  <c r="L111" i="2" s="1"/>
  <c r="P111" i="2" s="1"/>
  <c r="J112" i="2"/>
  <c r="K112" i="2"/>
  <c r="L112" i="2" s="1"/>
  <c r="P112" i="2" s="1"/>
  <c r="J113" i="2"/>
  <c r="K113" i="2"/>
  <c r="L113" i="2" s="1"/>
  <c r="P113" i="2" s="1"/>
  <c r="J114" i="2"/>
  <c r="K114" i="2"/>
  <c r="L114" i="2" s="1"/>
  <c r="P114" i="2" s="1"/>
  <c r="J115" i="2"/>
  <c r="K115" i="2"/>
  <c r="L115" i="2" s="1"/>
  <c r="P115" i="2" s="1"/>
  <c r="J116" i="2"/>
  <c r="K116" i="2"/>
  <c r="L116" i="2" s="1"/>
  <c r="K91" i="2"/>
  <c r="L91" i="2" s="1"/>
  <c r="P91" i="2" s="1"/>
  <c r="J91" i="2"/>
  <c r="J64" i="2"/>
  <c r="K64" i="2"/>
  <c r="L64" i="2" s="1"/>
  <c r="P64" i="2" s="1"/>
  <c r="J65" i="2"/>
  <c r="K65" i="2"/>
  <c r="L65" i="2" s="1"/>
  <c r="P65" i="2" s="1"/>
  <c r="J62" i="2"/>
  <c r="K62" i="2"/>
  <c r="L62" i="2" s="1"/>
  <c r="P62" i="2" s="1"/>
  <c r="J63" i="2"/>
  <c r="K63" i="2"/>
  <c r="L63" i="2" s="1"/>
  <c r="P63" i="2" s="1"/>
  <c r="J66" i="2"/>
  <c r="K66" i="2"/>
  <c r="L66" i="2" s="1"/>
  <c r="P66" i="2" s="1"/>
  <c r="J67" i="2"/>
  <c r="K67" i="2"/>
  <c r="L67" i="2" s="1"/>
  <c r="P67" i="2" s="1"/>
  <c r="K61" i="2"/>
  <c r="L61" i="2" s="1"/>
  <c r="P61" i="2" s="1"/>
  <c r="J61" i="2"/>
  <c r="J57" i="2"/>
  <c r="K57" i="2"/>
  <c r="L57" i="2" s="1"/>
  <c r="P57" i="2" s="1"/>
  <c r="J49" i="2"/>
  <c r="K49" i="2"/>
  <c r="L49" i="2" s="1"/>
  <c r="P49" i="2" s="1"/>
  <c r="J50" i="2"/>
  <c r="K50" i="2"/>
  <c r="L50" i="2" s="1"/>
  <c r="P50" i="2" s="1"/>
  <c r="J51" i="2"/>
  <c r="K51" i="2"/>
  <c r="L51" i="2" s="1"/>
  <c r="P51" i="2" s="1"/>
  <c r="J52" i="2"/>
  <c r="K52" i="2"/>
  <c r="L52" i="2" s="1"/>
  <c r="P52" i="2" s="1"/>
  <c r="J54" i="2"/>
  <c r="K54" i="2"/>
  <c r="L54" i="2" s="1"/>
  <c r="P54" i="2" s="1"/>
  <c r="J55" i="2"/>
  <c r="K55" i="2"/>
  <c r="L55" i="2" s="1"/>
  <c r="P55" i="2" s="1"/>
  <c r="J56" i="2"/>
  <c r="K56" i="2"/>
  <c r="L56" i="2" s="1"/>
  <c r="P56" i="2" s="1"/>
  <c r="J58" i="2"/>
  <c r="K58" i="2"/>
  <c r="L58" i="2" s="1"/>
  <c r="P58" i="2" s="1"/>
  <c r="K53" i="2"/>
  <c r="L53" i="2" s="1"/>
  <c r="P53" i="2" s="1"/>
  <c r="J53" i="2"/>
  <c r="J25" i="2"/>
  <c r="K25" i="2"/>
  <c r="L25" i="2" s="1"/>
  <c r="P25" i="2" s="1"/>
  <c r="J26" i="2"/>
  <c r="K26" i="2"/>
  <c r="L26" i="2" s="1"/>
  <c r="P26" i="2" s="1"/>
  <c r="J27" i="2"/>
  <c r="K27" i="2"/>
  <c r="L27" i="2" s="1"/>
  <c r="P27" i="2" s="1"/>
  <c r="J28" i="2"/>
  <c r="K28" i="2"/>
  <c r="L28" i="2" s="1"/>
  <c r="P28" i="2" s="1"/>
  <c r="J29" i="2"/>
  <c r="K29" i="2"/>
  <c r="L29" i="2" s="1"/>
  <c r="P29" i="2" s="1"/>
  <c r="J31" i="2"/>
  <c r="K31" i="2"/>
  <c r="L31" i="2" s="1"/>
  <c r="P31" i="2" s="1"/>
  <c r="J32" i="2"/>
  <c r="K32" i="2"/>
  <c r="L32" i="2" s="1"/>
  <c r="P32" i="2" s="1"/>
  <c r="J33" i="2"/>
  <c r="K33" i="2"/>
  <c r="L33" i="2" s="1"/>
  <c r="P33" i="2" s="1"/>
  <c r="J34" i="2"/>
  <c r="K34" i="2"/>
  <c r="L34" i="2" s="1"/>
  <c r="P34" i="2" s="1"/>
  <c r="J35" i="2"/>
  <c r="K35" i="2"/>
  <c r="L35" i="2" s="1"/>
  <c r="P35" i="2" s="1"/>
  <c r="J36" i="2"/>
  <c r="K36" i="2"/>
  <c r="L36" i="2" s="1"/>
  <c r="P36" i="2" s="1"/>
  <c r="J37" i="2"/>
  <c r="K37" i="2"/>
  <c r="L37" i="2" s="1"/>
  <c r="P37" i="2" s="1"/>
  <c r="J38" i="2"/>
  <c r="K38" i="2"/>
  <c r="L38" i="2" s="1"/>
  <c r="P38" i="2" s="1"/>
  <c r="J39" i="2"/>
  <c r="K39" i="2"/>
  <c r="L39" i="2" s="1"/>
  <c r="P39" i="2" s="1"/>
  <c r="J60" i="9" s="1"/>
  <c r="J40" i="2"/>
  <c r="K40" i="2"/>
  <c r="L40" i="2" s="1"/>
  <c r="P40" i="2" s="1"/>
  <c r="J41" i="2"/>
  <c r="K41" i="2"/>
  <c r="L41" i="2" s="1"/>
  <c r="P41" i="2" s="1"/>
  <c r="J42" i="2"/>
  <c r="K42" i="2"/>
  <c r="L42" i="2" s="1"/>
  <c r="P42" i="2" s="1"/>
  <c r="J43" i="2"/>
  <c r="K43" i="2"/>
  <c r="L43" i="2" s="1"/>
  <c r="P43" i="2" s="1"/>
  <c r="J44" i="2"/>
  <c r="K44" i="2"/>
  <c r="L44" i="2" s="1"/>
  <c r="P44" i="2" s="1"/>
  <c r="J45" i="2"/>
  <c r="K45" i="2"/>
  <c r="L45" i="2" s="1"/>
  <c r="P45" i="2" s="1"/>
  <c r="J46" i="2"/>
  <c r="K46" i="2"/>
  <c r="L46" i="2" s="1"/>
  <c r="P46" i="2" s="1"/>
  <c r="K24" i="2"/>
  <c r="L24" i="2" s="1"/>
  <c r="P24" i="2" s="1"/>
  <c r="J24" i="2"/>
  <c r="C5" i="2"/>
  <c r="E5" i="2"/>
  <c r="G5" i="2"/>
  <c r="J5" i="2"/>
  <c r="K5" i="2"/>
  <c r="C6" i="2"/>
  <c r="E6" i="2"/>
  <c r="G6" i="2"/>
  <c r="J6" i="2"/>
  <c r="K6" i="2"/>
  <c r="C7" i="2"/>
  <c r="E7" i="2"/>
  <c r="F7" i="2" s="1"/>
  <c r="G7" i="2"/>
  <c r="J7" i="2"/>
  <c r="K7" i="2"/>
  <c r="C8" i="2"/>
  <c r="E8" i="2"/>
  <c r="G8" i="2"/>
  <c r="J8" i="2"/>
  <c r="K8" i="2"/>
  <c r="C9" i="2"/>
  <c r="E9" i="2"/>
  <c r="G9" i="2"/>
  <c r="J9" i="2"/>
  <c r="K9" i="2"/>
  <c r="C10" i="2"/>
  <c r="E10" i="2"/>
  <c r="G10" i="2"/>
  <c r="J10" i="2"/>
  <c r="K10" i="2"/>
  <c r="C11" i="2"/>
  <c r="E11" i="2"/>
  <c r="G11" i="2"/>
  <c r="J11" i="2"/>
  <c r="K11" i="2"/>
  <c r="C12" i="2"/>
  <c r="D12" i="2" s="1"/>
  <c r="E12" i="2"/>
  <c r="G12" i="2"/>
  <c r="J12" i="2"/>
  <c r="K12" i="2"/>
  <c r="C13" i="2"/>
  <c r="E13" i="2"/>
  <c r="G13" i="2"/>
  <c r="J13" i="2"/>
  <c r="K13" i="2"/>
  <c r="L13" i="2" s="1"/>
  <c r="P13" i="2" s="1"/>
  <c r="C14" i="2"/>
  <c r="E14" i="2"/>
  <c r="G14" i="2"/>
  <c r="J14" i="2"/>
  <c r="K14" i="2"/>
  <c r="C15" i="2"/>
  <c r="E15" i="2"/>
  <c r="G15" i="2"/>
  <c r="J15" i="2"/>
  <c r="K15" i="2"/>
  <c r="C16" i="2"/>
  <c r="E16" i="2"/>
  <c r="G16" i="2"/>
  <c r="J16" i="2"/>
  <c r="K16" i="2"/>
  <c r="L16" i="2" s="1"/>
  <c r="P16" i="2" s="1"/>
  <c r="C17" i="2"/>
  <c r="E17" i="2"/>
  <c r="G17" i="2"/>
  <c r="J17" i="2"/>
  <c r="K17" i="2"/>
  <c r="C18" i="2"/>
  <c r="E18" i="2"/>
  <c r="G18" i="2"/>
  <c r="J18" i="2"/>
  <c r="K18" i="2"/>
  <c r="C19" i="2"/>
  <c r="E19" i="2"/>
  <c r="F19" i="2" s="1"/>
  <c r="G19" i="2"/>
  <c r="J19" i="2"/>
  <c r="K19" i="2"/>
  <c r="C20" i="2"/>
  <c r="E20" i="2"/>
  <c r="G20" i="2"/>
  <c r="J20" i="2"/>
  <c r="K20" i="2"/>
  <c r="C21" i="2"/>
  <c r="E21" i="2"/>
  <c r="F21" i="2" s="1"/>
  <c r="G21" i="2"/>
  <c r="J21" i="2"/>
  <c r="K21" i="2"/>
  <c r="L21" i="2" s="1"/>
  <c r="P21" i="2" s="1"/>
  <c r="K4" i="2"/>
  <c r="G4" i="2"/>
  <c r="E4" i="2"/>
  <c r="C4" i="2"/>
  <c r="J4" i="2"/>
  <c r="C4" i="5" a="1"/>
  <c r="C4" i="5" s="1"/>
  <c r="F25" i="5"/>
  <c r="F26" i="5"/>
  <c r="F27" i="5"/>
  <c r="F28" i="5"/>
  <c r="F29" i="5"/>
  <c r="F30" i="5"/>
  <c r="F31" i="5"/>
  <c r="F32" i="5"/>
  <c r="F33" i="5"/>
  <c r="F24" i="5"/>
  <c r="C25" i="5" a="1"/>
  <c r="C25" i="5" s="1"/>
  <c r="C26" i="5" a="1"/>
  <c r="C26" i="5" s="1"/>
  <c r="C27" i="5" a="1"/>
  <c r="C27" i="5" s="1"/>
  <c r="C28" i="5" a="1"/>
  <c r="C28" i="5" s="1"/>
  <c r="C29" i="5" a="1"/>
  <c r="C29" i="5" s="1"/>
  <c r="C30" i="5" a="1"/>
  <c r="C30" i="5" s="1"/>
  <c r="C31" i="5" a="1"/>
  <c r="C31" i="5" s="1"/>
  <c r="C32" i="5" a="1"/>
  <c r="C32" i="5" s="1"/>
  <c r="C33" i="5" a="1"/>
  <c r="C33" i="5" s="1"/>
  <c r="C24" i="5" a="1"/>
  <c r="C24" i="5" s="1"/>
  <c r="C5" i="5" a="1"/>
  <c r="C5" i="5" s="1"/>
  <c r="C6" i="5" a="1"/>
  <c r="C6" i="5" s="1"/>
  <c r="C7" i="5" a="1"/>
  <c r="C7" i="5" s="1"/>
  <c r="C8" i="5" a="1"/>
  <c r="C8" i="5" s="1"/>
  <c r="C9" i="5" a="1"/>
  <c r="C9" i="5" s="1"/>
  <c r="C10" i="5" a="1"/>
  <c r="C10" i="5" s="1"/>
  <c r="C11" i="5" a="1"/>
  <c r="C11" i="5" s="1"/>
  <c r="C14" i="5" a="1"/>
  <c r="C14" i="5" s="1"/>
  <c r="C15" i="5" a="1"/>
  <c r="C15" i="5" s="1"/>
  <c r="C16" i="5" a="1"/>
  <c r="C16" i="5" s="1"/>
  <c r="C17" i="5" a="1"/>
  <c r="C17" i="5" s="1"/>
  <c r="C18" i="5" a="1"/>
  <c r="C18" i="5" s="1"/>
  <c r="C19" i="5" a="1"/>
  <c r="C19" i="5" s="1"/>
  <c r="C20" i="5" a="1"/>
  <c r="C20" i="5" s="1"/>
  <c r="R24" i="1"/>
  <c r="R21" i="1"/>
  <c r="R20" i="1"/>
  <c r="C14" i="4"/>
  <c r="C15" i="4"/>
  <c r="C11" i="4"/>
  <c r="C10" i="4"/>
  <c r="C9" i="4"/>
  <c r="C7" i="4"/>
  <c r="C8" i="4"/>
  <c r="AR156" i="6"/>
  <c r="Z36" i="3"/>
  <c r="AE141" i="6"/>
  <c r="T76" i="6"/>
  <c r="AN15" i="6"/>
  <c r="BV14" i="6"/>
  <c r="BU18" i="6"/>
  <c r="BI25" i="6"/>
  <c r="BR26" i="6"/>
  <c r="R16" i="3"/>
  <c r="W16" i="3"/>
  <c r="AA16" i="3"/>
  <c r="BI15" i="6"/>
  <c r="AD117" i="6"/>
  <c r="BU15" i="6"/>
  <c r="BU25" i="6"/>
  <c r="AE90" i="6"/>
  <c r="BK24" i="6"/>
  <c r="AD90" i="6"/>
  <c r="Y20" i="6"/>
  <c r="AZ15" i="6"/>
  <c r="T54" i="6"/>
  <c r="AD23" i="6"/>
  <c r="BL26" i="6"/>
  <c r="BP23" i="6"/>
  <c r="BK25" i="6"/>
  <c r="BM26" i="6"/>
  <c r="BI27" i="6"/>
  <c r="AN87" i="6"/>
  <c r="BL25" i="6"/>
  <c r="BL27" i="6"/>
  <c r="AL144" i="6"/>
  <c r="AL91" i="6"/>
  <c r="BO11" i="6"/>
  <c r="BW27" i="6"/>
  <c r="R18" i="3"/>
  <c r="W18" i="3"/>
  <c r="AA18" i="3"/>
  <c r="R19" i="3"/>
  <c r="W19" i="3"/>
  <c r="AA19" i="3"/>
  <c r="AN110" i="6"/>
  <c r="AT125" i="6"/>
  <c r="S125" i="6"/>
  <c r="AE125" i="6"/>
  <c r="AN125" i="6"/>
  <c r="AL86" i="6"/>
  <c r="AD28" i="6"/>
  <c r="AP133" i="6"/>
  <c r="T67" i="6"/>
  <c r="AT45" i="6"/>
  <c r="AW24" i="6"/>
  <c r="AV24" i="6"/>
  <c r="AD133" i="6"/>
  <c r="AM121" i="6"/>
  <c r="AT86" i="6"/>
  <c r="AM98" i="6"/>
  <c r="AM45" i="6"/>
  <c r="AB133" i="6"/>
  <c r="BR133" i="6" s="1"/>
  <c r="AL98" i="6"/>
  <c r="AM91" i="6"/>
  <c r="AN89" i="6"/>
  <c r="AM86" i="6"/>
  <c r="BU20" i="6"/>
  <c r="AB134" i="6"/>
  <c r="BR134" i="6" s="1"/>
  <c r="S74" i="6"/>
  <c r="Y86" i="6"/>
  <c r="T115" i="6"/>
  <c r="AL87" i="6"/>
  <c r="AM15" i="6"/>
  <c r="AM13" i="6"/>
  <c r="S11" i="6"/>
  <c r="BD14" i="6"/>
  <c r="BC25" i="6"/>
  <c r="AX26" i="6"/>
  <c r="BN23" i="6"/>
  <c r="BK26" i="6"/>
  <c r="BW26" i="6"/>
  <c r="BJ11" i="6"/>
  <c r="BF15" i="6"/>
  <c r="BL156" i="6"/>
  <c r="BK15" i="6"/>
  <c r="N29" i="1"/>
  <c r="AG62" i="6"/>
  <c r="AF101" i="6"/>
  <c r="AF132" i="6"/>
  <c r="AN141" i="6"/>
  <c r="AA141" i="6"/>
  <c r="AB141" i="6"/>
  <c r="BR141" i="6" s="1"/>
  <c r="AH145" i="6"/>
  <c r="S145" i="6"/>
  <c r="AH13" i="6"/>
  <c r="AH26" i="6"/>
  <c r="AH15" i="6"/>
  <c r="AH36" i="6"/>
  <c r="AH82" i="6"/>
  <c r="AH100" i="6"/>
  <c r="U154" i="6"/>
  <c r="AU26" i="6"/>
  <c r="AU15" i="6"/>
  <c r="AU53" i="6"/>
  <c r="AU87" i="6"/>
  <c r="AU113" i="6"/>
  <c r="AU46" i="6"/>
  <c r="AU93" i="6"/>
  <c r="AU91" i="6"/>
  <c r="AU125" i="6"/>
  <c r="AU90" i="6"/>
  <c r="AH155" i="6"/>
  <c r="X148" i="6"/>
  <c r="AI130" i="6"/>
  <c r="U130" i="6"/>
  <c r="AS14" i="6"/>
  <c r="AS4" i="6"/>
  <c r="AS26" i="6"/>
  <c r="AS15" i="6"/>
  <c r="AS23" i="6"/>
  <c r="AS25" i="6"/>
  <c r="AS91" i="6"/>
  <c r="AS101" i="6"/>
  <c r="AS122" i="6"/>
  <c r="AB6" i="6"/>
  <c r="BR6" i="6" s="1"/>
  <c r="AB27" i="6"/>
  <c r="AB14" i="6"/>
  <c r="AB25" i="6"/>
  <c r="AB39" i="6"/>
  <c r="BR39" i="6" s="1"/>
  <c r="AB28" i="6"/>
  <c r="BR28" i="6" s="1"/>
  <c r="AB86" i="6"/>
  <c r="BR86" i="6" s="1"/>
  <c r="AB67" i="6"/>
  <c r="BR67" i="6" s="1"/>
  <c r="AB101" i="6"/>
  <c r="BR101" i="6" s="1"/>
  <c r="AB110" i="6"/>
  <c r="BR110" i="6" s="1"/>
  <c r="AO154" i="6"/>
  <c r="AU144" i="6"/>
  <c r="AH121" i="6"/>
  <c r="AK117" i="6"/>
  <c r="AR25" i="6"/>
  <c r="AR86" i="6"/>
  <c r="AR67" i="6"/>
  <c r="AR65" i="6"/>
  <c r="AR87" i="6"/>
  <c r="AR117" i="6"/>
  <c r="AR93" i="6"/>
  <c r="AR74" i="6"/>
  <c r="AR91" i="6"/>
  <c r="AA14" i="6"/>
  <c r="AA26" i="6"/>
  <c r="AA15" i="6"/>
  <c r="AA25" i="6"/>
  <c r="AA49" i="6"/>
  <c r="AA86" i="6"/>
  <c r="AA101" i="6"/>
  <c r="AA117" i="6"/>
  <c r="AC149" i="6"/>
  <c r="AT144" i="6"/>
  <c r="W144" i="6"/>
  <c r="U143" i="6"/>
  <c r="AH135" i="6"/>
  <c r="AK133" i="6"/>
  <c r="W133" i="6"/>
  <c r="AK129" i="6"/>
  <c r="AJ127" i="6"/>
  <c r="AS125" i="6"/>
  <c r="AQ26" i="6"/>
  <c r="AQ65" i="6"/>
  <c r="AQ117" i="6"/>
  <c r="AQ93" i="6"/>
  <c r="Z27" i="6"/>
  <c r="Z39" i="6"/>
  <c r="Z26" i="6"/>
  <c r="Z87" i="6"/>
  <c r="Z93" i="6"/>
  <c r="Z98" i="6"/>
  <c r="Z86" i="6"/>
  <c r="Z88" i="6"/>
  <c r="W150" i="6"/>
  <c r="AB149" i="6"/>
  <c r="BR149" i="6" s="1"/>
  <c r="AB136" i="6"/>
  <c r="BR136" i="6" s="1"/>
  <c r="V133" i="6"/>
  <c r="Z121" i="6"/>
  <c r="AP28" i="6"/>
  <c r="AP101" i="6"/>
  <c r="AP74" i="6"/>
  <c r="AP90" i="6"/>
  <c r="AP98" i="6"/>
  <c r="AP86" i="6"/>
  <c r="X39" i="6"/>
  <c r="X14" i="6"/>
  <c r="X86" i="6"/>
  <c r="Z154" i="6"/>
  <c r="AK137" i="6"/>
  <c r="S134" i="6"/>
  <c r="AI133" i="6"/>
  <c r="Z130" i="6"/>
  <c r="AL130" i="6"/>
  <c r="AA130" i="6"/>
  <c r="AP125" i="6"/>
  <c r="AO26" i="6"/>
  <c r="AO23" i="6"/>
  <c r="AO15" i="6"/>
  <c r="AO25" i="6"/>
  <c r="AO28" i="6"/>
  <c r="AO14" i="6"/>
  <c r="AO98" i="6"/>
  <c r="AO125" i="6"/>
  <c r="AO81" i="6"/>
  <c r="AO87" i="6"/>
  <c r="AO62" i="6"/>
  <c r="AO117" i="6"/>
  <c r="W23" i="6"/>
  <c r="W25" i="6"/>
  <c r="W15" i="6"/>
  <c r="W26" i="6"/>
  <c r="W87" i="6"/>
  <c r="W98" i="6"/>
  <c r="W101" i="6"/>
  <c r="W99" i="6"/>
  <c r="W90" i="6"/>
  <c r="W74" i="6"/>
  <c r="W117" i="6"/>
  <c r="AS148" i="6"/>
  <c r="S148" i="6"/>
  <c r="AP144" i="6"/>
  <c r="AB144" i="6"/>
  <c r="BR144" i="6" s="1"/>
  <c r="AH133" i="6"/>
  <c r="T133" i="6"/>
  <c r="AN131" i="6"/>
  <c r="AR130" i="6"/>
  <c r="AK121" i="6"/>
  <c r="S121" i="6"/>
  <c r="T121" i="6"/>
  <c r="AA121" i="6"/>
  <c r="AP121" i="6"/>
  <c r="AB121" i="6"/>
  <c r="BR121" i="6" s="1"/>
  <c r="AR121" i="6"/>
  <c r="AD121" i="6"/>
  <c r="AU121" i="6"/>
  <c r="U121" i="6"/>
  <c r="AJ121" i="6"/>
  <c r="V121" i="6"/>
  <c r="AK26" i="6"/>
  <c r="AK24" i="6"/>
  <c r="AK27" i="6"/>
  <c r="AK39" i="6"/>
  <c r="AK67" i="6"/>
  <c r="AK45" i="6"/>
  <c r="AK86" i="6"/>
  <c r="AK62" i="6"/>
  <c r="AK125" i="6"/>
  <c r="V23" i="6"/>
  <c r="V86" i="6"/>
  <c r="V110" i="6"/>
  <c r="V87" i="6"/>
  <c r="V91" i="6"/>
  <c r="V115" i="6"/>
  <c r="AJ154" i="6"/>
  <c r="AJ151" i="6"/>
  <c r="AR148" i="6"/>
  <c r="AE148" i="6"/>
  <c r="AS138" i="6"/>
  <c r="AH138" i="6"/>
  <c r="AI137" i="6"/>
  <c r="AK136" i="6"/>
  <c r="AU133" i="6"/>
  <c r="AQ130" i="6"/>
  <c r="AT129" i="6"/>
  <c r="AO124" i="6"/>
  <c r="U124" i="6"/>
  <c r="W124" i="6"/>
  <c r="AJ15" i="6"/>
  <c r="AJ25" i="6"/>
  <c r="AJ28" i="6"/>
  <c r="AJ57" i="6"/>
  <c r="AJ98" i="6"/>
  <c r="AJ86" i="6"/>
  <c r="AJ99" i="6"/>
  <c r="AJ87" i="6"/>
  <c r="AJ93" i="6"/>
  <c r="AJ125" i="6"/>
  <c r="AJ105" i="6"/>
  <c r="AJ109" i="6"/>
  <c r="U13" i="6"/>
  <c r="U15" i="6"/>
  <c r="U21" i="6"/>
  <c r="U28" i="6"/>
  <c r="U26" i="6"/>
  <c r="U6" i="6"/>
  <c r="U16" i="6"/>
  <c r="U41" i="6"/>
  <c r="U86" i="6"/>
  <c r="U98" i="6"/>
  <c r="U45" i="6"/>
  <c r="U94" i="6"/>
  <c r="U125" i="6"/>
  <c r="U107" i="6"/>
  <c r="U62" i="6"/>
  <c r="U100" i="6"/>
  <c r="U113" i="6"/>
  <c r="Z148" i="6"/>
  <c r="Z144" i="6"/>
  <c r="AH137" i="6"/>
  <c r="AR134" i="6"/>
  <c r="U109" i="6"/>
  <c r="AI18" i="6"/>
  <c r="AI15" i="6"/>
  <c r="AI21" i="6"/>
  <c r="AI25" i="6"/>
  <c r="AI14" i="6"/>
  <c r="AI51" i="6"/>
  <c r="AI87" i="6"/>
  <c r="AI49" i="6"/>
  <c r="AI86" i="6"/>
  <c r="AI98" i="6"/>
  <c r="AI101" i="6"/>
  <c r="AI110" i="6"/>
  <c r="AI91" i="6"/>
  <c r="AI90" i="6"/>
  <c r="AI125" i="6"/>
  <c r="AI105" i="6"/>
  <c r="AI93" i="6"/>
  <c r="AI109" i="6"/>
  <c r="AI115" i="6"/>
  <c r="AI118" i="6"/>
  <c r="AI123" i="6"/>
  <c r="V154" i="6"/>
  <c r="AD153" i="6"/>
  <c r="AM142" i="6"/>
  <c r="AQ138" i="6"/>
  <c r="AO134" i="6"/>
  <c r="AS133" i="6"/>
  <c r="Z133" i="6"/>
  <c r="AL133" i="6"/>
  <c r="AA133" i="6"/>
  <c r="AM133" i="6"/>
  <c r="AD123" i="6"/>
  <c r="AN118" i="6"/>
  <c r="AJ120" i="6"/>
  <c r="T120" i="6"/>
  <c r="Y106" i="6"/>
  <c r="AK106" i="6"/>
  <c r="AE106" i="6"/>
  <c r="AI106" i="6"/>
  <c r="AL106" i="6"/>
  <c r="X106" i="6"/>
  <c r="AM106" i="6"/>
  <c r="Z106" i="6"/>
  <c r="AN106" i="6"/>
  <c r="AA106" i="6"/>
  <c r="AP106" i="6"/>
  <c r="AD106" i="6"/>
  <c r="T106" i="6"/>
  <c r="Y118" i="6"/>
  <c r="W118" i="6"/>
  <c r="AJ118" i="6"/>
  <c r="AM118" i="6"/>
  <c r="AF43" i="6"/>
  <c r="AM120" i="6"/>
  <c r="AN123" i="6"/>
  <c r="V109" i="6"/>
  <c r="AD118" i="6"/>
  <c r="AR120" i="6"/>
  <c r="Y109" i="6"/>
  <c r="AK109" i="6"/>
  <c r="S109" i="6"/>
  <c r="AE109" i="6"/>
  <c r="AQ109" i="6"/>
  <c r="X109" i="6"/>
  <c r="AM109" i="6"/>
  <c r="AN109" i="6"/>
  <c r="AA109" i="6"/>
  <c r="AO109" i="6"/>
  <c r="AB109" i="6"/>
  <c r="BR109" i="6" s="1"/>
  <c r="AP109" i="6"/>
  <c r="AR109" i="6"/>
  <c r="AD109" i="6"/>
  <c r="AS109" i="6"/>
  <c r="AU109" i="6"/>
  <c r="T109" i="6"/>
  <c r="AH109" i="6"/>
  <c r="AL109" i="6"/>
  <c r="AK123" i="6"/>
  <c r="AK105" i="6"/>
  <c r="W105" i="6"/>
  <c r="AA100" i="6"/>
  <c r="U87" i="6"/>
  <c r="T78" i="6"/>
  <c r="U78" i="6"/>
  <c r="AI78" i="6"/>
  <c r="AJ78" i="6"/>
  <c r="AL78" i="6"/>
  <c r="AA78" i="6"/>
  <c r="AM78" i="6"/>
  <c r="AS102" i="6"/>
  <c r="U93" i="6"/>
  <c r="AJ76" i="6"/>
  <c r="AS76" i="6"/>
  <c r="AL76" i="6"/>
  <c r="AM76" i="6"/>
  <c r="AB76" i="6"/>
  <c r="BR76" i="6" s="1"/>
  <c r="AO76" i="6"/>
  <c r="AH105" i="6"/>
  <c r="S105" i="6"/>
  <c r="AK96" i="6"/>
  <c r="AJ112" i="6"/>
  <c r="AF105" i="6"/>
  <c r="U105" i="6"/>
  <c r="AM105" i="6"/>
  <c r="AR105" i="6"/>
  <c r="AD105" i="6"/>
  <c r="AE78" i="6"/>
  <c r="AN76" i="6"/>
  <c r="AQ105" i="6"/>
  <c r="AU100" i="6"/>
  <c r="Y112" i="6"/>
  <c r="S112" i="6"/>
  <c r="AQ112" i="6"/>
  <c r="AM108" i="6"/>
  <c r="S100" i="6"/>
  <c r="AE100" i="6"/>
  <c r="AQ100" i="6"/>
  <c r="U81" i="6"/>
  <c r="AB78" i="6"/>
  <c r="BR78" i="6" s="1"/>
  <c r="AE76" i="6"/>
  <c r="AS112" i="6"/>
  <c r="AR108" i="6"/>
  <c r="AO105" i="6"/>
  <c r="AD100" i="6"/>
  <c r="V78" i="6"/>
  <c r="AD76" i="6"/>
  <c r="T69" i="6"/>
  <c r="AM69" i="6"/>
  <c r="X69" i="6"/>
  <c r="AA69" i="6"/>
  <c r="AS69" i="6"/>
  <c r="AS117" i="6"/>
  <c r="AK115" i="6"/>
  <c r="AR112" i="6"/>
  <c r="AU111" i="6"/>
  <c r="AU99" i="6"/>
  <c r="AN96" i="6"/>
  <c r="U90" i="6"/>
  <c r="S78" i="6"/>
  <c r="AC76" i="6"/>
  <c r="AP112" i="6"/>
  <c r="AB112" i="6"/>
  <c r="BR112" i="6" s="1"/>
  <c r="AM111" i="6"/>
  <c r="AB108" i="6"/>
  <c r="BR108" i="6" s="1"/>
  <c r="AL105" i="6"/>
  <c r="X105" i="6"/>
  <c r="AE103" i="6"/>
  <c r="AI102" i="6"/>
  <c r="AA99" i="6"/>
  <c r="AS56" i="6"/>
  <c r="V53" i="6"/>
  <c r="Y53" i="6"/>
  <c r="AN53" i="6"/>
  <c r="AS53" i="6"/>
  <c r="W52" i="6"/>
  <c r="V34" i="6"/>
  <c r="T34" i="6"/>
  <c r="AS34" i="6"/>
  <c r="U34" i="6"/>
  <c r="AH34" i="6"/>
  <c r="AT34" i="6"/>
  <c r="W34" i="6"/>
  <c r="AA34" i="6"/>
  <c r="AM34" i="6"/>
  <c r="S34" i="6"/>
  <c r="AN34" i="6"/>
  <c r="X34" i="6"/>
  <c r="AO34" i="6"/>
  <c r="Y34" i="6"/>
  <c r="AP34" i="6"/>
  <c r="Z34" i="6"/>
  <c r="AQ34" i="6"/>
  <c r="AD34" i="6"/>
  <c r="AE34" i="6"/>
  <c r="AF34" i="6"/>
  <c r="AJ34" i="6"/>
  <c r="AK34" i="6"/>
  <c r="AL34" i="6"/>
  <c r="AP70" i="6"/>
  <c r="V62" i="6"/>
  <c r="AH62" i="6"/>
  <c r="AT62" i="6"/>
  <c r="X62" i="6"/>
  <c r="AJ62" i="6"/>
  <c r="W62" i="6"/>
  <c r="AL62" i="6"/>
  <c r="Y62" i="6"/>
  <c r="AM62" i="6"/>
  <c r="Z62" i="6"/>
  <c r="AN62" i="6"/>
  <c r="AB62" i="6"/>
  <c r="BR62" i="6" s="1"/>
  <c r="AP62" i="6"/>
  <c r="AF58" i="6"/>
  <c r="V58" i="6"/>
  <c r="AN58" i="6"/>
  <c r="AU55" i="6"/>
  <c r="U55" i="6"/>
  <c r="AU52" i="6"/>
  <c r="V43" i="6"/>
  <c r="AT43" i="6"/>
  <c r="T43" i="6"/>
  <c r="AJ43" i="6"/>
  <c r="W43" i="6"/>
  <c r="AK43" i="6"/>
  <c r="Z43" i="6"/>
  <c r="AU43" i="6"/>
  <c r="AC43" i="6"/>
  <c r="AU75" i="6"/>
  <c r="AH75" i="6"/>
  <c r="AL74" i="6"/>
  <c r="AL72" i="6"/>
  <c r="AK72" i="6"/>
  <c r="AO67" i="6"/>
  <c r="AN66" i="6"/>
  <c r="U66" i="6"/>
  <c r="AS55" i="6"/>
  <c r="AN55" i="6"/>
  <c r="X55" i="6"/>
  <c r="AM55" i="6"/>
  <c r="Y55" i="6"/>
  <c r="AO55" i="6"/>
  <c r="Z55" i="6"/>
  <c r="AT55" i="6"/>
  <c r="T52" i="6"/>
  <c r="AR52" i="6"/>
  <c r="X52" i="6"/>
  <c r="AM52" i="6"/>
  <c r="AO52" i="6"/>
  <c r="AM93" i="6"/>
  <c r="AQ91" i="6"/>
  <c r="AE91" i="6"/>
  <c r="S91" i="6"/>
  <c r="AM90" i="6"/>
  <c r="AM87" i="6"/>
  <c r="AA87" i="6"/>
  <c r="AQ82" i="6"/>
  <c r="S82" i="6"/>
  <c r="AM81" i="6"/>
  <c r="AA81" i="6"/>
  <c r="AE75" i="6"/>
  <c r="AC72" i="6"/>
  <c r="AE70" i="6"/>
  <c r="W63" i="6"/>
  <c r="AF62" i="6"/>
  <c r="Z59" i="6"/>
  <c r="U57" i="6"/>
  <c r="AK52" i="6"/>
  <c r="Z45" i="6"/>
  <c r="T75" i="6"/>
  <c r="AF75" i="6"/>
  <c r="AR75" i="6"/>
  <c r="AT70" i="6"/>
  <c r="Z66" i="6"/>
  <c r="AL66" i="6"/>
  <c r="T66" i="6"/>
  <c r="V66" i="6"/>
  <c r="AE62" i="6"/>
  <c r="AJ52" i="6"/>
  <c r="Y90" i="6"/>
  <c r="AK87" i="6"/>
  <c r="Y87" i="6"/>
  <c r="AK81" i="6"/>
  <c r="Y81" i="6"/>
  <c r="AR77" i="6"/>
  <c r="AA72" i="6"/>
  <c r="AP63" i="6"/>
  <c r="AI55" i="6"/>
  <c r="AB53" i="6"/>
  <c r="BR53" i="6" s="1"/>
  <c r="AB77" i="6"/>
  <c r="AR70" i="6"/>
  <c r="Z70" i="6"/>
  <c r="AP67" i="6"/>
  <c r="S67" i="6"/>
  <c r="Z63" i="6"/>
  <c r="AH63" i="6"/>
  <c r="AM63" i="6"/>
  <c r="AD61" i="6"/>
  <c r="AD45" i="6"/>
  <c r="AP45" i="6"/>
  <c r="W45" i="6"/>
  <c r="AI45" i="6"/>
  <c r="AU45" i="6"/>
  <c r="AA45" i="6"/>
  <c r="AO45" i="6"/>
  <c r="AB45" i="6"/>
  <c r="BR45" i="6" s="1"/>
  <c r="AQ45" i="6"/>
  <c r="AR45" i="6"/>
  <c r="AE45" i="6"/>
  <c r="S45" i="6"/>
  <c r="V45" i="6"/>
  <c r="X45" i="6"/>
  <c r="Y45" i="6"/>
  <c r="AF45" i="6"/>
  <c r="AH45" i="6"/>
  <c r="AJ45" i="6"/>
  <c r="AT74" i="6"/>
  <c r="Z74" i="6"/>
  <c r="AM74" i="6"/>
  <c r="X70" i="6"/>
  <c r="AD66" i="6"/>
  <c r="AU62" i="6"/>
  <c r="AA62" i="6"/>
  <c r="AB57" i="6"/>
  <c r="BR57" i="6" s="1"/>
  <c r="W57" i="6"/>
  <c r="AM57" i="6"/>
  <c r="AP57" i="6"/>
  <c r="AN54" i="6"/>
  <c r="U53" i="6"/>
  <c r="AQ51" i="6"/>
  <c r="AK38" i="6"/>
  <c r="Z38" i="6"/>
  <c r="AL38" i="6"/>
  <c r="AA38" i="6"/>
  <c r="AM38" i="6"/>
  <c r="S38" i="6"/>
  <c r="T38" i="6"/>
  <c r="AO38" i="6"/>
  <c r="W38" i="6"/>
  <c r="AP38" i="6"/>
  <c r="AB38" i="6"/>
  <c r="BR38" i="6" s="1"/>
  <c r="AS38" i="6"/>
  <c r="AF38" i="6"/>
  <c r="AI38" i="6"/>
  <c r="AS93" i="6"/>
  <c r="AS90" i="6"/>
  <c r="AK88" i="6"/>
  <c r="AS87" i="6"/>
  <c r="AS81" i="6"/>
  <c r="Z77" i="6"/>
  <c r="AQ74" i="6"/>
  <c r="AR66" i="6"/>
  <c r="AB66" i="6"/>
  <c r="BR66" i="6" s="1"/>
  <c r="T62" i="6"/>
  <c r="AK59" i="6"/>
  <c r="AA55" i="6"/>
  <c r="AQ53" i="6"/>
  <c r="AA52" i="6"/>
  <c r="AJ50" i="6"/>
  <c r="Y50" i="6"/>
  <c r="AO43" i="6"/>
  <c r="AI42" i="6"/>
  <c r="AM41" i="6"/>
  <c r="S41" i="6"/>
  <c r="AE41" i="6"/>
  <c r="AQ41" i="6"/>
  <c r="V41" i="6"/>
  <c r="X41" i="6"/>
  <c r="AO41" i="6"/>
  <c r="AP41" i="6"/>
  <c r="V65" i="6"/>
  <c r="AT65" i="6"/>
  <c r="AR41" i="6"/>
  <c r="AH40" i="6"/>
  <c r="AM40" i="6"/>
  <c r="AO40" i="6"/>
  <c r="AI8" i="6"/>
  <c r="AI41" i="6"/>
  <c r="T64" i="6"/>
  <c r="AH41" i="6"/>
  <c r="AA46" i="6"/>
  <c r="Z46" i="6"/>
  <c r="AP46" i="6"/>
  <c r="V49" i="6"/>
  <c r="Y35" i="6"/>
  <c r="AL35" i="6"/>
  <c r="AQ35" i="6"/>
  <c r="AF35" i="6"/>
  <c r="AM29" i="6"/>
  <c r="AU37" i="6"/>
  <c r="X35" i="6"/>
  <c r="AU39" i="6"/>
  <c r="W39" i="6"/>
  <c r="AE6" i="6"/>
  <c r="W6" i="6"/>
  <c r="AU6" i="6"/>
  <c r="Y6" i="6"/>
  <c r="AK6" i="6"/>
  <c r="R6" i="6"/>
  <c r="AU5" i="6"/>
  <c r="AY9" i="6"/>
  <c r="S39" i="6"/>
  <c r="AE36" i="6"/>
  <c r="S36" i="6"/>
  <c r="AU30" i="6"/>
  <c r="AD5" i="6"/>
  <c r="S5" i="6"/>
  <c r="AF5" i="6"/>
  <c r="AS5" i="6"/>
  <c r="Z5" i="6"/>
  <c r="AL5" i="6"/>
  <c r="T9" i="6"/>
  <c r="AP39" i="6"/>
  <c r="AN5" i="6"/>
  <c r="BS15" i="6"/>
  <c r="BG15" i="6"/>
  <c r="Z15" i="6"/>
  <c r="AL15" i="6"/>
  <c r="BQ15" i="6"/>
  <c r="BE15" i="6"/>
  <c r="BP15" i="6"/>
  <c r="BD15" i="6"/>
  <c r="BO15" i="6"/>
  <c r="BC15" i="6"/>
  <c r="AD15" i="6"/>
  <c r="AP15" i="6"/>
  <c r="BN15" i="6"/>
  <c r="BB15" i="6"/>
  <c r="S15" i="6"/>
  <c r="AE15" i="6"/>
  <c r="AQ15" i="6"/>
  <c r="BM15" i="6"/>
  <c r="BA15" i="6"/>
  <c r="T15" i="6"/>
  <c r="AF15" i="6"/>
  <c r="AR15" i="6"/>
  <c r="BV15" i="6"/>
  <c r="BJ15" i="6"/>
  <c r="AX15" i="6"/>
  <c r="BT15" i="6"/>
  <c r="BH15" i="6"/>
  <c r="AV15" i="6"/>
  <c r="Y15" i="6"/>
  <c r="AK15" i="6"/>
  <c r="AI5" i="6"/>
  <c r="S21" i="6"/>
  <c r="AP16" i="6"/>
  <c r="BA14" i="6"/>
  <c r="AX17" i="6"/>
  <c r="BJ17" i="6"/>
  <c r="BH27" i="6"/>
  <c r="BT27" i="6"/>
  <c r="BO156" i="6"/>
  <c r="BD21" i="6"/>
  <c r="BP21" i="6"/>
  <c r="AX27" i="6"/>
  <c r="BJ27" i="6"/>
  <c r="BV27" i="6"/>
  <c r="Y16" i="6"/>
  <c r="BF14" i="6"/>
  <c r="BR14" i="6"/>
  <c r="BO17" i="6"/>
  <c r="BM27" i="6"/>
  <c r="AK21" i="6"/>
  <c r="Y21" i="6"/>
  <c r="BG14" i="6"/>
  <c r="BS14" i="6"/>
  <c r="BI16" i="6"/>
  <c r="AV21" i="6"/>
  <c r="BH21" i="6"/>
  <c r="BB27" i="6"/>
  <c r="BN27" i="6"/>
  <c r="AV14" i="6"/>
  <c r="BJ16" i="6"/>
  <c r="BC27" i="6"/>
  <c r="BO27" i="6"/>
  <c r="BJ156" i="6"/>
  <c r="BW16" i="6"/>
  <c r="BR17" i="6"/>
  <c r="BV21" i="6"/>
  <c r="BP27" i="6"/>
  <c r="BW156" i="6"/>
  <c r="AY21" i="6"/>
  <c r="BW21" i="6"/>
  <c r="BE27" i="6"/>
  <c r="BQ27" i="6"/>
  <c r="BF27" i="6"/>
  <c r="BR27" i="6"/>
  <c r="BA21" i="6"/>
  <c r="BG27" i="6"/>
  <c r="X18" i="3"/>
  <c r="X17" i="3"/>
  <c r="X19" i="3"/>
  <c r="X16" i="3"/>
  <c r="X20" i="3"/>
  <c r="AQ97" i="6"/>
  <c r="AN97" i="6"/>
  <c r="S97" i="6"/>
  <c r="AJ9" i="6"/>
  <c r="BS9" i="6"/>
  <c r="AF9" i="6"/>
  <c r="AJ13" i="6"/>
  <c r="W13" i="6"/>
  <c r="AA24" i="6"/>
  <c r="AB13" i="6"/>
  <c r="AL24" i="6"/>
  <c r="S142" i="6"/>
  <c r="AH142" i="6"/>
  <c r="AU142" i="6"/>
  <c r="T142" i="6"/>
  <c r="AK153" i="6"/>
  <c r="AJ153" i="6"/>
  <c r="S153" i="6"/>
  <c r="U153" i="6"/>
  <c r="AM153" i="6"/>
  <c r="AJ60" i="6"/>
  <c r="S20" i="6"/>
  <c r="AV20" i="6"/>
  <c r="BQ20" i="6"/>
  <c r="AE20" i="6"/>
  <c r="T20" i="6"/>
  <c r="BL20" i="6"/>
  <c r="BD20" i="6"/>
  <c r="BS20" i="6"/>
  <c r="AU20" i="6"/>
  <c r="AL20" i="6"/>
  <c r="AV19" i="6"/>
  <c r="AD107" i="6"/>
  <c r="S107" i="6"/>
  <c r="AL107" i="6"/>
  <c r="AS107" i="6"/>
  <c r="Y107" i="6"/>
  <c r="W107" i="6"/>
  <c r="AA142" i="6"/>
  <c r="AI107" i="6"/>
  <c r="AJ142" i="6"/>
  <c r="Z107" i="6"/>
  <c r="AU97" i="6"/>
  <c r="AT20" i="6"/>
  <c r="AT142" i="6"/>
  <c r="D5" i="2"/>
  <c r="U129" i="6"/>
  <c r="AS129" i="6"/>
  <c r="W129" i="6"/>
  <c r="AI129" i="6"/>
  <c r="AC129" i="6"/>
  <c r="AP129" i="6"/>
  <c r="AU129" i="6"/>
  <c r="AM129" i="6"/>
  <c r="AH117" i="6"/>
  <c r="AB117" i="6"/>
  <c r="BR117" i="6" s="1"/>
  <c r="AN117" i="6"/>
  <c r="AC117" i="6"/>
  <c r="AM117" i="6"/>
  <c r="T117" i="6"/>
  <c r="AE105" i="6"/>
  <c r="Y105" i="6"/>
  <c r="AN105" i="6"/>
  <c r="AU105" i="6"/>
  <c r="S95" i="6"/>
  <c r="AU95" i="6"/>
  <c r="AA95" i="6"/>
  <c r="U95" i="6"/>
  <c r="AU71" i="6"/>
  <c r="AN59" i="6"/>
  <c r="X59" i="6"/>
  <c r="AT59" i="6"/>
  <c r="AK36" i="6"/>
  <c r="AS36" i="6"/>
  <c r="BD9" i="6"/>
  <c r="AE9" i="6"/>
  <c r="AW9" i="6"/>
  <c r="AF73" i="6"/>
  <c r="Z142" i="6"/>
  <c r="AA85" i="6"/>
  <c r="BM20" i="6"/>
  <c r="BA24" i="6"/>
  <c r="AS151" i="6"/>
  <c r="AA151" i="6"/>
  <c r="U139" i="6"/>
  <c r="AH139" i="6"/>
  <c r="AD139" i="6"/>
  <c r="AU139" i="6"/>
  <c r="Y94" i="6"/>
  <c r="T82" i="6"/>
  <c r="AJ82" i="6"/>
  <c r="AG82" i="6"/>
  <c r="AK82" i="6"/>
  <c r="Y82" i="6"/>
  <c r="AU82" i="6"/>
  <c r="AH70" i="6"/>
  <c r="Y70" i="6"/>
  <c r="AS70" i="6"/>
  <c r="AL70" i="6"/>
  <c r="AB70" i="6"/>
  <c r="BR70" i="6" s="1"/>
  <c r="U70" i="6"/>
  <c r="AZ9" i="6"/>
  <c r="AM9" i="6"/>
  <c r="BP9" i="6"/>
  <c r="BJ9" i="6"/>
  <c r="AV9" i="6"/>
  <c r="BE9" i="6"/>
  <c r="AA9" i="6"/>
  <c r="AD9" i="6"/>
  <c r="BQ9" i="6"/>
  <c r="W9" i="6"/>
  <c r="AK9" i="6"/>
  <c r="AH9" i="6"/>
  <c r="AQ9" i="6"/>
  <c r="BI9" i="6"/>
  <c r="S73" i="6"/>
  <c r="AI20" i="6"/>
  <c r="AJ97" i="6"/>
  <c r="AO20" i="6"/>
  <c r="AH24" i="6"/>
  <c r="AN107" i="6"/>
  <c r="BB20" i="6"/>
  <c r="AK150" i="6"/>
  <c r="U150" i="6"/>
  <c r="AD150" i="6"/>
  <c r="Y150" i="6"/>
  <c r="AI150" i="6"/>
  <c r="AD119" i="6"/>
  <c r="AP119" i="6"/>
  <c r="AM20" i="6"/>
  <c r="BN13" i="6"/>
  <c r="BS13" i="6"/>
  <c r="AV13" i="6"/>
  <c r="BJ13" i="6"/>
  <c r="BH13" i="6"/>
  <c r="AP13" i="6"/>
  <c r="AR13" i="6"/>
  <c r="AO13" i="6"/>
  <c r="AM24" i="6"/>
  <c r="BV24" i="6"/>
  <c r="BU24" i="6"/>
  <c r="T24" i="6"/>
  <c r="BP24" i="6"/>
  <c r="AE24" i="6"/>
  <c r="Y24" i="6"/>
  <c r="BB24" i="6"/>
  <c r="BS24" i="6"/>
  <c r="BC24" i="6"/>
  <c r="U24" i="6"/>
  <c r="AD24" i="6"/>
  <c r="AX24" i="6"/>
  <c r="AI24" i="6"/>
  <c r="BN24" i="6"/>
  <c r="S24" i="6"/>
  <c r="BI24" i="6"/>
  <c r="AF61" i="6"/>
  <c r="S9" i="6"/>
  <c r="AP20" i="6"/>
  <c r="AR73" i="6"/>
  <c r="AB119" i="6"/>
  <c r="BR119" i="6" s="1"/>
  <c r="AL119" i="6"/>
  <c r="BG19" i="6"/>
  <c r="BM19" i="6"/>
  <c r="W19" i="6"/>
  <c r="R19" i="6"/>
  <c r="Z85" i="6"/>
  <c r="AK85" i="6"/>
  <c r="AB73" i="6"/>
  <c r="BR73" i="6" s="1"/>
  <c r="BI19" i="6"/>
  <c r="BN20" i="6"/>
  <c r="AB19" i="6"/>
  <c r="AL153" i="6"/>
  <c r="AE142" i="6"/>
  <c r="AI9" i="6"/>
  <c r="U85" i="6"/>
  <c r="U73" i="6"/>
  <c r="AK13" i="6"/>
  <c r="AP107" i="6"/>
  <c r="AI153" i="6"/>
  <c r="AN142" i="6"/>
  <c r="AB24" i="6"/>
  <c r="AS20" i="6"/>
  <c r="AB153" i="6"/>
  <c r="BR153" i="6" s="1"/>
  <c r="BE24" i="6"/>
  <c r="Z129" i="6"/>
  <c r="BM9" i="6"/>
  <c r="AQ61" i="6"/>
  <c r="W20" i="6"/>
  <c r="Z153" i="6"/>
  <c r="AR142" i="6"/>
  <c r="AT119" i="6"/>
  <c r="AU9" i="6"/>
  <c r="Z9" i="6"/>
  <c r="BV9" i="6"/>
  <c r="T153" i="6"/>
  <c r="AU153" i="6"/>
  <c r="BJ24" i="6"/>
  <c r="AY24" i="6"/>
  <c r="BR20" i="6"/>
  <c r="BL24" i="6"/>
  <c r="BO13" i="6"/>
  <c r="AL53" i="6"/>
  <c r="AK53" i="6"/>
  <c r="AO53" i="6"/>
  <c r="AE53" i="6"/>
  <c r="AF53" i="6"/>
  <c r="AP53" i="6"/>
  <c r="T53" i="6"/>
  <c r="AA53" i="6"/>
  <c r="AM53" i="6"/>
  <c r="AA119" i="6"/>
  <c r="AX20" i="6"/>
  <c r="AS9" i="6"/>
  <c r="BN9" i="6"/>
  <c r="BC9" i="6"/>
  <c r="BG9" i="6"/>
  <c r="AR9" i="6"/>
  <c r="AK61" i="6"/>
  <c r="W61" i="6"/>
  <c r="X153" i="6"/>
  <c r="AA20" i="6"/>
  <c r="AE153" i="6"/>
  <c r="BR24" i="6"/>
  <c r="AU57" i="6"/>
  <c r="AS57" i="6"/>
  <c r="AK57" i="6"/>
  <c r="AU21" i="6"/>
  <c r="AL103" i="6"/>
  <c r="AM103" i="6"/>
  <c r="AA103" i="6"/>
  <c r="T45" i="6"/>
  <c r="AL45" i="6"/>
  <c r="AN148" i="6"/>
  <c r="AO148" i="6"/>
  <c r="AK148" i="6"/>
  <c r="AJ148" i="6"/>
  <c r="U148" i="6"/>
  <c r="T148" i="6"/>
  <c r="AL148" i="6"/>
  <c r="AD125" i="6"/>
  <c r="AF125" i="6"/>
  <c r="AM125" i="6"/>
  <c r="W125" i="6"/>
  <c r="AQ125" i="6"/>
  <c r="V125" i="6"/>
  <c r="AT113" i="6"/>
  <c r="Y113" i="6"/>
  <c r="S113" i="6"/>
  <c r="AN113" i="6"/>
  <c r="Z113" i="6"/>
  <c r="AE113" i="6"/>
  <c r="AJ113" i="6"/>
  <c r="S79" i="6"/>
  <c r="AT79" i="6"/>
  <c r="Y79" i="6"/>
  <c r="AN79" i="6"/>
  <c r="AS79" i="6"/>
  <c r="AB79" i="6"/>
  <c r="BR79" i="6" s="1"/>
  <c r="AO79" i="6"/>
  <c r="W67" i="6"/>
  <c r="T21" i="6"/>
  <c r="AZ12" i="6"/>
  <c r="AV12" i="6"/>
  <c r="AT12" i="6"/>
  <c r="AC23" i="6"/>
  <c r="BH23" i="6"/>
  <c r="BU23" i="6"/>
  <c r="AN23" i="6"/>
  <c r="BO23" i="6"/>
  <c r="BM23" i="6"/>
  <c r="BJ23" i="6"/>
  <c r="D20" i="2"/>
  <c r="AI145" i="6"/>
  <c r="AC145" i="6"/>
  <c r="AL122" i="6"/>
  <c r="AN122" i="6"/>
  <c r="AM110" i="6"/>
  <c r="AR99" i="6"/>
  <c r="AQ29" i="6"/>
  <c r="AB46" i="6"/>
  <c r="BR46" i="6" s="1"/>
  <c r="AD64" i="6"/>
  <c r="AE88" i="6"/>
  <c r="AU34" i="6"/>
  <c r="AI76" i="6"/>
  <c r="Z79" i="6"/>
  <c r="Z23" i="6"/>
  <c r="AD91" i="6"/>
  <c r="T122" i="6"/>
  <c r="T144" i="6"/>
  <c r="U144" i="6"/>
  <c r="AI144" i="6"/>
  <c r="AH144" i="6"/>
  <c r="AS121" i="6"/>
  <c r="AN121" i="6"/>
  <c r="S87" i="6"/>
  <c r="AH87" i="6"/>
  <c r="AP87" i="6"/>
  <c r="AD75" i="6"/>
  <c r="Z7" i="6"/>
  <c r="AM7" i="6"/>
  <c r="AS16" i="6"/>
  <c r="BS27" i="6"/>
  <c r="AP27" i="6"/>
  <c r="S27" i="6"/>
  <c r="AW27" i="6"/>
  <c r="BK27" i="6"/>
  <c r="AM27" i="6"/>
  <c r="AE27" i="6"/>
  <c r="AZ27" i="6"/>
  <c r="T41" i="6"/>
  <c r="AB41" i="6"/>
  <c r="BR41" i="6" s="1"/>
  <c r="BN21" i="6"/>
  <c r="Y29" i="6"/>
  <c r="AR57" i="6"/>
  <c r="X57" i="6"/>
  <c r="AP52" i="6"/>
  <c r="AR34" i="6"/>
  <c r="X102" i="6"/>
  <c r="Z102" i="6"/>
  <c r="W79" i="6"/>
  <c r="X91" i="6"/>
  <c r="AA125" i="6"/>
  <c r="AB125" i="6"/>
  <c r="BR125" i="6" s="1"/>
  <c r="AA148" i="6"/>
  <c r="BQ23" i="6"/>
  <c r="BT21" i="6"/>
  <c r="BB21" i="6"/>
  <c r="AQ21" i="6"/>
  <c r="W41" i="6"/>
  <c r="AU41" i="6"/>
  <c r="AD57" i="6"/>
  <c r="AF67" i="6"/>
  <c r="AI52" i="6"/>
  <c r="V67" i="6"/>
  <c r="AQ88" i="6"/>
  <c r="AD52" i="6"/>
  <c r="AB34" i="6"/>
  <c r="BR34" i="6" s="1"/>
  <c r="AL102" i="6"/>
  <c r="V76" i="6"/>
  <c r="W109" i="6"/>
  <c r="Z109" i="6"/>
  <c r="Y144" i="6"/>
  <c r="Z155" i="6"/>
  <c r="U27" i="6"/>
  <c r="AA144" i="6"/>
  <c r="AI121" i="6"/>
  <c r="W91" i="6"/>
  <c r="AO91" i="6"/>
  <c r="AR125" i="6"/>
  <c r="AB87" i="6"/>
  <c r="BR87" i="6" s="1"/>
  <c r="BT23" i="6"/>
  <c r="BL16" i="6"/>
  <c r="T113" i="6"/>
  <c r="AK144" i="6"/>
  <c r="Y125" i="6"/>
  <c r="AM75" i="6"/>
  <c r="BK23" i="6"/>
  <c r="AT27" i="6"/>
  <c r="R14" i="3"/>
  <c r="W14" i="3" s="1"/>
  <c r="AA14" i="3" s="1"/>
  <c r="Z11" i="6"/>
  <c r="BK11" i="6"/>
  <c r="AE11" i="6"/>
  <c r="AP154" i="6"/>
  <c r="AA154" i="6"/>
  <c r="T131" i="6"/>
  <c r="U131" i="6"/>
  <c r="AT131" i="6"/>
  <c r="T86" i="6"/>
  <c r="AN86" i="6"/>
  <c r="AH86" i="6"/>
  <c r="AU86" i="6"/>
  <c r="AS86" i="6"/>
  <c r="AR28" i="6"/>
  <c r="AM28" i="6"/>
  <c r="AT15" i="6"/>
  <c r="AB15" i="6"/>
  <c r="BL15" i="6"/>
  <c r="AE26" i="6"/>
  <c r="AL26" i="6"/>
  <c r="BQ26" i="6"/>
  <c r="AC26" i="6"/>
  <c r="AV26" i="6"/>
  <c r="BV26" i="6"/>
  <c r="AB26" i="6"/>
  <c r="T26" i="6"/>
  <c r="AN74" i="6"/>
  <c r="AI131" i="6"/>
  <c r="BH26" i="6"/>
  <c r="Y130" i="6"/>
  <c r="T130" i="6"/>
  <c r="Z96" i="6"/>
  <c r="AR84" i="6"/>
  <c r="AQ84" i="6"/>
  <c r="AM6" i="6"/>
  <c r="D34" i="2"/>
  <c r="AO157" i="6"/>
  <c r="AB95" i="6"/>
  <c r="BR95" i="6" s="1"/>
  <c r="AU101" i="6"/>
  <c r="AL13" i="6"/>
  <c r="BQ18" i="6"/>
  <c r="W155" i="6"/>
  <c r="AN149" i="6"/>
  <c r="AL143" i="6"/>
  <c r="F17" i="2"/>
  <c r="D75" i="2"/>
  <c r="T27" i="6"/>
  <c r="AN13" i="6"/>
  <c r="AM59" i="6"/>
  <c r="AD13" i="6"/>
  <c r="AT112" i="6"/>
  <c r="AQ8" i="6"/>
  <c r="AH59" i="6"/>
  <c r="U63" i="6"/>
  <c r="AH58" i="6"/>
  <c r="AB59" i="6"/>
  <c r="BR59" i="6" s="1"/>
  <c r="AP100" i="6"/>
  <c r="AS100" i="6"/>
  <c r="Z76" i="6"/>
  <c r="AA112" i="6"/>
  <c r="AB118" i="6"/>
  <c r="BR118" i="6" s="1"/>
  <c r="AA143" i="6"/>
  <c r="AI100" i="6"/>
  <c r="U101" i="6"/>
  <c r="AJ100" i="6"/>
  <c r="AB124" i="6"/>
  <c r="BR124" i="6" s="1"/>
  <c r="V75" i="6"/>
  <c r="AK119" i="6"/>
  <c r="AR118" i="6"/>
  <c r="AB131" i="6"/>
  <c r="BR131" i="6" s="1"/>
  <c r="AR64" i="6"/>
  <c r="W148" i="6"/>
  <c r="S131" i="6"/>
  <c r="AU83" i="6"/>
  <c r="AB148" i="6"/>
  <c r="BR148" i="6" s="1"/>
  <c r="AH119" i="6"/>
  <c r="BG13" i="6"/>
  <c r="Y59" i="6"/>
  <c r="AM101" i="6"/>
  <c r="AH131" i="6"/>
  <c r="BL13" i="6"/>
  <c r="AY25" i="6"/>
  <c r="AX25" i="6"/>
  <c r="BH25" i="6"/>
  <c r="AZ13" i="6"/>
  <c r="T14" i="6"/>
  <c r="BH17" i="6"/>
  <c r="BF21" i="6"/>
  <c r="AD26" i="6"/>
  <c r="AO101" i="6"/>
  <c r="BR19" i="6"/>
  <c r="AU13" i="6"/>
  <c r="AW13" i="6"/>
  <c r="AN119" i="6"/>
  <c r="AE39" i="6"/>
  <c r="V64" i="6"/>
  <c r="T63" i="6"/>
  <c r="AR59" i="6"/>
  <c r="AB105" i="6"/>
  <c r="BR105" i="6" s="1"/>
  <c r="AH112" i="6"/>
  <c r="Y76" i="6"/>
  <c r="Z118" i="6"/>
  <c r="U112" i="6"/>
  <c r="U18" i="6"/>
  <c r="AJ39" i="6"/>
  <c r="AK124" i="6"/>
  <c r="W84" i="6"/>
  <c r="AP111" i="6"/>
  <c r="AP19" i="6"/>
  <c r="Z100" i="6"/>
  <c r="Z95" i="6"/>
  <c r="Z25" i="6"/>
  <c r="AQ63" i="6"/>
  <c r="V135" i="6"/>
  <c r="AR14" i="6"/>
  <c r="AP149" i="6"/>
  <c r="AU25" i="6"/>
  <c r="AI149" i="6"/>
  <c r="AH84" i="6"/>
  <c r="AG97" i="6"/>
  <c r="BJ19" i="6"/>
  <c r="BW18" i="6"/>
  <c r="T119" i="6"/>
  <c r="S101" i="6"/>
  <c r="AE63" i="6"/>
  <c r="AD84" i="6"/>
  <c r="S26" i="6"/>
  <c r="AQ39" i="6"/>
  <c r="AG84" i="6"/>
  <c r="AN63" i="6"/>
  <c r="AK84" i="6"/>
  <c r="AA63" i="6"/>
  <c r="AR100" i="6"/>
  <c r="Z105" i="6"/>
  <c r="AP105" i="6"/>
  <c r="AP76" i="6"/>
  <c r="AK76" i="6"/>
  <c r="R112" i="6"/>
  <c r="AE118" i="6"/>
  <c r="AL118" i="6"/>
  <c r="AI111" i="6"/>
  <c r="AI95" i="6"/>
  <c r="U39" i="6"/>
  <c r="U14" i="6"/>
  <c r="Y124" i="6"/>
  <c r="AK101" i="6"/>
  <c r="AJ137" i="6"/>
  <c r="AM130" i="6"/>
  <c r="AP155" i="6"/>
  <c r="AP18" i="6"/>
  <c r="Z18" i="6"/>
  <c r="AR18" i="6"/>
  <c r="AD149" i="6"/>
  <c r="AU131" i="6"/>
  <c r="AU51" i="6"/>
  <c r="AU14" i="6"/>
  <c r="AG94" i="6"/>
  <c r="AN101" i="6"/>
  <c r="AO153" i="6"/>
  <c r="Y63" i="6"/>
  <c r="BF16" i="6"/>
  <c r="BJ18" i="6"/>
  <c r="AL150" i="6"/>
  <c r="BL21" i="6"/>
  <c r="BE21" i="6"/>
  <c r="AT25" i="6"/>
  <c r="T112" i="6"/>
  <c r="AO112" i="6"/>
  <c r="AS84" i="6"/>
  <c r="AB63" i="6"/>
  <c r="BR63" i="6" s="1"/>
  <c r="AT63" i="6"/>
  <c r="W76" i="6"/>
  <c r="AA118" i="6"/>
  <c r="X118" i="6"/>
  <c r="AJ46" i="6"/>
  <c r="AJ19" i="6"/>
  <c r="AK95" i="6"/>
  <c r="W18" i="6"/>
  <c r="Z112" i="6"/>
  <c r="AB88" i="6"/>
  <c r="BR88" i="6" s="1"/>
  <c r="BC18" i="6"/>
  <c r="BO25" i="6"/>
  <c r="AN155" i="6"/>
  <c r="BK13" i="6"/>
  <c r="AM100" i="6"/>
  <c r="AZ18" i="6"/>
  <c r="BP14" i="6"/>
  <c r="H11" i="2"/>
  <c r="AN25" i="6"/>
  <c r="BD13" i="6"/>
  <c r="S18" i="6"/>
  <c r="Y25" i="6"/>
  <c r="W119" i="6"/>
  <c r="Z101" i="6"/>
  <c r="BN19" i="6"/>
  <c r="AE119" i="6"/>
  <c r="X137" i="6"/>
  <c r="BH14" i="6"/>
  <c r="AH46" i="6"/>
  <c r="S77" i="6"/>
  <c r="AR63" i="6"/>
  <c r="AM84" i="6"/>
  <c r="Z58" i="6"/>
  <c r="AE112" i="6"/>
  <c r="V112" i="6"/>
  <c r="AU76" i="6"/>
  <c r="AK118" i="6"/>
  <c r="S137" i="6"/>
  <c r="AI83" i="6"/>
  <c r="AS124" i="6"/>
  <c r="AK69" i="6"/>
  <c r="AK25" i="6"/>
  <c r="W46" i="6"/>
  <c r="AO88" i="6"/>
  <c r="AS130" i="6"/>
  <c r="AH143" i="6"/>
  <c r="Z94" i="6"/>
  <c r="AQ19" i="6"/>
  <c r="AI143" i="6"/>
  <c r="AR119" i="6"/>
  <c r="AR39" i="6"/>
  <c r="AU84" i="6"/>
  <c r="AH118" i="6"/>
  <c r="AG19" i="6"/>
  <c r="BS18" i="6"/>
  <c r="AN18" i="6"/>
  <c r="AN94" i="6"/>
  <c r="AL101" i="6"/>
  <c r="S155" i="6"/>
  <c r="Y119" i="6"/>
  <c r="AL149" i="6"/>
  <c r="S81" i="6"/>
  <c r="AL112" i="6"/>
  <c r="BF25" i="6"/>
  <c r="AE18" i="6"/>
  <c r="AN112" i="6"/>
  <c r="P229" i="12"/>
  <c r="Q229" i="12" s="1"/>
  <c r="AH14" i="6"/>
  <c r="AG13" i="6"/>
  <c r="BT19" i="6"/>
  <c r="AL155" i="6"/>
  <c r="AK149" i="6"/>
  <c r="AT13" i="6"/>
  <c r="BU13" i="6"/>
  <c r="T39" i="6"/>
  <c r="BI18" i="6"/>
  <c r="AD39" i="6"/>
  <c r="AB58" i="6"/>
  <c r="BR58" i="6" s="1"/>
  <c r="AS77" i="6"/>
  <c r="AR58" i="6"/>
  <c r="AD112" i="6"/>
  <c r="AK112" i="6"/>
  <c r="U76" i="6"/>
  <c r="AD137" i="6"/>
  <c r="AI13" i="6"/>
  <c r="AJ101" i="6"/>
  <c r="W112" i="6"/>
  <c r="AO64" i="6"/>
  <c r="AO131" i="6"/>
  <c r="AA13" i="6"/>
  <c r="AR76" i="6"/>
  <c r="AH130" i="6"/>
  <c r="AS119" i="6"/>
  <c r="AS13" i="6"/>
  <c r="BH19" i="6"/>
  <c r="BT13" i="6"/>
  <c r="AE101" i="6"/>
  <c r="S130" i="6"/>
  <c r="AL131" i="6"/>
  <c r="AE149" i="6"/>
  <c r="BN25" i="6"/>
  <c r="AW25" i="6"/>
  <c r="T46" i="6"/>
  <c r="BC13" i="6"/>
  <c r="AL77" i="6"/>
  <c r="AT51" i="6"/>
  <c r="AE95" i="6"/>
  <c r="AD21" i="6"/>
  <c r="AS46" i="6"/>
  <c r="AI59" i="6"/>
  <c r="AD58" i="6"/>
  <c r="AA76" i="6"/>
  <c r="Y96" i="6"/>
  <c r="S76" i="6"/>
  <c r="AR124" i="6"/>
  <c r="AI112" i="6"/>
  <c r="U25" i="6"/>
  <c r="Y131" i="6"/>
  <c r="W100" i="6"/>
  <c r="W14" i="6"/>
  <c r="AU143" i="6"/>
  <c r="AU148" i="6"/>
  <c r="Z84" i="6"/>
  <c r="Z14" i="6"/>
  <c r="AA19" i="6"/>
  <c r="Z137" i="6"/>
  <c r="AS155" i="6"/>
  <c r="X119" i="6"/>
  <c r="AH101" i="6"/>
  <c r="AH25" i="6"/>
  <c r="Z132" i="6"/>
  <c r="BA18" i="6"/>
  <c r="BR18" i="6"/>
  <c r="AK130" i="6"/>
  <c r="AD113" i="6"/>
  <c r="AE81" i="6"/>
  <c r="AL100" i="6"/>
  <c r="U149" i="6"/>
  <c r="AM119" i="6"/>
  <c r="Y101" i="6"/>
  <c r="AN16" i="6"/>
  <c r="BS25" i="6"/>
  <c r="AE146" i="6"/>
  <c r="Y18" i="6"/>
  <c r="AD19" i="6"/>
  <c r="AT101" i="6"/>
  <c r="AR46" i="6"/>
  <c r="V96" i="6"/>
  <c r="AU112" i="6"/>
  <c r="X76" i="6"/>
  <c r="AO100" i="6"/>
  <c r="AB155" i="6"/>
  <c r="BR155" i="6" s="1"/>
  <c r="AF148" i="6"/>
  <c r="AT148" i="6"/>
  <c r="AP14" i="6"/>
  <c r="AR101" i="6"/>
  <c r="AJ131" i="6"/>
  <c r="AH94" i="6"/>
  <c r="AH18" i="6"/>
  <c r="BD18" i="6"/>
  <c r="AN150" i="6"/>
  <c r="Y155" i="6"/>
  <c r="AT81" i="6"/>
  <c r="AJ130" i="6"/>
  <c r="BN14" i="6"/>
  <c r="AL55" i="6"/>
  <c r="Y27" i="6"/>
  <c r="N188" i="12"/>
  <c r="N206" i="12"/>
  <c r="O206" i="12" s="1"/>
  <c r="R136" i="6"/>
  <c r="AN9" i="6"/>
  <c r="R119" i="6"/>
  <c r="F26" i="2"/>
  <c r="AR149" i="6"/>
  <c r="AX13" i="6"/>
  <c r="D43" i="2"/>
  <c r="D112" i="2"/>
  <c r="D96" i="2"/>
  <c r="D84" i="2"/>
  <c r="AY13" i="6"/>
  <c r="AE17" i="6"/>
  <c r="BW13" i="6"/>
  <c r="BK9" i="6"/>
  <c r="BP13" i="6"/>
  <c r="AE13" i="6"/>
  <c r="AT9" i="6"/>
  <c r="P76" i="12"/>
  <c r="Q76" i="12" s="1"/>
  <c r="P147" i="12"/>
  <c r="Q147" i="12" s="1"/>
  <c r="L34" i="12"/>
  <c r="N34" i="12"/>
  <c r="O34" i="12" s="1"/>
  <c r="P34" i="12"/>
  <c r="L45" i="12"/>
  <c r="P45" i="12"/>
  <c r="N45" i="12"/>
  <c r="L56" i="12"/>
  <c r="P56" i="12"/>
  <c r="Q56" i="12" s="1"/>
  <c r="L44" i="12"/>
  <c r="M44" i="12" s="1"/>
  <c r="P44" i="12"/>
  <c r="M52" i="12"/>
  <c r="L42" i="12"/>
  <c r="M42" i="12" s="1"/>
  <c r="P42" i="12"/>
  <c r="L53" i="12"/>
  <c r="M53" i="12" s="1"/>
  <c r="P53" i="12"/>
  <c r="L41" i="12"/>
  <c r="N44" i="12"/>
  <c r="N33" i="12"/>
  <c r="O33" i="12" s="1"/>
  <c r="N55" i="12"/>
  <c r="O55" i="12" s="1"/>
  <c r="P57" i="12"/>
  <c r="Q57" i="12" s="1"/>
  <c r="P36" i="12"/>
  <c r="Q36" i="12" s="1"/>
  <c r="N57" i="12"/>
  <c r="AS136" i="6"/>
  <c r="R109" i="6"/>
  <c r="V136" i="6"/>
  <c r="AU126" i="6"/>
  <c r="AP147" i="6"/>
  <c r="AL136" i="6"/>
  <c r="AT114" i="6"/>
  <c r="AD145" i="6"/>
  <c r="Y145" i="6"/>
  <c r="AR145" i="6"/>
  <c r="Z145" i="6"/>
  <c r="AM145" i="6"/>
  <c r="AE145" i="6"/>
  <c r="T145" i="6"/>
  <c r="AN145" i="6"/>
  <c r="AU145" i="6"/>
  <c r="AP145" i="6"/>
  <c r="W145" i="6"/>
  <c r="AS145" i="6"/>
  <c r="AJ145" i="6"/>
  <c r="T134" i="6"/>
  <c r="Y134" i="6"/>
  <c r="AH134" i="6"/>
  <c r="S124" i="6"/>
  <c r="AN124" i="6"/>
  <c r="AT124" i="6"/>
  <c r="S93" i="6"/>
  <c r="AE93" i="6"/>
  <c r="AL93" i="6"/>
  <c r="AH93" i="6"/>
  <c r="AB93" i="6"/>
  <c r="BR93" i="6" s="1"/>
  <c r="AP93" i="6"/>
  <c r="AT93" i="6"/>
  <c r="AH83" i="6"/>
  <c r="AD83" i="6"/>
  <c r="AS83" i="6"/>
  <c r="Y72" i="6"/>
  <c r="AM72" i="6"/>
  <c r="T72" i="6"/>
  <c r="S72" i="6"/>
  <c r="AT72" i="6"/>
  <c r="T28" i="6"/>
  <c r="AH28" i="6"/>
  <c r="S28" i="6"/>
  <c r="AU28" i="6"/>
  <c r="AC28" i="6"/>
  <c r="AK28" i="6"/>
  <c r="AE28" i="6"/>
  <c r="AS28" i="6"/>
  <c r="AT7" i="6"/>
  <c r="AI7" i="6"/>
  <c r="BO12" i="6"/>
  <c r="BH12" i="6"/>
  <c r="AX12" i="6"/>
  <c r="BF12" i="6"/>
  <c r="BP12" i="6"/>
  <c r="AN12" i="6"/>
  <c r="AD12" i="6"/>
  <c r="AR12" i="6"/>
  <c r="BE12" i="6"/>
  <c r="BS12" i="6"/>
  <c r="BK12" i="6"/>
  <c r="AH12" i="6"/>
  <c r="AS12" i="6"/>
  <c r="AM12" i="6"/>
  <c r="AW12" i="6"/>
  <c r="BT12" i="6"/>
  <c r="AB12" i="6"/>
  <c r="Z12" i="6"/>
  <c r="AK29" i="6"/>
  <c r="S42" i="6"/>
  <c r="R12" i="6"/>
  <c r="AB8" i="6"/>
  <c r="BR8" i="6" s="1"/>
  <c r="S8" i="6"/>
  <c r="R75" i="6"/>
  <c r="Y114" i="6"/>
  <c r="X114" i="6"/>
  <c r="R114" i="6"/>
  <c r="R95" i="6"/>
  <c r="R117" i="6"/>
  <c r="R79" i="6"/>
  <c r="R10" i="6"/>
  <c r="AJ136" i="6"/>
  <c r="V36" i="6"/>
  <c r="AK30" i="6"/>
  <c r="R155" i="6"/>
  <c r="R123" i="6"/>
  <c r="Z141" i="6"/>
  <c r="S29" i="6"/>
  <c r="AD124" i="6"/>
  <c r="S133" i="6"/>
  <c r="Y133" i="6"/>
  <c r="AT133" i="6"/>
  <c r="AN133" i="6"/>
  <c r="AE133" i="6"/>
  <c r="AR133" i="6"/>
  <c r="AO133" i="6"/>
  <c r="AJ133" i="6"/>
  <c r="AT39" i="6"/>
  <c r="AL39" i="6"/>
  <c r="AH39" i="6"/>
  <c r="AS39" i="6"/>
  <c r="BE19" i="6"/>
  <c r="AE19" i="6"/>
  <c r="BL19" i="6"/>
  <c r="BC19" i="6"/>
  <c r="BK19" i="6"/>
  <c r="BB19" i="6"/>
  <c r="BF19" i="6"/>
  <c r="BO19" i="6"/>
  <c r="BU19" i="6"/>
  <c r="AU19" i="6"/>
  <c r="AH19" i="6"/>
  <c r="BA19" i="6"/>
  <c r="AX19" i="6"/>
  <c r="AP114" i="6"/>
  <c r="Z147" i="6"/>
  <c r="R9" i="6"/>
  <c r="U29" i="6"/>
  <c r="AP30" i="6"/>
  <c r="Y30" i="6"/>
  <c r="X29" i="6"/>
  <c r="AD73" i="6"/>
  <c r="AD30" i="6"/>
  <c r="T30" i="6"/>
  <c r="W30" i="6"/>
  <c r="AL30" i="6"/>
  <c r="AR29" i="6"/>
  <c r="R36" i="6"/>
  <c r="Y8" i="6"/>
  <c r="R73" i="6"/>
  <c r="R45" i="6"/>
  <c r="R59" i="6"/>
  <c r="AM58" i="6"/>
  <c r="AP58" i="6"/>
  <c r="R70" i="6"/>
  <c r="AS58" i="6"/>
  <c r="R38" i="6"/>
  <c r="AK114" i="6"/>
  <c r="R72" i="6"/>
  <c r="R94" i="6"/>
  <c r="R115" i="6"/>
  <c r="R74" i="6"/>
  <c r="R13" i="6"/>
  <c r="R27" i="6"/>
  <c r="R124" i="6"/>
  <c r="R134" i="6"/>
  <c r="AP126" i="6"/>
  <c r="AR30" i="6"/>
  <c r="AD136" i="6"/>
  <c r="AB72" i="6"/>
  <c r="BR72" i="6" s="1"/>
  <c r="AS88" i="6"/>
  <c r="AJ146" i="6"/>
  <c r="AU73" i="6"/>
  <c r="AH7" i="6"/>
  <c r="AA145" i="6"/>
  <c r="Y141" i="6"/>
  <c r="AN28" i="6"/>
  <c r="AD126" i="6"/>
  <c r="AE136" i="6"/>
  <c r="BB12" i="6"/>
  <c r="Y154" i="6"/>
  <c r="AE154" i="6"/>
  <c r="T154" i="6"/>
  <c r="AR154" i="6"/>
  <c r="AL154" i="6"/>
  <c r="AS154" i="6"/>
  <c r="AB154" i="6"/>
  <c r="BR154" i="6" s="1"/>
  <c r="AI154" i="6"/>
  <c r="AN154" i="6"/>
  <c r="AD154" i="6"/>
  <c r="AT111" i="6"/>
  <c r="T111" i="6"/>
  <c r="AN111" i="6"/>
  <c r="AE111" i="6"/>
  <c r="Z111" i="6"/>
  <c r="X111" i="6"/>
  <c r="AO111" i="6"/>
  <c r="S70" i="6"/>
  <c r="T70" i="6"/>
  <c r="AP136" i="6"/>
  <c r="AU147" i="6"/>
  <c r="AD29" i="6"/>
  <c r="T29" i="6"/>
  <c r="AG29" i="6"/>
  <c r="AU29" i="6"/>
  <c r="R30" i="6"/>
  <c r="AG30" i="6"/>
  <c r="AJ30" i="6"/>
  <c r="AS29" i="6"/>
  <c r="AE29" i="6"/>
  <c r="W29" i="6"/>
  <c r="X8" i="6"/>
  <c r="AM42" i="6"/>
  <c r="R34" i="6"/>
  <c r="U58" i="6"/>
  <c r="AL126" i="6"/>
  <c r="W114" i="6"/>
  <c r="R99" i="6"/>
  <c r="AE114" i="6"/>
  <c r="R137" i="6"/>
  <c r="R126" i="6"/>
  <c r="R90" i="6"/>
  <c r="R57" i="6"/>
  <c r="R14" i="6"/>
  <c r="R11" i="6"/>
  <c r="AJ36" i="6"/>
  <c r="AB135" i="6"/>
  <c r="BR135" i="6" s="1"/>
  <c r="AA58" i="6"/>
  <c r="AR136" i="6"/>
  <c r="AK145" i="6"/>
  <c r="AN135" i="6"/>
  <c r="AN93" i="6"/>
  <c r="AM30" i="6"/>
  <c r="AE83" i="6"/>
  <c r="W121" i="6"/>
  <c r="AT121" i="6"/>
  <c r="AL121" i="6"/>
  <c r="Y121" i="6"/>
  <c r="R121" i="6"/>
  <c r="S90" i="6"/>
  <c r="AH90" i="6"/>
  <c r="AQ90" i="6"/>
  <c r="AB69" i="6"/>
  <c r="BR69" i="6" s="1"/>
  <c r="AH69" i="6"/>
  <c r="AE59" i="6"/>
  <c r="AA59" i="6"/>
  <c r="AO59" i="6"/>
  <c r="AD59" i="6"/>
  <c r="AE48" i="6"/>
  <c r="AL48" i="6"/>
  <c r="AT48" i="6"/>
  <c r="AB48" i="6"/>
  <c r="BR48" i="6" s="1"/>
  <c r="Z48" i="6"/>
  <c r="R147" i="6"/>
  <c r="AR147" i="6"/>
  <c r="AO147" i="6"/>
  <c r="AD147" i="6"/>
  <c r="AB147" i="6"/>
  <c r="BR147" i="6" s="1"/>
  <c r="AA147" i="6"/>
  <c r="S147" i="6"/>
  <c r="V147" i="6"/>
  <c r="W126" i="6"/>
  <c r="AM114" i="6"/>
  <c r="R96" i="6"/>
  <c r="AU8" i="6"/>
  <c r="R103" i="6"/>
  <c r="R130" i="6"/>
  <c r="R5" i="6"/>
  <c r="V8" i="6"/>
  <c r="AL58" i="6"/>
  <c r="V114" i="6"/>
  <c r="AO58" i="6"/>
  <c r="R135" i="6"/>
  <c r="AM151" i="6"/>
  <c r="AB151" i="6"/>
  <c r="BR151" i="6" s="1"/>
  <c r="W151" i="6"/>
  <c r="U151" i="6"/>
  <c r="AD141" i="6"/>
  <c r="AK141" i="6"/>
  <c r="R141" i="6"/>
  <c r="AL141" i="6"/>
  <c r="AH141" i="6"/>
  <c r="AM141" i="6"/>
  <c r="AU141" i="6"/>
  <c r="AO141" i="6"/>
  <c r="AR141" i="6"/>
  <c r="T141" i="6"/>
  <c r="AP141" i="6"/>
  <c r="AJ141" i="6"/>
  <c r="AC141" i="6"/>
  <c r="AN108" i="6"/>
  <c r="AT108" i="6"/>
  <c r="AH108" i="6"/>
  <c r="Y88" i="6"/>
  <c r="AN88" i="6"/>
  <c r="AH88" i="6"/>
  <c r="AD88" i="6"/>
  <c r="AT88" i="6"/>
  <c r="AL88" i="6"/>
  <c r="T88" i="6"/>
  <c r="AM88" i="6"/>
  <c r="AR88" i="6"/>
  <c r="AA88" i="6"/>
  <c r="U88" i="6"/>
  <c r="T136" i="6"/>
  <c r="AT136" i="6"/>
  <c r="S136" i="6"/>
  <c r="Z136" i="6"/>
  <c r="AH136" i="6"/>
  <c r="AO136" i="6"/>
  <c r="AE126" i="6"/>
  <c r="AK126" i="6"/>
  <c r="AJ126" i="6"/>
  <c r="U126" i="6"/>
  <c r="AB126" i="6"/>
  <c r="BR126" i="6" s="1"/>
  <c r="T126" i="6"/>
  <c r="AH126" i="6"/>
  <c r="Y126" i="6"/>
  <c r="AO30" i="6"/>
  <c r="AN30" i="6"/>
  <c r="R153" i="6"/>
  <c r="R144" i="6"/>
  <c r="R149" i="6"/>
  <c r="AM146" i="6"/>
  <c r="Y146" i="6"/>
  <c r="AL146" i="6"/>
  <c r="AB146" i="6"/>
  <c r="BR146" i="6" s="1"/>
  <c r="AN146" i="6"/>
  <c r="AT30" i="6"/>
  <c r="R29" i="6"/>
  <c r="AI29" i="6"/>
  <c r="AJ42" i="6"/>
  <c r="R52" i="6"/>
  <c r="R54" i="6"/>
  <c r="AH147" i="6"/>
  <c r="AP29" i="6"/>
  <c r="V29" i="6"/>
  <c r="Z8" i="6"/>
  <c r="AL42" i="6"/>
  <c r="R76" i="6"/>
  <c r="R51" i="6"/>
  <c r="AN136" i="6"/>
  <c r="R64" i="6"/>
  <c r="AO8" i="6"/>
  <c r="AS8" i="6"/>
  <c r="X58" i="6"/>
  <c r="R77" i="6"/>
  <c r="AI114" i="6"/>
  <c r="R125" i="6"/>
  <c r="R71" i="6"/>
  <c r="R107" i="6"/>
  <c r="R23" i="6"/>
  <c r="R18" i="6"/>
  <c r="AI108" i="6"/>
  <c r="AL124" i="6"/>
  <c r="AS126" i="6"/>
  <c r="AS134" i="6"/>
  <c r="AA126" i="6"/>
  <c r="W88" i="6"/>
  <c r="W93" i="6"/>
  <c r="AO93" i="6"/>
  <c r="AP12" i="6"/>
  <c r="AA83" i="6"/>
  <c r="AA7" i="6"/>
  <c r="AS72" i="6"/>
  <c r="U145" i="6"/>
  <c r="W141" i="6"/>
  <c r="AN72" i="6"/>
  <c r="AE147" i="6"/>
  <c r="S151" i="6"/>
  <c r="AE72" i="6"/>
  <c r="AD93" i="6"/>
  <c r="R148" i="6"/>
  <c r="S83" i="6"/>
  <c r="Y108" i="6"/>
  <c r="T146" i="6"/>
  <c r="BQ12" i="6"/>
  <c r="BR12" i="6"/>
  <c r="S118" i="6"/>
  <c r="T118" i="6"/>
  <c r="AN98" i="6"/>
  <c r="Y98" i="6"/>
  <c r="AA98" i="6"/>
  <c r="S98" i="6"/>
  <c r="AR98" i="6"/>
  <c r="AT98" i="6"/>
  <c r="AU98" i="6"/>
  <c r="AS98" i="6"/>
  <c r="AT87" i="6"/>
  <c r="X87" i="6"/>
  <c r="T87" i="6"/>
  <c r="S66" i="6"/>
  <c r="AH66" i="6"/>
  <c r="AO66" i="6"/>
  <c r="AM66" i="6"/>
  <c r="AS66" i="6"/>
  <c r="AP66" i="6"/>
  <c r="AA66" i="6"/>
  <c r="T135" i="6"/>
  <c r="AK135" i="6"/>
  <c r="U135" i="6"/>
  <c r="AS135" i="6"/>
  <c r="S135" i="6"/>
  <c r="AU135" i="6"/>
  <c r="AP135" i="6"/>
  <c r="AT73" i="6"/>
  <c r="AH8" i="6"/>
  <c r="R53" i="6"/>
  <c r="R82" i="6"/>
  <c r="AM147" i="6"/>
  <c r="Y42" i="6"/>
  <c r="R41" i="6"/>
  <c r="AJ114" i="6"/>
  <c r="R113" i="6"/>
  <c r="X136" i="6"/>
  <c r="T36" i="6"/>
  <c r="Z36" i="6"/>
  <c r="AA36" i="6"/>
  <c r="AM8" i="6"/>
  <c r="AP68" i="6"/>
  <c r="AN114" i="6"/>
  <c r="V126" i="6"/>
  <c r="R101" i="6"/>
  <c r="R28" i="6"/>
  <c r="AJ147" i="6"/>
  <c r="AI36" i="6"/>
  <c r="AO29" i="6"/>
  <c r="AL29" i="6"/>
  <c r="AD36" i="6"/>
  <c r="AU36" i="6"/>
  <c r="AT29" i="6"/>
  <c r="U8" i="6"/>
  <c r="R46" i="6"/>
  <c r="Y58" i="6"/>
  <c r="AE58" i="6"/>
  <c r="R39" i="6"/>
  <c r="R55" i="6"/>
  <c r="AK58" i="6"/>
  <c r="R66" i="6"/>
  <c r="AS108" i="6"/>
  <c r="AF108" i="6"/>
  <c r="AO68" i="6"/>
  <c r="AO78" i="6"/>
  <c r="W78" i="6"/>
  <c r="R100" i="6"/>
  <c r="T114" i="6"/>
  <c r="AM135" i="6"/>
  <c r="U147" i="6"/>
  <c r="R102" i="6"/>
  <c r="R88" i="6"/>
  <c r="R91" i="6"/>
  <c r="R21" i="6"/>
  <c r="AI88" i="6"/>
  <c r="V124" i="6"/>
  <c r="AA135" i="6"/>
  <c r="W108" i="6"/>
  <c r="Z151" i="6"/>
  <c r="AP88" i="6"/>
  <c r="AP72" i="6"/>
  <c r="AN147" i="6"/>
  <c r="AI135" i="6"/>
  <c r="AA73" i="6"/>
  <c r="AO151" i="6"/>
  <c r="AS42" i="6"/>
  <c r="R131" i="6"/>
  <c r="AC47" i="6"/>
  <c r="AT145" i="6"/>
  <c r="AT141" i="6"/>
  <c r="BW12" i="6"/>
  <c r="R145" i="6"/>
  <c r="AE7" i="6"/>
  <c r="R157" i="6"/>
  <c r="AN129" i="6"/>
  <c r="AE129" i="6"/>
  <c r="AB129" i="6"/>
  <c r="BR129" i="6" s="1"/>
  <c r="T129" i="6"/>
  <c r="AA129" i="6"/>
  <c r="AJ129" i="6"/>
  <c r="S129" i="6"/>
  <c r="AL129" i="6"/>
  <c r="AD129" i="6"/>
  <c r="AH129" i="6"/>
  <c r="AK77" i="6"/>
  <c r="AD77" i="6"/>
  <c r="AH77" i="6"/>
  <c r="W33" i="6"/>
  <c r="W42" i="6"/>
  <c r="AQ30" i="6"/>
  <c r="AE8" i="6"/>
  <c r="AL114" i="6"/>
  <c r="R26" i="6"/>
  <c r="AP146" i="6"/>
  <c r="Y136" i="6"/>
  <c r="X30" i="6"/>
  <c r="AA30" i="6"/>
  <c r="W36" i="6"/>
  <c r="V47" i="6"/>
  <c r="R78" i="6"/>
  <c r="AB29" i="6"/>
  <c r="BR29" i="6" s="1"/>
  <c r="Z29" i="6"/>
  <c r="AF30" i="6"/>
  <c r="AP36" i="6"/>
  <c r="U30" i="6"/>
  <c r="AN29" i="6"/>
  <c r="AE42" i="6"/>
  <c r="AN8" i="6"/>
  <c r="AR8" i="6"/>
  <c r="AT58" i="6"/>
  <c r="AA93" i="6"/>
  <c r="R43" i="6"/>
  <c r="W58" i="6"/>
  <c r="AQ108" i="6"/>
  <c r="U108" i="6"/>
  <c r="AU108" i="6"/>
  <c r="AC78" i="6"/>
  <c r="AS78" i="6"/>
  <c r="AU114" i="6"/>
  <c r="AA114" i="6"/>
  <c r="R63" i="6"/>
  <c r="U136" i="6"/>
  <c r="AI147" i="6"/>
  <c r="R93" i="6"/>
  <c r="R86" i="6"/>
  <c r="R87" i="6"/>
  <c r="R20" i="6"/>
  <c r="AI12" i="6"/>
  <c r="AJ88" i="6"/>
  <c r="AJ12" i="6"/>
  <c r="AJ124" i="6"/>
  <c r="AO135" i="6"/>
  <c r="AK147" i="6"/>
  <c r="V72" i="6"/>
  <c r="V12" i="6"/>
  <c r="Y147" i="6"/>
  <c r="AO126" i="6"/>
  <c r="AP78" i="6"/>
  <c r="AD135" i="6"/>
  <c r="Z114" i="6"/>
  <c r="Z83" i="6"/>
  <c r="W135" i="6"/>
  <c r="AA28" i="6"/>
  <c r="AB40" i="6"/>
  <c r="BR40" i="6" s="1"/>
  <c r="AL145" i="6"/>
  <c r="V141" i="6"/>
  <c r="AY12" i="6"/>
  <c r="Y12" i="6"/>
  <c r="BI12" i="6"/>
  <c r="T128" i="6"/>
  <c r="AH116" i="6"/>
  <c r="AT105" i="6"/>
  <c r="T105" i="6"/>
  <c r="T16" i="6"/>
  <c r="AT16" i="6"/>
  <c r="AL16" i="6"/>
  <c r="AB16" i="6"/>
  <c r="BS16" i="6"/>
  <c r="Z16" i="6"/>
  <c r="AM16" i="6"/>
  <c r="BD16" i="6"/>
  <c r="BM16" i="6"/>
  <c r="BA16" i="6"/>
  <c r="AA16" i="6"/>
  <c r="AE30" i="6"/>
  <c r="S30" i="6"/>
  <c r="AB30" i="6"/>
  <c r="BR30" i="6" s="1"/>
  <c r="AR126" i="6"/>
  <c r="AA136" i="6"/>
  <c r="AB42" i="6"/>
  <c r="BR42" i="6" s="1"/>
  <c r="R89" i="6"/>
  <c r="R16" i="6"/>
  <c r="AL8" i="6"/>
  <c r="R8" i="6"/>
  <c r="R58" i="6"/>
  <c r="R83" i="6"/>
  <c r="X126" i="6"/>
  <c r="AS30" i="6"/>
  <c r="AH30" i="6"/>
  <c r="V30" i="6"/>
  <c r="AA29" i="6"/>
  <c r="AF42" i="6"/>
  <c r="AK8" i="6"/>
  <c r="AO42" i="6"/>
  <c r="AU42" i="6"/>
  <c r="AS73" i="6"/>
  <c r="R61" i="6"/>
  <c r="AJ58" i="6"/>
  <c r="R69" i="6"/>
  <c r="AN68" i="6"/>
  <c r="R105" i="6"/>
  <c r="AQ114" i="6"/>
  <c r="AH114" i="6"/>
  <c r="AI136" i="6"/>
  <c r="R49" i="6"/>
  <c r="R37" i="6"/>
  <c r="R25" i="6"/>
  <c r="W136" i="6"/>
  <c r="AL147" i="6"/>
  <c r="R143" i="6"/>
  <c r="AR135" i="6"/>
  <c r="AT135" i="6"/>
  <c r="AK134" i="6"/>
  <c r="R151" i="6"/>
  <c r="AU12" i="6"/>
  <c r="Z146" i="6"/>
  <c r="AQ141" i="6"/>
  <c r="R154" i="6"/>
  <c r="AL151" i="6"/>
  <c r="BV12" i="6"/>
  <c r="AH115" i="6"/>
  <c r="Z115" i="6"/>
  <c r="W115" i="6"/>
  <c r="AM115" i="6"/>
  <c r="AU115" i="6"/>
  <c r="AN115" i="6"/>
  <c r="U115" i="6"/>
  <c r="S75" i="6"/>
  <c r="X75" i="6"/>
  <c r="Z75" i="6"/>
  <c r="AK75" i="6"/>
  <c r="AJ75" i="6"/>
  <c r="S63" i="6"/>
  <c r="AD63" i="6"/>
  <c r="AU63" i="6"/>
  <c r="AC63" i="6"/>
  <c r="AO63" i="6"/>
  <c r="H66" i="2"/>
  <c r="BM21" i="6"/>
  <c r="O63" i="9"/>
  <c r="J63" i="9" s="1"/>
  <c r="BB26" i="6"/>
  <c r="AC114" i="6"/>
  <c r="AC155" i="6"/>
  <c r="AG129" i="6"/>
  <c r="AG144" i="6"/>
  <c r="AC126" i="6"/>
  <c r="AC91" i="6"/>
  <c r="AC89" i="6"/>
  <c r="AC9" i="6"/>
  <c r="AG149" i="6"/>
  <c r="AG145" i="6"/>
  <c r="AF130" i="6"/>
  <c r="AF13" i="6"/>
  <c r="AG116" i="6"/>
  <c r="AG51" i="6"/>
  <c r="AG73" i="6"/>
  <c r="AC137" i="6"/>
  <c r="X143" i="6"/>
  <c r="AC156" i="6"/>
  <c r="AC8" i="6"/>
  <c r="AC74" i="6"/>
  <c r="AC29" i="6"/>
  <c r="AG133" i="6"/>
  <c r="X93" i="6"/>
  <c r="X48" i="6"/>
  <c r="X133" i="6"/>
  <c r="AC61" i="6"/>
  <c r="AC88" i="6"/>
  <c r="AC86" i="6"/>
  <c r="AC31" i="6"/>
  <c r="AG141" i="6"/>
  <c r="AG154" i="6"/>
  <c r="AG91" i="6"/>
  <c r="AG31" i="6"/>
  <c r="AG17" i="6"/>
  <c r="AC6" i="6"/>
  <c r="AG74" i="6"/>
  <c r="AG58" i="6"/>
  <c r="AC112" i="6"/>
  <c r="AC146" i="6"/>
  <c r="AC121" i="6"/>
  <c r="AG148" i="6"/>
  <c r="X88" i="6"/>
  <c r="X23" i="6"/>
  <c r="AG135" i="6"/>
  <c r="AC83" i="6"/>
  <c r="AC16" i="6"/>
  <c r="AG151" i="6"/>
  <c r="AG98" i="6"/>
  <c r="AG88" i="6"/>
  <c r="AG39" i="6"/>
  <c r="R129" i="6"/>
  <c r="AG157" i="6"/>
  <c r="AG8" i="6"/>
  <c r="AC75" i="6"/>
  <c r="AC52" i="6"/>
  <c r="AG69" i="6"/>
  <c r="AG108" i="6"/>
  <c r="AG102" i="6"/>
  <c r="AC134" i="6"/>
  <c r="X147" i="6"/>
  <c r="X82" i="6"/>
  <c r="X49" i="6"/>
  <c r="X11" i="6"/>
  <c r="AC66" i="6"/>
  <c r="AC82" i="6"/>
  <c r="AC36" i="6"/>
  <c r="AF109" i="6"/>
  <c r="AG147" i="6"/>
  <c r="AG15" i="6"/>
  <c r="AG25" i="6"/>
  <c r="AC115" i="6"/>
  <c r="AC60" i="6"/>
  <c r="AC5" i="6"/>
  <c r="AC13" i="6"/>
  <c r="AG131" i="6"/>
  <c r="AG101" i="6"/>
  <c r="AG79" i="6"/>
  <c r="AG24" i="6"/>
  <c r="AG20" i="6"/>
  <c r="AC133" i="6"/>
  <c r="AG81" i="6"/>
  <c r="AC58" i="6"/>
  <c r="AG117" i="6"/>
  <c r="AC124" i="6"/>
  <c r="AC151" i="6"/>
  <c r="AC59" i="6"/>
  <c r="AC49" i="6"/>
  <c r="AC46" i="6"/>
  <c r="AC14" i="6"/>
  <c r="AF112" i="6"/>
  <c r="AG72" i="6"/>
  <c r="AG21" i="6"/>
  <c r="AG18" i="6"/>
  <c r="AG109" i="6"/>
  <c r="AC118" i="6"/>
  <c r="AG121" i="6"/>
  <c r="AG37" i="6"/>
  <c r="AG38" i="6"/>
  <c r="X43" i="6"/>
  <c r="AF99" i="6"/>
  <c r="AG106" i="6"/>
  <c r="AC138" i="6"/>
  <c r="X151" i="6"/>
  <c r="X17" i="6"/>
  <c r="AC136" i="6"/>
  <c r="X138" i="6"/>
  <c r="AC125" i="6"/>
  <c r="AC39" i="6"/>
  <c r="AC11" i="6"/>
  <c r="AC153" i="6"/>
  <c r="AF84" i="6"/>
  <c r="AG126" i="6"/>
  <c r="AG53" i="6"/>
  <c r="AG14" i="6"/>
  <c r="AS141" i="6"/>
  <c r="AR157" i="6"/>
  <c r="AG45" i="6"/>
  <c r="AG66" i="6"/>
  <c r="AG70" i="6"/>
  <c r="AC69" i="6"/>
  <c r="AC120" i="6"/>
  <c r="AG124" i="6"/>
  <c r="AF138" i="6"/>
  <c r="X90" i="6"/>
  <c r="X77" i="6"/>
  <c r="X32" i="6"/>
  <c r="AC93" i="6"/>
  <c r="AC122" i="6"/>
  <c r="AC24" i="6"/>
  <c r="AF107" i="6"/>
  <c r="AG139" i="6"/>
  <c r="AG115" i="6"/>
  <c r="AG11" i="6"/>
  <c r="X144" i="6"/>
  <c r="AC119" i="6"/>
  <c r="AG130" i="6"/>
  <c r="AG76" i="6"/>
  <c r="AG60" i="6"/>
  <c r="AC142" i="6"/>
  <c r="AC38" i="6"/>
  <c r="AG114" i="6"/>
  <c r="AG150" i="6"/>
  <c r="X107" i="6"/>
  <c r="X101" i="6"/>
  <c r="X15" i="6"/>
  <c r="X142" i="6"/>
  <c r="AC87" i="6"/>
  <c r="AC37" i="6"/>
  <c r="AC7" i="6"/>
  <c r="X130" i="6"/>
  <c r="AF83" i="6"/>
  <c r="AG146" i="6"/>
  <c r="AG67" i="6"/>
  <c r="R150" i="6"/>
  <c r="AS147" i="6"/>
  <c r="AH149" i="6"/>
  <c r="AC90" i="6"/>
  <c r="AC15" i="6"/>
  <c r="AC12" i="6"/>
  <c r="AG5" i="6"/>
  <c r="AC45" i="6"/>
  <c r="AG59" i="6"/>
  <c r="AG100" i="6"/>
  <c r="AC109" i="6"/>
  <c r="AF153" i="6"/>
  <c r="X121" i="6"/>
  <c r="X103" i="6"/>
  <c r="X36" i="6"/>
  <c r="X25" i="6"/>
  <c r="X115" i="6"/>
  <c r="AC84" i="6"/>
  <c r="AC113" i="6"/>
  <c r="AC25" i="6"/>
  <c r="X145" i="6"/>
  <c r="AF74" i="6"/>
  <c r="AG143" i="6"/>
  <c r="AG63" i="6"/>
  <c r="AG95" i="6"/>
  <c r="AG36" i="6"/>
  <c r="R142" i="6"/>
  <c r="AK146" i="6"/>
  <c r="AC70" i="6"/>
  <c r="AC34" i="6"/>
  <c r="AG34" i="6"/>
  <c r="AC139" i="6"/>
  <c r="X73" i="6"/>
  <c r="X19" i="6"/>
  <c r="AC154" i="6"/>
  <c r="AC81" i="6"/>
  <c r="AC110" i="6"/>
  <c r="AC20" i="6"/>
  <c r="AG134" i="6"/>
  <c r="AG107" i="6"/>
  <c r="AG27" i="6"/>
  <c r="R156" i="6"/>
  <c r="AC100" i="6"/>
  <c r="AC67" i="6"/>
  <c r="AG103" i="6"/>
  <c r="AC152" i="6"/>
  <c r="X124" i="6"/>
  <c r="X79" i="6"/>
  <c r="X18" i="6"/>
  <c r="AF144" i="6"/>
  <c r="AC57" i="6"/>
  <c r="AC107" i="6"/>
  <c r="AF23" i="6"/>
  <c r="AG118" i="6"/>
  <c r="AG75" i="6"/>
  <c r="AG89" i="6"/>
  <c r="X149" i="6"/>
  <c r="X156" i="6"/>
  <c r="R133" i="6"/>
  <c r="AC127" i="6"/>
  <c r="AG105" i="6"/>
  <c r="AC131" i="6"/>
  <c r="AC54" i="6"/>
  <c r="AC18" i="6"/>
  <c r="X135" i="6"/>
  <c r="AF36" i="6"/>
  <c r="AG137" i="6"/>
  <c r="AG86" i="6"/>
  <c r="AG16" i="6"/>
  <c r="AC105" i="6"/>
  <c r="AC40" i="6"/>
  <c r="AG90" i="6"/>
  <c r="AC62" i="6"/>
  <c r="AG120" i="6"/>
  <c r="AG142" i="6"/>
  <c r="AF129" i="6"/>
  <c r="AC135" i="6"/>
  <c r="X71" i="6"/>
  <c r="X84" i="6"/>
  <c r="X24" i="6"/>
  <c r="X125" i="6"/>
  <c r="AC51" i="6"/>
  <c r="AC101" i="6"/>
  <c r="AC21" i="6"/>
  <c r="X141" i="6"/>
  <c r="AF37" i="6"/>
  <c r="AG125" i="6"/>
  <c r="AG12" i="6"/>
  <c r="AC30" i="6"/>
  <c r="AC35" i="6"/>
  <c r="AG111" i="6"/>
  <c r="X123" i="6"/>
  <c r="AC130" i="6"/>
  <c r="AG153" i="6"/>
  <c r="AG127" i="6"/>
  <c r="AC144" i="6"/>
  <c r="X108" i="6"/>
  <c r="X81" i="6"/>
  <c r="X27" i="6"/>
  <c r="X128" i="6"/>
  <c r="AC103" i="6"/>
  <c r="AC71" i="6"/>
  <c r="AC98" i="6"/>
  <c r="AC19" i="6"/>
  <c r="AG136" i="6"/>
  <c r="AF26" i="6"/>
  <c r="AG122" i="6"/>
  <c r="AG61" i="6"/>
  <c r="AG26" i="6"/>
  <c r="X134" i="6"/>
  <c r="AC77" i="6"/>
  <c r="AC53" i="6"/>
  <c r="AC108" i="6"/>
  <c r="AC106" i="6"/>
  <c r="AG123" i="6"/>
  <c r="AC143" i="6"/>
  <c r="X112" i="6"/>
  <c r="X110" i="6"/>
  <c r="X26" i="6"/>
  <c r="X31" i="6"/>
  <c r="X129" i="6"/>
  <c r="AC147" i="6"/>
  <c r="AC111" i="6"/>
  <c r="AC95" i="6"/>
  <c r="AC27" i="6"/>
  <c r="X139" i="6"/>
  <c r="AF6" i="6"/>
  <c r="AG113" i="6"/>
  <c r="AG57" i="6"/>
  <c r="AG49" i="6"/>
  <c r="AG28" i="6"/>
  <c r="X155" i="6"/>
  <c r="AG32" i="6"/>
  <c r="AG87" i="6"/>
  <c r="AG41" i="6"/>
  <c r="AC42" i="6"/>
  <c r="AG93" i="6"/>
  <c r="AC55" i="6"/>
  <c r="AG43" i="6"/>
  <c r="AG99" i="6"/>
  <c r="AG112" i="6"/>
  <c r="AG78" i="6"/>
  <c r="X117" i="6"/>
  <c r="X98" i="6"/>
  <c r="X13" i="6"/>
  <c r="X12" i="6"/>
  <c r="AC94" i="6"/>
  <c r="AF126" i="6"/>
  <c r="AG119" i="6"/>
  <c r="AG54" i="6"/>
  <c r="AG46" i="6"/>
  <c r="AG6" i="6"/>
  <c r="O25" i="1"/>
  <c r="P25" i="1" s="1"/>
  <c r="F51" i="2"/>
  <c r="H64" i="2"/>
  <c r="F32" i="2"/>
  <c r="F16" i="2"/>
  <c r="F50" i="2"/>
  <c r="D54" i="2"/>
  <c r="D79" i="2"/>
  <c r="H33" i="2"/>
  <c r="D10" i="2"/>
  <c r="O128" i="2"/>
  <c r="O118" i="2"/>
  <c r="O69" i="2"/>
  <c r="R118" i="2"/>
  <c r="R69" i="2"/>
  <c r="F87" i="2"/>
  <c r="H86" i="2"/>
  <c r="F101" i="2"/>
  <c r="H55" i="2"/>
  <c r="H61" i="2"/>
  <c r="AC150" i="6"/>
  <c r="X150" i="6"/>
  <c r="AA150" i="6"/>
  <c r="AB150" i="6"/>
  <c r="BR150" i="6" s="1"/>
  <c r="AM94" i="6"/>
  <c r="AL94" i="6"/>
  <c r="S154" i="6"/>
  <c r="AE155" i="6"/>
  <c r="AD99" i="6"/>
  <c r="BA13" i="6"/>
  <c r="U9" i="9"/>
  <c r="AB9" i="9" s="1"/>
  <c r="V9" i="9" s="1"/>
  <c r="F94" i="2"/>
  <c r="AT154" i="6"/>
  <c r="AN39" i="6"/>
  <c r="F58" i="2"/>
  <c r="AN6" i="6"/>
  <c r="H14" i="2"/>
  <c r="D46" i="2"/>
  <c r="AN21" i="6"/>
  <c r="AW15" i="6"/>
  <c r="BS26" i="6"/>
  <c r="R20" i="3"/>
  <c r="W20" i="3"/>
  <c r="AA20" i="3"/>
  <c r="BW15" i="6"/>
  <c r="AL135" i="6"/>
  <c r="H28" i="2"/>
  <c r="H63" i="2"/>
  <c r="Y39" i="6"/>
  <c r="AO150" i="6"/>
  <c r="AA157" i="6"/>
  <c r="D50" i="2"/>
  <c r="R17" i="3"/>
  <c r="W17" i="3"/>
  <c r="AA17" i="3"/>
  <c r="AT94" i="6"/>
  <c r="AE135" i="6"/>
  <c r="AM150" i="6"/>
  <c r="AD94" i="6"/>
  <c r="T94" i="6"/>
  <c r="S54" i="6"/>
  <c r="F30" i="2"/>
  <c r="D17" i="2"/>
  <c r="AO138" i="6"/>
  <c r="AO156" i="6"/>
  <c r="AH47" i="6"/>
  <c r="AP47" i="6"/>
  <c r="W47" i="6"/>
  <c r="AL47" i="6"/>
  <c r="R47" i="6"/>
  <c r="S16" i="3"/>
  <c r="T16" i="3"/>
  <c r="AG47" i="6"/>
  <c r="AJ47" i="6"/>
  <c r="Z47" i="6"/>
  <c r="AD35" i="6"/>
  <c r="AN35" i="6"/>
  <c r="T35" i="6"/>
  <c r="AG35" i="6"/>
  <c r="AU35" i="6"/>
  <c r="AB35" i="6"/>
  <c r="BR35" i="6" s="1"/>
  <c r="V35" i="6"/>
  <c r="AJ35" i="6"/>
  <c r="AH35" i="6"/>
  <c r="AS35" i="6"/>
  <c r="AO35" i="6"/>
  <c r="AP35" i="6"/>
  <c r="W35" i="6"/>
  <c r="AI35" i="6"/>
  <c r="R35" i="6"/>
  <c r="AT41" i="6"/>
  <c r="AF41" i="6"/>
  <c r="AD41" i="6"/>
  <c r="AF47" i="6"/>
  <c r="AA47" i="6"/>
  <c r="AT64" i="6"/>
  <c r="S64" i="6"/>
  <c r="AM64" i="6"/>
  <c r="AB64" i="6"/>
  <c r="BR64" i="6" s="1"/>
  <c r="AK64" i="6"/>
  <c r="AN64" i="6"/>
  <c r="Y64" i="6"/>
  <c r="AC64" i="6"/>
  <c r="Z64" i="6"/>
  <c r="X64" i="6"/>
  <c r="AL64" i="6"/>
  <c r="AG64" i="6"/>
  <c r="AA64" i="6"/>
  <c r="W64" i="6"/>
  <c r="S58" i="6"/>
  <c r="AI58" i="6"/>
  <c r="AU58" i="6"/>
  <c r="S52" i="6"/>
  <c r="AL52" i="6"/>
  <c r="V52" i="6"/>
  <c r="T47" i="6"/>
  <c r="AD47" i="6"/>
  <c r="AT47" i="6"/>
  <c r="AN47" i="6"/>
  <c r="AB47" i="6"/>
  <c r="BR47" i="6" s="1"/>
  <c r="AU47" i="6"/>
  <c r="AR47" i="6"/>
  <c r="Y47" i="6"/>
  <c r="AM47" i="6"/>
  <c r="AQ47" i="6"/>
  <c r="Y138" i="6"/>
  <c r="R138" i="6"/>
  <c r="AD138" i="6"/>
  <c r="AN138" i="6"/>
  <c r="T138" i="6"/>
  <c r="AM138" i="6"/>
  <c r="Z138" i="6"/>
  <c r="W138" i="6"/>
  <c r="AI138" i="6"/>
  <c r="AK138" i="6"/>
  <c r="AU138" i="6"/>
  <c r="AA138" i="6"/>
  <c r="AE138" i="6"/>
  <c r="U138" i="6"/>
  <c r="AG138" i="6"/>
  <c r="AR138" i="6"/>
  <c r="AP138" i="6"/>
  <c r="AL138" i="6"/>
  <c r="AJ138" i="6"/>
  <c r="V138" i="6"/>
  <c r="AT132" i="6"/>
  <c r="AK132" i="6"/>
  <c r="AO132" i="6"/>
  <c r="W132" i="6"/>
  <c r="X132" i="6"/>
  <c r="AB132" i="6"/>
  <c r="BR132" i="6" s="1"/>
  <c r="AU132" i="6"/>
  <c r="AL132" i="6"/>
  <c r="S132" i="6"/>
  <c r="Y132" i="6"/>
  <c r="AP132" i="6"/>
  <c r="AG132" i="6"/>
  <c r="AM132" i="6"/>
  <c r="AC132" i="6"/>
  <c r="V132" i="6"/>
  <c r="AJ132" i="6"/>
  <c r="AN132" i="6"/>
  <c r="R132" i="6"/>
  <c r="X127" i="6"/>
  <c r="AK127" i="6"/>
  <c r="Y127" i="6"/>
  <c r="AE127" i="6"/>
  <c r="AH127" i="6"/>
  <c r="AB127" i="6"/>
  <c r="BR127" i="6" s="1"/>
  <c r="AR127" i="6"/>
  <c r="S120" i="6"/>
  <c r="AA120" i="6"/>
  <c r="W120" i="6"/>
  <c r="AN120" i="6"/>
  <c r="AF120" i="6"/>
  <c r="X120" i="6"/>
  <c r="AS120" i="6"/>
  <c r="R120" i="6"/>
  <c r="AL120" i="6"/>
  <c r="AD120" i="6"/>
  <c r="AO47" i="6"/>
  <c r="AI47" i="6"/>
  <c r="X47" i="6"/>
  <c r="AE47" i="6"/>
  <c r="AS47" i="6"/>
  <c r="S102" i="6"/>
  <c r="AT102" i="6"/>
  <c r="AE102" i="6"/>
  <c r="AF102" i="6"/>
  <c r="AU102" i="6"/>
  <c r="AQ102" i="6"/>
  <c r="AN102" i="6"/>
  <c r="AK47" i="6"/>
  <c r="S47" i="6"/>
  <c r="AQ136" i="6"/>
  <c r="AQ133" i="6"/>
  <c r="AQ154" i="6"/>
  <c r="AQ149" i="6"/>
  <c r="AQ22" i="6"/>
  <c r="AQ36" i="6"/>
  <c r="AQ17" i="6"/>
  <c r="AQ75" i="6"/>
  <c r="AQ81" i="6"/>
  <c r="AQ98" i="6"/>
  <c r="AQ78" i="6"/>
  <c r="AQ111" i="6"/>
  <c r="AQ13" i="6"/>
  <c r="AQ23" i="6"/>
  <c r="AQ49" i="6"/>
  <c r="AQ79" i="6"/>
  <c r="AQ95" i="6"/>
  <c r="AQ110" i="6"/>
  <c r="AQ119" i="6"/>
  <c r="AQ118" i="6"/>
  <c r="AQ152" i="6"/>
  <c r="AQ146" i="6"/>
  <c r="AQ129" i="6"/>
  <c r="AQ145" i="6"/>
  <c r="AQ12" i="6"/>
  <c r="AQ24" i="6"/>
  <c r="AQ14" i="6"/>
  <c r="AQ83" i="6"/>
  <c r="AQ87" i="6"/>
  <c r="AQ101" i="6"/>
  <c r="AQ60" i="6"/>
  <c r="AQ107" i="6"/>
  <c r="AQ144" i="6"/>
  <c r="AQ143" i="6"/>
  <c r="AQ135" i="6"/>
  <c r="AQ134" i="6"/>
  <c r="AQ156" i="6"/>
  <c r="AQ153" i="6"/>
  <c r="AQ148" i="6"/>
  <c r="AQ124" i="6"/>
  <c r="AQ16" i="6"/>
  <c r="AQ31" i="6"/>
  <c r="AQ71" i="6"/>
  <c r="AQ86" i="6"/>
  <c r="AQ104" i="6"/>
  <c r="AQ113" i="6"/>
  <c r="AQ62" i="6"/>
  <c r="AQ99" i="6"/>
  <c r="AQ139" i="6"/>
  <c r="AQ157" i="6"/>
  <c r="AQ142" i="6"/>
  <c r="AQ147" i="6"/>
  <c r="AQ28" i="6"/>
  <c r="AQ18" i="6"/>
  <c r="AQ48" i="6"/>
  <c r="AQ32" i="6"/>
  <c r="AQ115" i="6"/>
  <c r="AQ66" i="6"/>
  <c r="AQ126" i="6"/>
  <c r="AQ155" i="6"/>
  <c r="AQ151" i="6"/>
  <c r="AQ20" i="6"/>
  <c r="AQ7" i="6"/>
  <c r="AQ25" i="6"/>
  <c r="AQ27" i="6"/>
  <c r="AQ59" i="6"/>
  <c r="AQ76" i="6"/>
  <c r="AQ123" i="6"/>
  <c r="AQ121" i="6"/>
  <c r="AQ69" i="6"/>
  <c r="AF154" i="6"/>
  <c r="AF157" i="6"/>
  <c r="AF14" i="6"/>
  <c r="AF12" i="6"/>
  <c r="AF44" i="6"/>
  <c r="AF39" i="6"/>
  <c r="AF86" i="6"/>
  <c r="AF82" i="6"/>
  <c r="AF104" i="6"/>
  <c r="AF95" i="6"/>
  <c r="AF110" i="6"/>
  <c r="AF117" i="6"/>
  <c r="AF136" i="6"/>
  <c r="AF143" i="6"/>
  <c r="AF134" i="6"/>
  <c r="AF18" i="6"/>
  <c r="AF16" i="6"/>
  <c r="AF11" i="6"/>
  <c r="AF40" i="6"/>
  <c r="AF88" i="6"/>
  <c r="AF72" i="6"/>
  <c r="AF97" i="6"/>
  <c r="AF115" i="6"/>
  <c r="AF106" i="6"/>
  <c r="AF155" i="6"/>
  <c r="AF141" i="6"/>
  <c r="AF7" i="6"/>
  <c r="AF89" i="6"/>
  <c r="AF51" i="6"/>
  <c r="AF118" i="6"/>
  <c r="AF133" i="6"/>
  <c r="AF116" i="6"/>
  <c r="AF151" i="6"/>
  <c r="AF131" i="6"/>
  <c r="AF17" i="6"/>
  <c r="AF24" i="6"/>
  <c r="AF21" i="6"/>
  <c r="AF90" i="6"/>
  <c r="AF119" i="6"/>
  <c r="AF94" i="6"/>
  <c r="AF81" i="6"/>
  <c r="AF142" i="6"/>
  <c r="AF124" i="6"/>
  <c r="AF156" i="6"/>
  <c r="AF4" i="6"/>
  <c r="AF31" i="6"/>
  <c r="AF19" i="6"/>
  <c r="AF46" i="6"/>
  <c r="AF103" i="6"/>
  <c r="AF57" i="6"/>
  <c r="AF87" i="6"/>
  <c r="AF98" i="6"/>
  <c r="AF79" i="6"/>
  <c r="AF149" i="6"/>
  <c r="AF147" i="6"/>
  <c r="AF140" i="6"/>
  <c r="AF135" i="6"/>
  <c r="AF150" i="6"/>
  <c r="AF25" i="6"/>
  <c r="AF28" i="6"/>
  <c r="AF27" i="6"/>
  <c r="AF29" i="6"/>
  <c r="AF70" i="6"/>
  <c r="AF100" i="6"/>
  <c r="AF113" i="6"/>
  <c r="AF122" i="6"/>
  <c r="AF139" i="6"/>
  <c r="AF137" i="6"/>
  <c r="AF145" i="6"/>
  <c r="AF121" i="6"/>
  <c r="AF123" i="6"/>
  <c r="AF78" i="6"/>
  <c r="V156" i="6"/>
  <c r="V130" i="6"/>
  <c r="V128" i="6"/>
  <c r="V144" i="6"/>
  <c r="V28" i="6"/>
  <c r="V142" i="6"/>
  <c r="V137" i="6"/>
  <c r="V31" i="6"/>
  <c r="V22" i="6"/>
  <c r="V10" i="6"/>
  <c r="V26" i="6"/>
  <c r="V93" i="6"/>
  <c r="V79" i="6"/>
  <c r="V81" i="6"/>
  <c r="V101" i="6"/>
  <c r="V155" i="6"/>
  <c r="V143" i="6"/>
  <c r="V18" i="6"/>
  <c r="V24" i="6"/>
  <c r="V14" i="6"/>
  <c r="V73" i="6"/>
  <c r="V27" i="6"/>
  <c r="V99" i="6"/>
  <c r="V100" i="6"/>
  <c r="V113" i="6"/>
  <c r="V129" i="6"/>
  <c r="V148" i="6"/>
  <c r="V13" i="6"/>
  <c r="V9" i="6"/>
  <c r="V17" i="6"/>
  <c r="V80" i="6"/>
  <c r="V60" i="6"/>
  <c r="V92" i="6"/>
  <c r="V103" i="6"/>
  <c r="V88" i="6"/>
  <c r="V117" i="6"/>
  <c r="V153" i="6"/>
  <c r="V25" i="6"/>
  <c r="V19" i="6"/>
  <c r="V39" i="6"/>
  <c r="V83" i="6"/>
  <c r="V70" i="6"/>
  <c r="V98" i="6"/>
  <c r="V111" i="6"/>
  <c r="V105" i="6"/>
  <c r="V151" i="6"/>
  <c r="V145" i="6"/>
  <c r="V131" i="6"/>
  <c r="V134" i="6"/>
  <c r="V11" i="6"/>
  <c r="V7" i="6"/>
  <c r="V20" i="6"/>
  <c r="V44" i="6"/>
  <c r="V51" i="6"/>
  <c r="V116" i="6"/>
  <c r="V90" i="6"/>
  <c r="V82" i="6"/>
  <c r="V119" i="6"/>
  <c r="V150" i="6"/>
  <c r="D103" i="2"/>
  <c r="H97" i="2"/>
  <c r="AB137" i="6"/>
  <c r="BR137" i="6" s="1"/>
  <c r="AS137" i="6"/>
  <c r="AR137" i="6"/>
  <c r="T137" i="6"/>
  <c r="AM126" i="6"/>
  <c r="AN126" i="6"/>
  <c r="S126" i="6"/>
  <c r="AT126" i="6"/>
  <c r="S89" i="6"/>
  <c r="AL71" i="6"/>
  <c r="AN71" i="6"/>
  <c r="Y71" i="6"/>
  <c r="S71" i="6"/>
  <c r="S65" i="6"/>
  <c r="AE65" i="6"/>
  <c r="T65" i="6"/>
  <c r="AT28" i="6"/>
  <c r="AL28" i="6"/>
  <c r="Y28" i="6"/>
  <c r="D40" i="2"/>
  <c r="H70" i="2"/>
  <c r="F65" i="2"/>
  <c r="T147" i="6"/>
  <c r="W147" i="6"/>
  <c r="AN83" i="6"/>
  <c r="AL83" i="6"/>
  <c r="AT83" i="6"/>
  <c r="AM83" i="6"/>
  <c r="AD78" i="6"/>
  <c r="AN78" i="6"/>
  <c r="S57" i="6"/>
  <c r="T57" i="6"/>
  <c r="AE57" i="6"/>
  <c r="S51" i="6"/>
  <c r="AE51" i="6"/>
  <c r="Y151" i="6"/>
  <c r="AR151" i="6"/>
  <c r="AT151" i="6"/>
  <c r="AE151" i="6"/>
  <c r="AD151" i="6"/>
  <c r="AU151" i="6"/>
  <c r="T151" i="6"/>
  <c r="AN151" i="6"/>
  <c r="AI151" i="6"/>
  <c r="S117" i="6"/>
  <c r="Y117" i="6"/>
  <c r="AL117" i="6"/>
  <c r="AD87" i="6"/>
  <c r="AE87" i="6"/>
  <c r="AL82" i="6"/>
  <c r="AT82" i="6"/>
  <c r="AN82" i="6"/>
  <c r="AE73" i="6"/>
  <c r="Y73" i="6"/>
  <c r="T14" i="3"/>
  <c r="S14" i="3"/>
  <c r="AS157" i="6"/>
  <c r="AS156" i="6"/>
  <c r="AI140" i="6"/>
  <c r="AI157" i="6"/>
  <c r="Z156" i="6"/>
  <c r="Z125" i="6"/>
  <c r="Z157" i="6"/>
  <c r="AA155" i="6"/>
  <c r="AT155" i="6"/>
  <c r="AK155" i="6"/>
  <c r="AD155" i="6"/>
  <c r="AE123" i="6"/>
  <c r="Z123" i="6"/>
  <c r="AN100" i="6"/>
  <c r="AT100" i="6"/>
  <c r="AJ95" i="6"/>
  <c r="AT95" i="6"/>
  <c r="AN95" i="6"/>
  <c r="AL95" i="6"/>
  <c r="S18" i="3"/>
  <c r="U18" i="3"/>
  <c r="T18" i="3"/>
  <c r="F102" i="2"/>
  <c r="H78" i="2"/>
  <c r="H41" i="2"/>
  <c r="F114" i="2"/>
  <c r="BK14" i="6"/>
  <c r="S14" i="6"/>
  <c r="AN14" i="6"/>
  <c r="AM14" i="6"/>
  <c r="BE14" i="6"/>
  <c r="AT14" i="6"/>
  <c r="AW14" i="6"/>
  <c r="BJ14" i="6"/>
  <c r="BO14" i="6"/>
  <c r="BB14" i="6"/>
  <c r="BU14" i="6"/>
  <c r="AN22" i="6"/>
  <c r="BL22" i="6"/>
  <c r="BV22" i="6"/>
  <c r="AT22" i="6"/>
  <c r="BD22" i="6"/>
  <c r="F90" i="2"/>
  <c r="H51" i="2"/>
  <c r="H58" i="2"/>
  <c r="H119" i="2"/>
  <c r="F10" i="2"/>
  <c r="F63" i="2"/>
  <c r="T139" i="6"/>
  <c r="S139" i="6"/>
  <c r="AN139" i="6"/>
  <c r="V139" i="6"/>
  <c r="W139" i="6"/>
  <c r="AP139" i="6"/>
  <c r="AE121" i="6"/>
  <c r="AO121" i="6"/>
  <c r="AN36" i="6"/>
  <c r="AL36" i="6"/>
  <c r="AT36" i="6"/>
  <c r="Y36" i="6"/>
  <c r="D111" i="2"/>
  <c r="BC26" i="6"/>
  <c r="BF26" i="6"/>
  <c r="F55" i="2"/>
  <c r="H27" i="2"/>
  <c r="F86" i="2"/>
  <c r="BW24" i="6"/>
  <c r="F15" i="2"/>
  <c r="AH124" i="6"/>
  <c r="F49" i="2"/>
  <c r="AM148" i="6"/>
  <c r="BO9" i="6"/>
  <c r="BR77" i="6"/>
  <c r="I118" i="2"/>
  <c r="I128" i="2"/>
  <c r="I69" i="2"/>
  <c r="AD50" i="6"/>
  <c r="AG50" i="6"/>
  <c r="AM50" i="6"/>
  <c r="AL50" i="6"/>
  <c r="S50" i="6"/>
  <c r="T50" i="6"/>
  <c r="AA50" i="6"/>
  <c r="AI50" i="6"/>
  <c r="AR50" i="6"/>
  <c r="AC50" i="6"/>
  <c r="AU50" i="6"/>
  <c r="U50" i="6"/>
  <c r="V50" i="6"/>
  <c r="AS50" i="6"/>
  <c r="AH50" i="6"/>
  <c r="AE50" i="6"/>
  <c r="AT50" i="6"/>
  <c r="AK50" i="6"/>
  <c r="X50" i="6"/>
  <c r="AQ50" i="6"/>
  <c r="R50" i="6"/>
  <c r="AB50" i="6"/>
  <c r="BR50" i="6" s="1"/>
  <c r="W50" i="6"/>
  <c r="H82" i="2"/>
  <c r="AP50" i="6"/>
  <c r="S20" i="3"/>
  <c r="T20" i="3"/>
  <c r="S19" i="3"/>
  <c r="T19" i="3"/>
  <c r="AO50" i="6"/>
  <c r="Z50" i="6"/>
  <c r="AN50" i="6"/>
  <c r="D90" i="2"/>
  <c r="AF50" i="6"/>
  <c r="AQ127" i="6"/>
  <c r="S127" i="6"/>
  <c r="AD96" i="6"/>
  <c r="T96" i="6"/>
  <c r="F75" i="2"/>
  <c r="AU136" i="6"/>
  <c r="AU154" i="6"/>
  <c r="AU157" i="6"/>
  <c r="AF127" i="6"/>
  <c r="W127" i="6"/>
  <c r="AP96" i="6"/>
  <c r="AB96" i="6"/>
  <c r="BR96" i="6" s="1"/>
  <c r="AS96" i="6"/>
  <c r="AI127" i="6"/>
  <c r="AA127" i="6"/>
  <c r="U127" i="6"/>
  <c r="H17" i="2"/>
  <c r="AS132" i="6"/>
  <c r="AE132" i="6"/>
  <c r="AI132" i="6"/>
  <c r="AD132" i="6"/>
  <c r="AD31" i="6"/>
  <c r="S31" i="6"/>
  <c r="AN31" i="6"/>
  <c r="AE31" i="6"/>
  <c r="AT31" i="6"/>
  <c r="AQ96" i="6"/>
  <c r="AG96" i="6"/>
  <c r="V127" i="6"/>
  <c r="AC96" i="6"/>
  <c r="AS127" i="6"/>
  <c r="T17" i="3"/>
  <c r="S17" i="3"/>
  <c r="U17" i="3"/>
  <c r="Q118" i="2"/>
  <c r="Q128" i="2"/>
  <c r="AF114" i="6"/>
  <c r="AD114" i="6"/>
  <c r="U96" i="6"/>
  <c r="AJ96" i="6"/>
  <c r="AP127" i="6"/>
  <c r="T127" i="6"/>
  <c r="AH96" i="6"/>
  <c r="Z127" i="6"/>
  <c r="AU155" i="6"/>
  <c r="AM127" i="6"/>
  <c r="F13" i="2"/>
  <c r="P128" i="2"/>
  <c r="P118" i="2"/>
  <c r="AI96" i="6"/>
  <c r="AD127" i="6"/>
  <c r="AO127" i="6"/>
  <c r="W96" i="6"/>
  <c r="R127" i="6"/>
  <c r="AU152" i="6"/>
  <c r="S96" i="6"/>
  <c r="AT96" i="6"/>
  <c r="W130" i="6"/>
  <c r="W152" i="6"/>
  <c r="W142" i="6"/>
  <c r="W154" i="6"/>
  <c r="W157" i="6"/>
  <c r="AF96" i="6"/>
  <c r="AJ144" i="6"/>
  <c r="AJ135" i="6"/>
  <c r="AL37" i="6"/>
  <c r="S37" i="6"/>
  <c r="AL96" i="6"/>
  <c r="AO96" i="6"/>
  <c r="AT127" i="6"/>
  <c r="AU127" i="6"/>
  <c r="AL127" i="6"/>
  <c r="AN127" i="6"/>
  <c r="AU149" i="6"/>
  <c r="AI156" i="6"/>
  <c r="AI126" i="6"/>
  <c r="AD148" i="6"/>
  <c r="Y104" i="6"/>
  <c r="AE99" i="6"/>
  <c r="AL27" i="6"/>
  <c r="Y26" i="6"/>
  <c r="AM21" i="6"/>
  <c r="S19" i="6"/>
  <c r="AD14" i="6"/>
  <c r="T12" i="6"/>
  <c r="BU12" i="6"/>
  <c r="BQ13" i="6"/>
  <c r="BL14" i="6"/>
  <c r="BK17" i="6"/>
  <c r="BP19" i="6"/>
  <c r="BO22" i="6"/>
  <c r="BR25" i="6"/>
  <c r="Y14" i="6"/>
  <c r="T11" i="6"/>
  <c r="BM12" i="6"/>
  <c r="BR13" i="6"/>
  <c r="BT14" i="6"/>
  <c r="BM17" i="6"/>
  <c r="BQ19" i="6"/>
  <c r="BT25" i="6"/>
  <c r="H54" i="2"/>
  <c r="F115" i="2"/>
  <c r="AS128" i="6"/>
  <c r="Y99" i="6"/>
  <c r="Y95" i="6"/>
  <c r="AM36" i="6"/>
  <c r="AM17" i="6"/>
  <c r="BC11" i="6"/>
  <c r="BV13" i="6"/>
  <c r="BS17" i="6"/>
  <c r="BW19" i="6"/>
  <c r="AZ23" i="6"/>
  <c r="BP25" i="6"/>
  <c r="U122" i="6"/>
  <c r="AN99" i="6"/>
  <c r="BV19" i="6"/>
  <c r="F78" i="2"/>
  <c r="AT19" i="6"/>
  <c r="H36" i="2"/>
  <c r="AL116" i="6"/>
  <c r="AL25" i="6"/>
  <c r="AN19" i="6"/>
  <c r="T17" i="6"/>
  <c r="Y13" i="6"/>
  <c r="BB13" i="6"/>
  <c r="AT139" i="6"/>
  <c r="AE116" i="6"/>
  <c r="AD111" i="6"/>
  <c r="AE71" i="6"/>
  <c r="AN26" i="6"/>
  <c r="AE25" i="6"/>
  <c r="Y22" i="6"/>
  <c r="AM19" i="6"/>
  <c r="S17" i="6"/>
  <c r="T13" i="6"/>
  <c r="BC12" i="6"/>
  <c r="BE13" i="6"/>
  <c r="AZ14" i="6"/>
  <c r="BO21" i="6"/>
  <c r="AV25" i="6"/>
  <c r="BU26" i="6"/>
  <c r="Y139" i="6"/>
  <c r="AT104" i="6"/>
  <c r="AM97" i="6"/>
  <c r="AD25" i="6"/>
  <c r="AL19" i="6"/>
  <c r="S13" i="6"/>
  <c r="BF13" i="6"/>
  <c r="AY19" i="6"/>
  <c r="BA25" i="6"/>
  <c r="BL12" i="6"/>
  <c r="BI13" i="6"/>
  <c r="BC14" i="6"/>
  <c r="AZ17" i="6"/>
  <c r="AZ19" i="6"/>
  <c r="BB25" i="6"/>
  <c r="H44" i="2"/>
  <c r="AN27" i="6"/>
  <c r="T25" i="6"/>
  <c r="Y19" i="6"/>
  <c r="AL14" i="6"/>
  <c r="AL12" i="6"/>
  <c r="BN12" i="6"/>
  <c r="BM13" i="6"/>
  <c r="BI14" i="6"/>
  <c r="BA17" i="6"/>
  <c r="BD19" i="6"/>
  <c r="BG25" i="6"/>
  <c r="S25" i="6"/>
  <c r="T19" i="6"/>
  <c r="AE14" i="6"/>
  <c r="AE12" i="6"/>
  <c r="U16" i="3"/>
  <c r="AD16" i="3"/>
  <c r="Q16" i="3"/>
  <c r="Q19" i="3"/>
  <c r="Q20" i="3"/>
  <c r="Q18" i="3"/>
  <c r="Q17" i="3"/>
  <c r="U19" i="3"/>
  <c r="U20" i="3"/>
  <c r="AD18" i="3"/>
  <c r="AD19" i="3"/>
  <c r="AD20" i="3"/>
  <c r="AB17" i="3"/>
  <c r="V17" i="3"/>
  <c r="AD17" i="3"/>
  <c r="AB20" i="3"/>
  <c r="V20" i="3"/>
  <c r="Y17" i="3" a="1"/>
  <c r="Y17" i="3" s="1"/>
  <c r="Z17" i="3" a="1"/>
  <c r="Z17" i="3" s="1"/>
  <c r="Z18" i="3" a="1"/>
  <c r="Z18" i="3" s="1"/>
  <c r="Y18" i="3" a="1"/>
  <c r="Y18" i="3" s="1"/>
  <c r="AB18" i="3"/>
  <c r="V18" i="3"/>
  <c r="AB16" i="3"/>
  <c r="V16" i="3"/>
  <c r="Y20" i="3" a="1"/>
  <c r="Y20" i="3" s="1"/>
  <c r="Z20" i="3" a="1"/>
  <c r="Z20" i="3" s="1"/>
  <c r="AB19" i="3"/>
  <c r="V19" i="3"/>
  <c r="Y19" i="3" a="1"/>
  <c r="Y19" i="3" s="1"/>
  <c r="Z19" i="3" a="1"/>
  <c r="Z19" i="3" s="1"/>
  <c r="Y16" i="3" a="1"/>
  <c r="Y16" i="3" s="1"/>
  <c r="Z16" i="3" a="1"/>
  <c r="Z16" i="3" s="1"/>
  <c r="X7" i="9"/>
  <c r="X15" i="3"/>
  <c r="X8" i="9"/>
  <c r="X10" i="9"/>
  <c r="X14" i="3"/>
  <c r="X9" i="9"/>
  <c r="X11" i="9"/>
  <c r="V104" i="6" l="1"/>
  <c r="H7" i="2"/>
  <c r="Z116" i="6"/>
  <c r="Q53" i="12"/>
  <c r="Q34" i="12"/>
  <c r="AD140" i="6"/>
  <c r="Z44" i="6"/>
  <c r="H4" i="2"/>
  <c r="H5" i="2"/>
  <c r="AC80" i="6"/>
  <c r="AT116" i="6"/>
  <c r="H12" i="2"/>
  <c r="AP116" i="6"/>
  <c r="R128" i="6"/>
  <c r="D99" i="2"/>
  <c r="F82" i="2"/>
  <c r="AC92" i="6"/>
  <c r="AF128" i="6"/>
  <c r="H62" i="2"/>
  <c r="T116" i="6"/>
  <c r="X68" i="6"/>
  <c r="R33" i="6"/>
  <c r="Z68" i="6"/>
  <c r="U56" i="6"/>
  <c r="T80" i="6"/>
  <c r="AS116" i="6"/>
  <c r="V33" i="6"/>
  <c r="AO116" i="6"/>
  <c r="V152" i="6"/>
  <c r="AK152" i="6"/>
  <c r="H21" i="2"/>
  <c r="AC128" i="6"/>
  <c r="AC33" i="6"/>
  <c r="R140" i="6"/>
  <c r="Y116" i="6"/>
  <c r="S33" i="6"/>
  <c r="AL80" i="6"/>
  <c r="S92" i="6"/>
  <c r="S128" i="6"/>
  <c r="AJ33" i="6"/>
  <c r="AD116" i="6"/>
  <c r="AQ140" i="6"/>
  <c r="AA128" i="6"/>
  <c r="AC44" i="6"/>
  <c r="AM116" i="6"/>
  <c r="AA68" i="6"/>
  <c r="AL104" i="6"/>
  <c r="AF10" i="6"/>
  <c r="H74" i="2"/>
  <c r="H102" i="2"/>
  <c r="AT44" i="6"/>
  <c r="AM128" i="6"/>
  <c r="AK68" i="6"/>
  <c r="AS68" i="6"/>
  <c r="O26" i="1"/>
  <c r="P26" i="1" s="1"/>
  <c r="V56" i="6"/>
  <c r="AI116" i="6"/>
  <c r="AR152" i="6"/>
  <c r="H13" i="2"/>
  <c r="H49" i="2"/>
  <c r="H50" i="2"/>
  <c r="H113" i="2"/>
  <c r="H109" i="2"/>
  <c r="H85" i="2"/>
  <c r="AQ80" i="6"/>
  <c r="AI152" i="6"/>
  <c r="H80" i="2"/>
  <c r="V140" i="6"/>
  <c r="F110" i="2"/>
  <c r="AG128" i="6"/>
  <c r="AC104" i="6"/>
  <c r="AC10" i="6"/>
  <c r="AC116" i="6"/>
  <c r="AG22" i="6"/>
  <c r="AF92" i="6"/>
  <c r="H106" i="2"/>
  <c r="AN44" i="6"/>
  <c r="AT128" i="6"/>
  <c r="H73" i="2"/>
  <c r="O45" i="12"/>
  <c r="AT33" i="6"/>
  <c r="W59" i="6"/>
  <c r="AR56" i="6"/>
  <c r="T15" i="3"/>
  <c r="H20" i="2"/>
  <c r="H8" i="2"/>
  <c r="AW10" i="6"/>
  <c r="H98" i="2"/>
  <c r="AZ22" i="6"/>
  <c r="F106" i="2"/>
  <c r="F62" i="2"/>
  <c r="AG92" i="6"/>
  <c r="AK128" i="6"/>
  <c r="AI68" i="6"/>
  <c r="O44" i="12"/>
  <c r="Q45" i="12"/>
  <c r="H129" i="2"/>
  <c r="T92" i="6"/>
  <c r="R15" i="6"/>
  <c r="F15" i="6" s="1"/>
  <c r="AD33" i="6"/>
  <c r="AB56" i="6"/>
  <c r="BR56" i="6" s="1"/>
  <c r="T56" i="6"/>
  <c r="AH68" i="6"/>
  <c r="AA152" i="6"/>
  <c r="BN10" i="6"/>
  <c r="BT22" i="6"/>
  <c r="H103" i="2"/>
  <c r="AF152" i="6"/>
  <c r="AC68" i="6"/>
  <c r="AG104" i="6"/>
  <c r="AG152" i="6"/>
  <c r="AD104" i="6"/>
  <c r="R152" i="6"/>
  <c r="R44" i="6"/>
  <c r="W68" i="6"/>
  <c r="AQ128" i="6"/>
  <c r="AO155" i="6"/>
  <c r="H10" i="2"/>
  <c r="D2" i="2"/>
  <c r="AA92" i="6"/>
  <c r="AU92" i="6"/>
  <c r="AP92" i="6"/>
  <c r="AK92" i="6"/>
  <c r="AR92" i="6"/>
  <c r="AS92" i="6"/>
  <c r="Z92" i="6"/>
  <c r="U92" i="6"/>
  <c r="AM92" i="6"/>
  <c r="AN92" i="6"/>
  <c r="AO92" i="6"/>
  <c r="AQ92" i="6"/>
  <c r="AT92" i="6"/>
  <c r="AB92" i="6"/>
  <c r="BR92" i="6" s="1"/>
  <c r="X92" i="6"/>
  <c r="AL92" i="6"/>
  <c r="AD92" i="6"/>
  <c r="W92" i="6"/>
  <c r="AE92" i="6"/>
  <c r="Y92" i="6"/>
  <c r="AJ92" i="6"/>
  <c r="AI92" i="6"/>
  <c r="AH92" i="6"/>
  <c r="Z80" i="6"/>
  <c r="AR80" i="6"/>
  <c r="AK80" i="6"/>
  <c r="AE80" i="6"/>
  <c r="AH80" i="6"/>
  <c r="AS80" i="6"/>
  <c r="AP80" i="6"/>
  <c r="AU80" i="6"/>
  <c r="AO80" i="6"/>
  <c r="AN80" i="6"/>
  <c r="Y80" i="6"/>
  <c r="AF80" i="6"/>
  <c r="S80" i="6"/>
  <c r="AM80" i="6"/>
  <c r="U80" i="6"/>
  <c r="AT80" i="6"/>
  <c r="AI80" i="6"/>
  <c r="AB80" i="6"/>
  <c r="BR80" i="6" s="1"/>
  <c r="AD80" i="6"/>
  <c r="AA80" i="6"/>
  <c r="R80" i="6"/>
  <c r="X80" i="6"/>
  <c r="W80" i="6"/>
  <c r="AJ80" i="6"/>
  <c r="U33" i="6"/>
  <c r="AS33" i="6"/>
  <c r="AI22" i="6"/>
  <c r="Y97" i="6"/>
  <c r="AE97" i="6"/>
  <c r="AP97" i="6"/>
  <c r="AB97" i="6"/>
  <c r="BR97" i="6" s="1"/>
  <c r="T97" i="6"/>
  <c r="AT85" i="6"/>
  <c r="AI85" i="6"/>
  <c r="T85" i="6"/>
  <c r="S85" i="6"/>
  <c r="AH85" i="6"/>
  <c r="AR61" i="6"/>
  <c r="AP61" i="6"/>
  <c r="AU61" i="6"/>
  <c r="Y61" i="6"/>
  <c r="AJ61" i="6"/>
  <c r="AO61" i="6"/>
  <c r="AB61" i="6"/>
  <c r="BR61" i="6" s="1"/>
  <c r="Z49" i="6"/>
  <c r="S49" i="6"/>
  <c r="AS49" i="6"/>
  <c r="AR37" i="6"/>
  <c r="Z37" i="6"/>
  <c r="AP7" i="6"/>
  <c r="AS7" i="6"/>
  <c r="AU7" i="6"/>
  <c r="AR7" i="6"/>
  <c r="BL17" i="6"/>
  <c r="AR17" i="6"/>
  <c r="AP17" i="6"/>
  <c r="BV17" i="6"/>
  <c r="BC17" i="6"/>
  <c r="BF17" i="6"/>
  <c r="BI17" i="6"/>
  <c r="AO17" i="6"/>
  <c r="BW17" i="6"/>
  <c r="BB17" i="6"/>
  <c r="AS17" i="6"/>
  <c r="BU17" i="6"/>
  <c r="AN17" i="6"/>
  <c r="AK157" i="6"/>
  <c r="BO157" i="6"/>
  <c r="BA157" i="6"/>
  <c r="AL157" i="6"/>
  <c r="AX157" i="6"/>
  <c r="BE157" i="6"/>
  <c r="AP157" i="6"/>
  <c r="AB68" i="6"/>
  <c r="BR68" i="6" s="1"/>
  <c r="AI17" i="6"/>
  <c r="AK33" i="6"/>
  <c r="BG157" i="6"/>
  <c r="AJ157" i="6"/>
  <c r="F56" i="2"/>
  <c r="AE144" i="6"/>
  <c r="AR144" i="6"/>
  <c r="AO144" i="6"/>
  <c r="AN144" i="6"/>
  <c r="AS144" i="6"/>
  <c r="AH132" i="6"/>
  <c r="AQ132" i="6"/>
  <c r="AT120" i="6"/>
  <c r="AK120" i="6"/>
  <c r="U120" i="6"/>
  <c r="Z120" i="6"/>
  <c r="AB120" i="6"/>
  <c r="BR120" i="6" s="1"/>
  <c r="AI120" i="6"/>
  <c r="AU120" i="6"/>
  <c r="T108" i="6"/>
  <c r="AJ108" i="6"/>
  <c r="AO108" i="6"/>
  <c r="AA108" i="6"/>
  <c r="AD108" i="6"/>
  <c r="AL108" i="6"/>
  <c r="AK108" i="6"/>
  <c r="AP108" i="6"/>
  <c r="AE96" i="6"/>
  <c r="X96" i="6"/>
  <c r="AR96" i="6"/>
  <c r="AO84" i="6"/>
  <c r="AE84" i="6"/>
  <c r="AL84" i="6"/>
  <c r="AH72" i="6"/>
  <c r="AR72" i="6"/>
  <c r="Z72" i="6"/>
  <c r="AO72" i="6"/>
  <c r="AJ72" i="6"/>
  <c r="X72" i="6"/>
  <c r="AI72" i="6"/>
  <c r="W72" i="6"/>
  <c r="F72" i="6" s="1"/>
  <c r="AV72" i="6" s="1"/>
  <c r="AL60" i="6"/>
  <c r="Z60" i="6"/>
  <c r="AH60" i="6"/>
  <c r="AR60" i="6"/>
  <c r="AN60" i="6"/>
  <c r="U36" i="6"/>
  <c r="AR36" i="6"/>
  <c r="AO36" i="6"/>
  <c r="T6" i="6"/>
  <c r="AT6" i="6"/>
  <c r="AI6" i="6"/>
  <c r="AQ6" i="6"/>
  <c r="V6" i="6"/>
  <c r="AH6" i="6"/>
  <c r="AS6" i="6"/>
  <c r="S6" i="6"/>
  <c r="AP6" i="6"/>
  <c r="AJ18" i="6"/>
  <c r="AD18" i="6"/>
  <c r="BE18" i="6"/>
  <c r="T18" i="6"/>
  <c r="BV18" i="6"/>
  <c r="BO18" i="6"/>
  <c r="AO18" i="6"/>
  <c r="AB18" i="6"/>
  <c r="AM18" i="6"/>
  <c r="BK18" i="6"/>
  <c r="BF18" i="6"/>
  <c r="BB18" i="6"/>
  <c r="BN18" i="6"/>
  <c r="R56" i="6"/>
  <c r="AB44" i="6"/>
  <c r="BR44" i="6" s="1"/>
  <c r="Y68" i="6"/>
  <c r="U7" i="6"/>
  <c r="BT17" i="6"/>
  <c r="BL10" i="6"/>
  <c r="V85" i="6"/>
  <c r="AS85" i="6"/>
  <c r="X61" i="6"/>
  <c r="AU85" i="6"/>
  <c r="AH61" i="6"/>
  <c r="AN85" i="6"/>
  <c r="V61" i="6"/>
  <c r="AR97" i="6"/>
  <c r="U97" i="6"/>
  <c r="BP17" i="6"/>
  <c r="T68" i="6"/>
  <c r="AK17" i="6"/>
  <c r="W10" i="6"/>
  <c r="D19" i="2"/>
  <c r="R106" i="6"/>
  <c r="R62" i="6"/>
  <c r="AM155" i="6"/>
  <c r="U155" i="6"/>
  <c r="AG155" i="6"/>
  <c r="AR155" i="6"/>
  <c r="W143" i="6"/>
  <c r="AR143" i="6"/>
  <c r="Y143" i="6"/>
  <c r="AS143" i="6"/>
  <c r="AR131" i="6"/>
  <c r="AS131" i="6"/>
  <c r="AM131" i="6"/>
  <c r="AE131" i="6"/>
  <c r="AP131" i="6"/>
  <c r="W131" i="6"/>
  <c r="X131" i="6"/>
  <c r="AQ131" i="6"/>
  <c r="AA131" i="6"/>
  <c r="AD131" i="6"/>
  <c r="Z131" i="6"/>
  <c r="AO119" i="6"/>
  <c r="F119" i="6" s="1"/>
  <c r="AV119" i="6" s="1"/>
  <c r="AU119" i="6"/>
  <c r="AJ119" i="6"/>
  <c r="S119" i="6"/>
  <c r="AI119" i="6"/>
  <c r="AU107" i="6"/>
  <c r="AM107" i="6"/>
  <c r="AJ107" i="6"/>
  <c r="AO107" i="6"/>
  <c r="AK107" i="6"/>
  <c r="AB107" i="6"/>
  <c r="BR107" i="6" s="1"/>
  <c r="AA107" i="6"/>
  <c r="AE107" i="6"/>
  <c r="V107" i="6"/>
  <c r="AS95" i="6"/>
  <c r="W95" i="6"/>
  <c r="AH95" i="6"/>
  <c r="AO95" i="6"/>
  <c r="AM95" i="6"/>
  <c r="T95" i="6"/>
  <c r="AR95" i="6"/>
  <c r="T83" i="6"/>
  <c r="AB83" i="6"/>
  <c r="BR83" i="6" s="1"/>
  <c r="W83" i="6"/>
  <c r="AO71" i="6"/>
  <c r="AK71" i="6"/>
  <c r="AS59" i="6"/>
  <c r="U59" i="6"/>
  <c r="AF59" i="6"/>
  <c r="AP59" i="6"/>
  <c r="AL59" i="6"/>
  <c r="Z35" i="6"/>
  <c r="AA35" i="6"/>
  <c r="AT35" i="6"/>
  <c r="AR35" i="6"/>
  <c r="AE35" i="6"/>
  <c r="AM35" i="6"/>
  <c r="S35" i="6"/>
  <c r="AK35" i="6"/>
  <c r="AB5" i="6"/>
  <c r="BR5" i="6" s="1"/>
  <c r="AO5" i="6"/>
  <c r="X5" i="6"/>
  <c r="AP5" i="6"/>
  <c r="W5" i="6"/>
  <c r="AE5" i="6"/>
  <c r="AK5" i="6"/>
  <c r="Y5" i="6"/>
  <c r="AQ5" i="6"/>
  <c r="AT5" i="6"/>
  <c r="F5" i="6" s="1"/>
  <c r="AV5" i="6" s="1"/>
  <c r="AR5" i="6"/>
  <c r="U5" i="6"/>
  <c r="T5" i="6"/>
  <c r="AR19" i="6"/>
  <c r="AW19" i="6"/>
  <c r="BS19" i="6"/>
  <c r="AK19" i="6"/>
  <c r="Z19" i="6"/>
  <c r="AI19" i="6"/>
  <c r="AO19" i="6"/>
  <c r="AS19" i="6"/>
  <c r="S168" i="12"/>
  <c r="L168" i="12" s="1"/>
  <c r="P168" i="12"/>
  <c r="Q168" i="12" s="1"/>
  <c r="X157" i="6"/>
  <c r="AC17" i="6"/>
  <c r="AC85" i="6"/>
  <c r="AS44" i="6"/>
  <c r="AU68" i="6"/>
  <c r="S56" i="6"/>
  <c r="AF68" i="6"/>
  <c r="AJ7" i="6"/>
  <c r="AL85" i="6"/>
  <c r="AL17" i="6"/>
  <c r="AD97" i="6"/>
  <c r="BI22" i="6"/>
  <c r="AY10" i="6"/>
  <c r="R7" i="6"/>
  <c r="AI97" i="6"/>
  <c r="Z97" i="6"/>
  <c r="AD85" i="6"/>
  <c r="AH97" i="6"/>
  <c r="AA97" i="6"/>
  <c r="AW17" i="6"/>
  <c r="BD17" i="6"/>
  <c r="AB49" i="6"/>
  <c r="BR49" i="6" s="1"/>
  <c r="AJ68" i="6"/>
  <c r="AJ49" i="6"/>
  <c r="Z17" i="6"/>
  <c r="AA11" i="6"/>
  <c r="AV23" i="6"/>
  <c r="S10" i="6"/>
  <c r="BS23" i="6"/>
  <c r="AZ157" i="6"/>
  <c r="AT18" i="6"/>
  <c r="BP22" i="6"/>
  <c r="X44" i="6"/>
  <c r="AC22" i="6"/>
  <c r="AC73" i="6"/>
  <c r="F73" i="6" s="1"/>
  <c r="AV73" i="6" s="1"/>
  <c r="X10" i="6"/>
  <c r="R97" i="6"/>
  <c r="W44" i="6"/>
  <c r="W73" i="6"/>
  <c r="AU56" i="6"/>
  <c r="AI73" i="6"/>
  <c r="AR68" i="6"/>
  <c r="R68" i="6"/>
  <c r="AP73" i="6"/>
  <c r="AD7" i="6"/>
  <c r="AL97" i="6"/>
  <c r="BQ22" i="6"/>
  <c r="AP85" i="6"/>
  <c r="T61" i="6"/>
  <c r="AO97" i="6"/>
  <c r="AD6" i="6"/>
  <c r="AO49" i="6"/>
  <c r="AN67" i="6"/>
  <c r="AQ72" i="6"/>
  <c r="AR55" i="6"/>
  <c r="AT68" i="6"/>
  <c r="AP120" i="6"/>
  <c r="Z22" i="6"/>
  <c r="AB36" i="6"/>
  <c r="BR36" i="6" s="1"/>
  <c r="AG33" i="6"/>
  <c r="AI33" i="6"/>
  <c r="AA33" i="6"/>
  <c r="AR33" i="6"/>
  <c r="AQ33" i="6"/>
  <c r="AM33" i="6"/>
  <c r="AN33" i="6"/>
  <c r="AP33" i="6"/>
  <c r="X85" i="6"/>
  <c r="AL33" i="6"/>
  <c r="AL7" i="6"/>
  <c r="AQ68" i="6"/>
  <c r="AP56" i="6"/>
  <c r="W7" i="6"/>
  <c r="H89" i="2"/>
  <c r="AP151" i="6"/>
  <c r="AK151" i="6"/>
  <c r="AH151" i="6"/>
  <c r="AO139" i="6"/>
  <c r="AE139" i="6"/>
  <c r="AL139" i="6"/>
  <c r="AE115" i="6"/>
  <c r="AO115" i="6"/>
  <c r="AO103" i="6"/>
  <c r="AK103" i="6"/>
  <c r="Z103" i="6"/>
  <c r="U103" i="6"/>
  <c r="Y91" i="6"/>
  <c r="AA91" i="6"/>
  <c r="U91" i="6"/>
  <c r="AP91" i="6"/>
  <c r="AJ91" i="6"/>
  <c r="AH79" i="6"/>
  <c r="AR79" i="6"/>
  <c r="AP79" i="6"/>
  <c r="AK79" i="6"/>
  <c r="AC79" i="6"/>
  <c r="AT67" i="6"/>
  <c r="AD67" i="6"/>
  <c r="U67" i="6"/>
  <c r="AL67" i="6"/>
  <c r="AJ67" i="6"/>
  <c r="AA67" i="6"/>
  <c r="AS67" i="6"/>
  <c r="AH67" i="6"/>
  <c r="AI67" i="6"/>
  <c r="Z67" i="6"/>
  <c r="AQ67" i="6"/>
  <c r="F67" i="6" s="1"/>
  <c r="AV67" i="6" s="1"/>
  <c r="S55" i="6"/>
  <c r="AD55" i="6"/>
  <c r="V55" i="6"/>
  <c r="T55" i="6"/>
  <c r="AQ55" i="6"/>
  <c r="AP55" i="6"/>
  <c r="AH55" i="6"/>
  <c r="AF55" i="6"/>
  <c r="AB55" i="6"/>
  <c r="BR55" i="6" s="1"/>
  <c r="AG55" i="6"/>
  <c r="AH43" i="6"/>
  <c r="AN43" i="6"/>
  <c r="AQ43" i="6"/>
  <c r="AA43" i="6"/>
  <c r="AS43" i="6"/>
  <c r="AP43" i="6"/>
  <c r="S43" i="6"/>
  <c r="AD43" i="6"/>
  <c r="AI43" i="6"/>
  <c r="U43" i="6"/>
  <c r="AM43" i="6"/>
  <c r="AE43" i="6"/>
  <c r="AX11" i="6"/>
  <c r="AT11" i="6"/>
  <c r="AJ11" i="6"/>
  <c r="AP11" i="6"/>
  <c r="U11" i="6"/>
  <c r="AN11" i="6"/>
  <c r="BW23" i="6"/>
  <c r="BL23" i="6"/>
  <c r="BA23" i="6"/>
  <c r="AJ23" i="6"/>
  <c r="AT23" i="6"/>
  <c r="AX23" i="6"/>
  <c r="BV23" i="6"/>
  <c r="AC97" i="6"/>
  <c r="AG7" i="6"/>
  <c r="AG44" i="6"/>
  <c r="X33" i="6"/>
  <c r="AA61" i="6"/>
  <c r="AK97" i="6"/>
  <c r="W97" i="6"/>
  <c r="AS97" i="6"/>
  <c r="AO33" i="6"/>
  <c r="AJ17" i="6"/>
  <c r="W49" i="6"/>
  <c r="AS150" i="6"/>
  <c r="AQ150" i="6"/>
  <c r="Z150" i="6"/>
  <c r="AU150" i="6"/>
  <c r="AR102" i="6"/>
  <c r="AA102" i="6"/>
  <c r="AO102" i="6"/>
  <c r="AK102" i="6"/>
  <c r="AB90" i="6"/>
  <c r="BR90" i="6" s="1"/>
  <c r="AO90" i="6"/>
  <c r="AA90" i="6"/>
  <c r="AK90" i="6"/>
  <c r="AN90" i="6"/>
  <c r="AJ90" i="6"/>
  <c r="T90" i="6"/>
  <c r="AR90" i="6"/>
  <c r="AL90" i="6"/>
  <c r="AH78" i="6"/>
  <c r="X78" i="6"/>
  <c r="Y78" i="6"/>
  <c r="AT78" i="6"/>
  <c r="AK78" i="6"/>
  <c r="Z78" i="6"/>
  <c r="AU78" i="6"/>
  <c r="AR78" i="6"/>
  <c r="Y66" i="6"/>
  <c r="AK66" i="6"/>
  <c r="AJ66" i="6"/>
  <c r="AI66" i="6"/>
  <c r="AF66" i="6"/>
  <c r="X66" i="6"/>
  <c r="AE66" i="6"/>
  <c r="AU66" i="6"/>
  <c r="AT66" i="6"/>
  <c r="AK54" i="6"/>
  <c r="AR54" i="6"/>
  <c r="U54" i="6"/>
  <c r="AP54" i="6"/>
  <c r="AH54" i="6"/>
  <c r="AQ54" i="6"/>
  <c r="AU31" i="6"/>
  <c r="AK31" i="6"/>
  <c r="AA12" i="6"/>
  <c r="U12" i="6"/>
  <c r="W12" i="6"/>
  <c r="BM24" i="6"/>
  <c r="AS24" i="6"/>
  <c r="BD24" i="6"/>
  <c r="AO24" i="6"/>
  <c r="BQ24" i="6"/>
  <c r="BG24" i="6"/>
  <c r="BF24" i="6"/>
  <c r="AP24" i="6"/>
  <c r="AJ24" i="6"/>
  <c r="W24" i="6"/>
  <c r="AU24" i="6"/>
  <c r="BO24" i="6"/>
  <c r="AZ24" i="6"/>
  <c r="AT24" i="6"/>
  <c r="AE68" i="6"/>
  <c r="S68" i="6"/>
  <c r="AL68" i="6"/>
  <c r="AD68" i="6"/>
  <c r="AM68" i="6"/>
  <c r="Z56" i="6"/>
  <c r="AA56" i="6"/>
  <c r="AD56" i="6"/>
  <c r="Y56" i="6"/>
  <c r="AI56" i="6"/>
  <c r="AJ56" i="6"/>
  <c r="AN56" i="6"/>
  <c r="AK56" i="6"/>
  <c r="AT56" i="6"/>
  <c r="AE56" i="6"/>
  <c r="AQ56" i="6"/>
  <c r="AL10" i="6"/>
  <c r="AE10" i="6"/>
  <c r="U10" i="6"/>
  <c r="BV10" i="6"/>
  <c r="AK10" i="6"/>
  <c r="AJ10" i="6"/>
  <c r="S141" i="12"/>
  <c r="L141" i="12" s="1"/>
  <c r="N141" i="12"/>
  <c r="O141" i="12" s="1"/>
  <c r="AV22" i="6"/>
  <c r="T73" i="6"/>
  <c r="AO73" i="6"/>
  <c r="T33" i="6"/>
  <c r="W56" i="6"/>
  <c r="AT97" i="6"/>
  <c r="Y49" i="6"/>
  <c r="AM56" i="6"/>
  <c r="AC56" i="6"/>
  <c r="AK7" i="6"/>
  <c r="AL56" i="6"/>
  <c r="AD10" i="6"/>
  <c r="H53" i="2"/>
  <c r="AL73" i="6"/>
  <c r="AF49" i="6"/>
  <c r="AF33" i="6"/>
  <c r="AQ73" i="6"/>
  <c r="AF56" i="6"/>
  <c r="AG85" i="6"/>
  <c r="S115" i="6"/>
  <c r="AU33" i="6"/>
  <c r="R108" i="6"/>
  <c r="R67" i="6"/>
  <c r="AO7" i="6"/>
  <c r="AE108" i="6"/>
  <c r="AK73" i="6"/>
  <c r="Y48" i="6"/>
  <c r="R84" i="6"/>
  <c r="Y7" i="6"/>
  <c r="AU72" i="6"/>
  <c r="Y17" i="6"/>
  <c r="AM96" i="6"/>
  <c r="BT18" i="6"/>
  <c r="AR6" i="6"/>
  <c r="BN11" i="6"/>
  <c r="Z91" i="6"/>
  <c r="S144" i="6"/>
  <c r="AY23" i="6"/>
  <c r="AU67" i="6"/>
  <c r="T107" i="6"/>
  <c r="U19" i="6"/>
  <c r="R24" i="6"/>
  <c r="AH107" i="6"/>
  <c r="AA139" i="6"/>
  <c r="V59" i="6"/>
  <c r="AR107" i="6"/>
  <c r="Z73" i="6"/>
  <c r="U119" i="6"/>
  <c r="AM5" i="6"/>
  <c r="AJ6" i="6"/>
  <c r="AB33" i="6"/>
  <c r="BR33" i="6" s="1"/>
  <c r="AT49" i="6"/>
  <c r="V5" i="6"/>
  <c r="AE67" i="6"/>
  <c r="AE55" i="6"/>
  <c r="T59" i="6"/>
  <c r="AR43" i="6"/>
  <c r="X56" i="6"/>
  <c r="Z108" i="6"/>
  <c r="AE120" i="6"/>
  <c r="AM144" i="6"/>
  <c r="U35" i="6"/>
  <c r="W66" i="6"/>
  <c r="AO12" i="6"/>
  <c r="AB43" i="6"/>
  <c r="BR43" i="6" s="1"/>
  <c r="BD23" i="6"/>
  <c r="U157" i="6"/>
  <c r="AT157" i="6"/>
  <c r="AH44" i="6"/>
  <c r="S44" i="6"/>
  <c r="AL22" i="6"/>
  <c r="AS22" i="6"/>
  <c r="BA22" i="6"/>
  <c r="X22" i="6"/>
  <c r="BB22" i="6"/>
  <c r="V157" i="6"/>
  <c r="AF85" i="6"/>
  <c r="AG56" i="6"/>
  <c r="R22" i="6"/>
  <c r="AD44" i="6"/>
  <c r="AN7" i="6"/>
  <c r="X97" i="6"/>
  <c r="BE17" i="6"/>
  <c r="BJ22" i="6"/>
  <c r="AC157" i="6"/>
  <c r="AG10" i="6"/>
  <c r="AE33" i="6"/>
  <c r="AM73" i="6"/>
  <c r="T7" i="6"/>
  <c r="AV17" i="6"/>
  <c r="AT17" i="6"/>
  <c r="AN73" i="6"/>
  <c r="V97" i="6"/>
  <c r="AF22" i="6"/>
  <c r="BR157" i="6"/>
  <c r="AG68" i="6"/>
  <c r="AF91" i="6"/>
  <c r="AT115" i="6"/>
  <c r="U68" i="6"/>
  <c r="F68" i="6" s="1"/>
  <c r="AV68" i="6" s="1"/>
  <c r="X7" i="6"/>
  <c r="V108" i="6"/>
  <c r="Y33" i="6"/>
  <c r="AB7" i="6"/>
  <c r="BR7" i="6" s="1"/>
  <c r="R60" i="6"/>
  <c r="S108" i="6"/>
  <c r="S48" i="6"/>
  <c r="R17" i="6"/>
  <c r="S7" i="6"/>
  <c r="AD72" i="6"/>
  <c r="R139" i="6"/>
  <c r="AI84" i="6"/>
  <c r="BG18" i="6"/>
  <c r="AY18" i="6"/>
  <c r="AU96" i="6"/>
  <c r="AL6" i="6"/>
  <c r="AD144" i="6"/>
  <c r="BR23" i="6"/>
  <c r="Y67" i="6"/>
  <c r="Z119" i="6"/>
  <c r="AJ139" i="6"/>
  <c r="AT61" i="6"/>
  <c r="S59" i="6"/>
  <c r="AT107" i="6"/>
  <c r="F107" i="6" s="1"/>
  <c r="AV107" i="6" s="1"/>
  <c r="AH73" i="6"/>
  <c r="AB17" i="6"/>
  <c r="AA5" i="6"/>
  <c r="X6" i="6"/>
  <c r="Z33" i="6"/>
  <c r="AH49" i="6"/>
  <c r="U72" i="6"/>
  <c r="AU59" i="6"/>
  <c r="AJ55" i="6"/>
  <c r="AK55" i="6"/>
  <c r="X67" i="6"/>
  <c r="Y43" i="6"/>
  <c r="AH56" i="6"/>
  <c r="AA96" i="6"/>
  <c r="V120" i="6"/>
  <c r="Z90" i="6"/>
  <c r="AT90" i="6"/>
  <c r="AQ70" i="6"/>
  <c r="AS106" i="6"/>
  <c r="AH154" i="6"/>
  <c r="X154" i="6"/>
  <c r="AL142" i="6"/>
  <c r="AO142" i="6"/>
  <c r="AI142" i="6"/>
  <c r="AT130" i="6"/>
  <c r="AD130" i="6"/>
  <c r="AE130" i="6"/>
  <c r="AN130" i="6"/>
  <c r="AU130" i="6"/>
  <c r="V118" i="6"/>
  <c r="U118" i="6"/>
  <c r="AO118" i="6"/>
  <c r="AS118" i="6"/>
  <c r="AT118" i="6"/>
  <c r="R118" i="6"/>
  <c r="AT106" i="6"/>
  <c r="U106" i="6"/>
  <c r="AB106" i="6"/>
  <c r="BR106" i="6" s="1"/>
  <c r="V106" i="6"/>
  <c r="AR106" i="6"/>
  <c r="S106" i="6"/>
  <c r="AO106" i="6"/>
  <c r="AR82" i="6"/>
  <c r="AO82" i="6"/>
  <c r="AP82" i="6"/>
  <c r="W70" i="6"/>
  <c r="AU70" i="6"/>
  <c r="AN70" i="6"/>
  <c r="AI70" i="6"/>
  <c r="AJ70" i="6"/>
  <c r="AN20" i="6"/>
  <c r="AH20" i="6"/>
  <c r="BC20" i="6"/>
  <c r="BA20" i="6"/>
  <c r="BV20" i="6"/>
  <c r="AH153" i="6"/>
  <c r="AT153" i="6"/>
  <c r="AS153" i="6"/>
  <c r="AN153" i="6"/>
  <c r="AR153" i="6"/>
  <c r="AI141" i="6"/>
  <c r="S141" i="6"/>
  <c r="AT117" i="6"/>
  <c r="AP117" i="6"/>
  <c r="AI117" i="6"/>
  <c r="Z117" i="6"/>
  <c r="U117" i="6"/>
  <c r="AU117" i="6"/>
  <c r="AS105" i="6"/>
  <c r="AA105" i="6"/>
  <c r="AO46" i="6"/>
  <c r="BF20" i="6"/>
  <c r="Z20" i="6"/>
  <c r="AA70" i="6"/>
  <c r="AB142" i="6"/>
  <c r="BR142" i="6" s="1"/>
  <c r="BJ20" i="6"/>
  <c r="BP20" i="6"/>
  <c r="AK142" i="6"/>
  <c r="T58" i="6"/>
  <c r="AU106" i="6"/>
  <c r="AU118" i="6"/>
  <c r="W106" i="6"/>
  <c r="AO130" i="6"/>
  <c r="AB130" i="6"/>
  <c r="BR130" i="6" s="1"/>
  <c r="O57" i="12"/>
  <c r="Q44" i="12"/>
  <c r="AS94" i="6"/>
  <c r="AP142" i="6"/>
  <c r="AM70" i="6"/>
  <c r="Y142" i="6"/>
  <c r="AD20" i="6"/>
  <c r="AS142" i="6"/>
  <c r="AH106" i="6"/>
  <c r="AJ106" i="6"/>
  <c r="AI82" i="6"/>
  <c r="AP130" i="6"/>
  <c r="P293" i="12"/>
  <c r="N293" i="12"/>
  <c r="P290" i="12"/>
  <c r="AE64" i="6"/>
  <c r="S88" i="6"/>
  <c r="AR26" i="6"/>
  <c r="D4" i="2"/>
  <c r="H15" i="2"/>
  <c r="D13" i="2"/>
  <c r="F8" i="2"/>
  <c r="T125" i="6"/>
  <c r="AL125" i="6"/>
  <c r="AH125" i="6"/>
  <c r="F125" i="6" s="1"/>
  <c r="AV125" i="6" s="1"/>
  <c r="AP113" i="6"/>
  <c r="AM113" i="6"/>
  <c r="AA113" i="6"/>
  <c r="AB100" i="6"/>
  <c r="BR100" i="6" s="1"/>
  <c r="T100" i="6"/>
  <c r="AT76" i="6"/>
  <c r="AF76" i="6"/>
  <c r="AH76" i="6"/>
  <c r="AB52" i="6"/>
  <c r="BR52" i="6" s="1"/>
  <c r="AF52" i="6"/>
  <c r="AJ29" i="6"/>
  <c r="AH29" i="6"/>
  <c r="AX14" i="6"/>
  <c r="BQ14" i="6"/>
  <c r="BW14" i="6"/>
  <c r="AK14" i="6"/>
  <c r="AJ14" i="6"/>
  <c r="BM14" i="6"/>
  <c r="AM26" i="6"/>
  <c r="AW26" i="6"/>
  <c r="AO123" i="6"/>
  <c r="W123" i="6"/>
  <c r="AL111" i="6"/>
  <c r="AH111" i="6"/>
  <c r="AA111" i="6"/>
  <c r="H18" i="2"/>
  <c r="H6" i="2"/>
  <c r="F4" i="2"/>
  <c r="H65" i="2"/>
  <c r="H116" i="2"/>
  <c r="H100" i="2"/>
  <c r="H84" i="2"/>
  <c r="F5" i="2"/>
  <c r="I5" i="2" s="1"/>
  <c r="R15" i="3"/>
  <c r="W15" i="3" s="1"/>
  <c r="AA15" i="3" s="1"/>
  <c r="I8" i="3" s="1"/>
  <c r="Q112" i="12"/>
  <c r="H19" i="2"/>
  <c r="F12" i="2"/>
  <c r="H115" i="2"/>
  <c r="H107" i="2"/>
  <c r="H83" i="2"/>
  <c r="H75" i="2"/>
  <c r="N75" i="2" s="1"/>
  <c r="H71" i="2"/>
  <c r="P251" i="12"/>
  <c r="Q251" i="12" s="1"/>
  <c r="P155" i="12"/>
  <c r="Q155" i="12" s="1"/>
  <c r="N191" i="12"/>
  <c r="O191" i="12" s="1"/>
  <c r="AM123" i="6"/>
  <c r="AA44" i="6"/>
  <c r="BG26" i="6"/>
  <c r="BJ26" i="6"/>
  <c r="AT103" i="6"/>
  <c r="BD26" i="6"/>
  <c r="BR15" i="6"/>
  <c r="AA123" i="6"/>
  <c r="BO26" i="6"/>
  <c r="BS157" i="6"/>
  <c r="BN157" i="6"/>
  <c r="M82" i="12"/>
  <c r="Y123" i="6"/>
  <c r="N10" i="2"/>
  <c r="H101" i="2"/>
  <c r="H81" i="2"/>
  <c r="AP81" i="6"/>
  <c r="AA6" i="6"/>
  <c r="BN26" i="6"/>
  <c r="AU123" i="6"/>
  <c r="T123" i="6"/>
  <c r="AR123" i="6"/>
  <c r="AP26" i="6"/>
  <c r="AH140" i="6"/>
  <c r="BG11" i="6"/>
  <c r="AT123" i="6"/>
  <c r="Z6" i="6"/>
  <c r="AS103" i="6"/>
  <c r="BH157" i="6"/>
  <c r="BL157" i="6"/>
  <c r="AB143" i="6"/>
  <c r="BR143" i="6" s="1"/>
  <c r="AY15" i="6"/>
  <c r="U123" i="6"/>
  <c r="AT143" i="6"/>
  <c r="S143" i="6"/>
  <c r="AJ143" i="6"/>
  <c r="AP123" i="6"/>
  <c r="W81" i="6"/>
  <c r="AO86" i="6"/>
  <c r="AD143" i="6"/>
  <c r="AK143" i="6"/>
  <c r="BK157" i="6"/>
  <c r="BP26" i="6"/>
  <c r="V123" i="6"/>
  <c r="AJ140" i="6"/>
  <c r="AY157" i="6"/>
  <c r="AN81" i="6"/>
  <c r="BA26" i="6"/>
  <c r="BD157" i="6"/>
  <c r="Z143" i="6"/>
  <c r="S129" i="12"/>
  <c r="L129" i="12" s="1"/>
  <c r="M129" i="12" s="1"/>
  <c r="AL123" i="6"/>
  <c r="AJ44" i="6"/>
  <c r="AO6" i="6"/>
  <c r="AB81" i="6"/>
  <c r="BR81" i="6" s="1"/>
  <c r="AL99" i="6"/>
  <c r="AW11" i="6"/>
  <c r="AM154" i="6"/>
  <c r="BI26" i="6"/>
  <c r="AN157" i="6"/>
  <c r="AI26" i="6"/>
  <c r="AJ26" i="6"/>
  <c r="W11" i="6"/>
  <c r="AP118" i="6"/>
  <c r="BF157" i="6"/>
  <c r="AW157" i="6"/>
  <c r="BT26" i="6"/>
  <c r="F20" i="2"/>
  <c r="N20" i="2" s="1"/>
  <c r="F40" i="2"/>
  <c r="AM102" i="6"/>
  <c r="T44" i="6"/>
  <c r="F46" i="2"/>
  <c r="F25" i="2"/>
  <c r="Y84" i="6"/>
  <c r="AS140" i="6"/>
  <c r="BD27" i="6"/>
  <c r="AV27" i="6"/>
  <c r="AJ5" i="6"/>
  <c r="AR62" i="6"/>
  <c r="AS45" i="6"/>
  <c r="F45" i="6" s="1"/>
  <c r="AV45" i="6" s="1"/>
  <c r="AD62" i="6"/>
  <c r="U102" i="6"/>
  <c r="Y120" i="6"/>
  <c r="AO120" i="6"/>
  <c r="AO143" i="6"/>
  <c r="AI27" i="6"/>
  <c r="AK98" i="6"/>
  <c r="AE143" i="6"/>
  <c r="AA82" i="6"/>
  <c r="AB123" i="6"/>
  <c r="BR123" i="6" s="1"/>
  <c r="AS62" i="6"/>
  <c r="AC123" i="6"/>
  <c r="AH98" i="6"/>
  <c r="AY26" i="6"/>
  <c r="T101" i="6"/>
  <c r="AD82" i="6"/>
  <c r="AZ26" i="6"/>
  <c r="AM143" i="6"/>
  <c r="AP44" i="6"/>
  <c r="AH5" i="6"/>
  <c r="BD25" i="6"/>
  <c r="AJ123" i="6"/>
  <c r="BM25" i="6"/>
  <c r="BW25" i="6"/>
  <c r="AI62" i="6"/>
  <c r="AQ120" i="6"/>
  <c r="AH123" i="6"/>
  <c r="U82" i="6"/>
  <c r="AJ117" i="6"/>
  <c r="AO44" i="6"/>
  <c r="AP143" i="6"/>
  <c r="AP25" i="6"/>
  <c r="Z82" i="6"/>
  <c r="AA39" i="6"/>
  <c r="BU27" i="6"/>
  <c r="T98" i="6"/>
  <c r="AM82" i="6"/>
  <c r="F52" i="2"/>
  <c r="AQ44" i="6"/>
  <c r="AB102" i="6"/>
  <c r="BR102" i="6" s="1"/>
  <c r="AI64" i="6"/>
  <c r="AE117" i="6"/>
  <c r="BJ25" i="6"/>
  <c r="AM39" i="6"/>
  <c r="AE44" i="6"/>
  <c r="V102" i="6"/>
  <c r="AP102" i="6"/>
  <c r="AS82" i="6"/>
  <c r="AU27" i="6"/>
  <c r="AE79" i="6"/>
  <c r="T143" i="6"/>
  <c r="D6" i="2"/>
  <c r="AU44" i="6"/>
  <c r="AH27" i="6"/>
  <c r="Y44" i="6"/>
  <c r="BE25" i="6"/>
  <c r="AL44" i="6"/>
  <c r="W82" i="6"/>
  <c r="AA27" i="6"/>
  <c r="AR44" i="6"/>
  <c r="AB98" i="6"/>
  <c r="BR98" i="6" s="1"/>
  <c r="S140" i="6"/>
  <c r="BV25" i="6"/>
  <c r="V84" i="6"/>
  <c r="AK44" i="6"/>
  <c r="Z10" i="6"/>
  <c r="AR27" i="6"/>
  <c r="AS10" i="6"/>
  <c r="AH120" i="6"/>
  <c r="BH24" i="6"/>
  <c r="T103" i="6"/>
  <c r="AN24" i="6"/>
  <c r="U142" i="6"/>
  <c r="AJ103" i="6"/>
  <c r="Z24" i="6"/>
  <c r="AR24" i="6"/>
  <c r="BT24" i="6"/>
  <c r="AZ25" i="6"/>
  <c r="AN143" i="6"/>
  <c r="U44" i="6"/>
  <c r="H77" i="2"/>
  <c r="AI44" i="6"/>
  <c r="D16" i="2"/>
  <c r="F70" i="2"/>
  <c r="F66" i="2"/>
  <c r="N290" i="12"/>
  <c r="H87" i="2"/>
  <c r="AO39" i="6"/>
  <c r="H31" i="2"/>
  <c r="F107" i="2"/>
  <c r="N107" i="2" s="1"/>
  <c r="S79" i="12"/>
  <c r="L79" i="12" s="1"/>
  <c r="M79" i="12" s="1"/>
  <c r="D107" i="2"/>
  <c r="H93" i="2"/>
  <c r="H37" i="2"/>
  <c r="N247" i="12"/>
  <c r="H79" i="2"/>
  <c r="U11" i="9"/>
  <c r="F64" i="2"/>
  <c r="U8" i="9"/>
  <c r="AB8" i="9" s="1"/>
  <c r="V8" i="9" s="1"/>
  <c r="H111" i="2"/>
  <c r="H91" i="2"/>
  <c r="M251" i="12"/>
  <c r="F111" i="2"/>
  <c r="D42" i="2"/>
  <c r="D102" i="2"/>
  <c r="F27" i="2"/>
  <c r="R65" i="6"/>
  <c r="F116" i="2"/>
  <c r="R42" i="6"/>
  <c r="H95" i="2"/>
  <c r="AP99" i="6"/>
  <c r="AR22" i="6"/>
  <c r="AB22" i="6"/>
  <c r="AH22" i="6"/>
  <c r="BC22" i="6"/>
  <c r="AM134" i="6"/>
  <c r="BO10" i="6"/>
  <c r="AL110" i="6"/>
  <c r="AE54" i="6"/>
  <c r="H45" i="2"/>
  <c r="D49" i="2"/>
  <c r="H67" i="2"/>
  <c r="AK63" i="6"/>
  <c r="M169" i="12"/>
  <c r="N312" i="12"/>
  <c r="Q241" i="12"/>
  <c r="BM10" i="6"/>
  <c r="O30" i="1"/>
  <c r="P30" i="1" s="1"/>
  <c r="S22" i="6"/>
  <c r="AF65" i="6"/>
  <c r="AQ89" i="6"/>
  <c r="W146" i="6"/>
  <c r="X65" i="6"/>
  <c r="AG83" i="6"/>
  <c r="X83" i="6"/>
  <c r="AG71" i="6"/>
  <c r="AF71" i="6"/>
  <c r="AG48" i="6"/>
  <c r="AG110" i="6"/>
  <c r="X122" i="6"/>
  <c r="R104" i="6"/>
  <c r="BP16" i="6"/>
  <c r="AB116" i="6"/>
  <c r="BR116" i="6" s="1"/>
  <c r="AN128" i="6"/>
  <c r="V42" i="6"/>
  <c r="AR146" i="6"/>
  <c r="AT8" i="6"/>
  <c r="R122" i="6"/>
  <c r="R48" i="6"/>
  <c r="R116" i="6"/>
  <c r="AD8" i="6"/>
  <c r="Z128" i="6"/>
  <c r="AH156" i="6"/>
  <c r="AT77" i="6"/>
  <c r="BH22" i="6"/>
  <c r="BD10" i="6"/>
  <c r="T99" i="6"/>
  <c r="AM10" i="6"/>
  <c r="AO128" i="6"/>
  <c r="T60" i="6"/>
  <c r="BK16" i="6"/>
  <c r="W16" i="6"/>
  <c r="BT156" i="6"/>
  <c r="AK16" i="6"/>
  <c r="AI37" i="6"/>
  <c r="Y54" i="6"/>
  <c r="AU54" i="6"/>
  <c r="V54" i="6"/>
  <c r="AK65" i="6"/>
  <c r="W65" i="6"/>
  <c r="AO110" i="6"/>
  <c r="AP152" i="6"/>
  <c r="Z122" i="6"/>
  <c r="AR48" i="6"/>
  <c r="BW22" i="6"/>
  <c r="BG22" i="6"/>
  <c r="AL65" i="6"/>
  <c r="BH10" i="6"/>
  <c r="AJ152" i="6"/>
  <c r="Y10" i="6"/>
  <c r="S152" i="6"/>
  <c r="AD110" i="6"/>
  <c r="AM152" i="6"/>
  <c r="AD122" i="6"/>
  <c r="AZ10" i="6"/>
  <c r="Y156" i="6"/>
  <c r="F11" i="2"/>
  <c r="M150" i="12"/>
  <c r="R146" i="6"/>
  <c r="AA146" i="6"/>
  <c r="BR16" i="6"/>
  <c r="BU22" i="6"/>
  <c r="AT99" i="6"/>
  <c r="T10" i="6"/>
  <c r="AU60" i="6"/>
  <c r="AU128" i="6"/>
  <c r="AT140" i="6"/>
  <c r="W60" i="6"/>
  <c r="BB156" i="6"/>
  <c r="AY16" i="6"/>
  <c r="AI16" i="6"/>
  <c r="BH156" i="6"/>
  <c r="W37" i="6"/>
  <c r="AO54" i="6"/>
  <c r="AP77" i="6"/>
  <c r="Z152" i="6"/>
  <c r="AI65" i="6"/>
  <c r="AI54" i="6"/>
  <c r="AJ116" i="6"/>
  <c r="W116" i="6"/>
  <c r="W32" i="6"/>
  <c r="Z104" i="6"/>
  <c r="AA122" i="6"/>
  <c r="AR110" i="6"/>
  <c r="AU22" i="6"/>
  <c r="S16" i="6"/>
  <c r="AY22" i="6"/>
  <c r="BQ10" i="6"/>
  <c r="AN152" i="6"/>
  <c r="Y110" i="6"/>
  <c r="AN156" i="6"/>
  <c r="F6" i="2"/>
  <c r="I6" i="2" s="1"/>
  <c r="O135" i="12"/>
  <c r="O102" i="12"/>
  <c r="O67" i="12"/>
  <c r="AI134" i="6"/>
  <c r="AX22" i="6"/>
  <c r="AO16" i="6"/>
  <c r="AS110" i="6"/>
  <c r="F18" i="2"/>
  <c r="AA10" i="6"/>
  <c r="AJ128" i="6"/>
  <c r="AI71" i="6"/>
  <c r="AM140" i="6"/>
  <c r="AK60" i="6"/>
  <c r="BV156" i="6"/>
  <c r="AU16" i="6"/>
  <c r="BU16" i="6"/>
  <c r="AV156" i="6"/>
  <c r="AS37" i="6"/>
  <c r="AJ8" i="6"/>
  <c r="W54" i="6"/>
  <c r="T77" i="6"/>
  <c r="AM99" i="6"/>
  <c r="AE128" i="6"/>
  <c r="AA134" i="6"/>
  <c r="AJ110" i="6"/>
  <c r="AB152" i="6"/>
  <c r="BR152" i="6" s="1"/>
  <c r="W77" i="6"/>
  <c r="AE134" i="6"/>
  <c r="AP22" i="6"/>
  <c r="AA110" i="6"/>
  <c r="AR83" i="6"/>
  <c r="AR16" i="6"/>
  <c r="AB122" i="6"/>
  <c r="BR122" i="6" s="1"/>
  <c r="AB10" i="6"/>
  <c r="AS65" i="6"/>
  <c r="AK122" i="6"/>
  <c r="AU110" i="6"/>
  <c r="AF54" i="6"/>
  <c r="BN22" i="6"/>
  <c r="AN10" i="6"/>
  <c r="BR10" i="6"/>
  <c r="X152" i="6"/>
  <c r="S110" i="6"/>
  <c r="U156" i="6"/>
  <c r="AM156" i="6"/>
  <c r="Q232" i="12"/>
  <c r="O208" i="12"/>
  <c r="O317" i="12"/>
  <c r="M172" i="12"/>
  <c r="O148" i="12"/>
  <c r="M219" i="12"/>
  <c r="O160" i="12"/>
  <c r="O77" i="12"/>
  <c r="W134" i="6"/>
  <c r="M275" i="12"/>
  <c r="V32" i="6"/>
  <c r="AO77" i="6"/>
  <c r="BK22" i="6"/>
  <c r="AT10" i="6"/>
  <c r="AH16" i="6"/>
  <c r="AE110" i="6"/>
  <c r="BF10" i="6"/>
  <c r="AP60" i="6"/>
  <c r="AP94" i="6"/>
  <c r="AH128" i="6"/>
  <c r="W71" i="6"/>
  <c r="U140" i="6"/>
  <c r="AB37" i="6"/>
  <c r="BR37" i="6" s="1"/>
  <c r="X37" i="6"/>
  <c r="BK156" i="6"/>
  <c r="AX156" i="6"/>
  <c r="AW16" i="6"/>
  <c r="BO16" i="6"/>
  <c r="T8" i="6"/>
  <c r="AM77" i="6"/>
  <c r="AB54" i="6"/>
  <c r="BR54" i="6" s="1"/>
  <c r="AS99" i="6"/>
  <c r="AQ122" i="6"/>
  <c r="U89" i="6"/>
  <c r="V16" i="6"/>
  <c r="AK89" i="6"/>
  <c r="AO152" i="6"/>
  <c r="AO32" i="6"/>
  <c r="AD134" i="6"/>
  <c r="X89" i="6"/>
  <c r="Z89" i="6"/>
  <c r="AA65" i="6"/>
  <c r="AA22" i="6"/>
  <c r="AB99" i="6"/>
  <c r="BR99" i="6" s="1"/>
  <c r="AB65" i="6"/>
  <c r="BR65" i="6" s="1"/>
  <c r="AH152" i="6"/>
  <c r="AU104" i="6"/>
  <c r="AU10" i="6"/>
  <c r="BE22" i="6"/>
  <c r="BS10" i="6"/>
  <c r="S99" i="6"/>
  <c r="AJ156" i="6"/>
  <c r="F61" i="2"/>
  <c r="AZ16" i="6"/>
  <c r="T110" i="6"/>
  <c r="AH10" i="6"/>
  <c r="AO94" i="6"/>
  <c r="AB128" i="6"/>
  <c r="BR128" i="6" s="1"/>
  <c r="AT71" i="6"/>
  <c r="T140" i="6"/>
  <c r="AP37" i="6"/>
  <c r="AA37" i="6"/>
  <c r="AY156" i="6"/>
  <c r="BU156" i="6"/>
  <c r="BC16" i="6"/>
  <c r="AM32" i="6"/>
  <c r="Z65" i="6"/>
  <c r="AL54" i="6"/>
  <c r="S94" i="6"/>
  <c r="V77" i="6"/>
  <c r="U99" i="6"/>
  <c r="R110" i="6"/>
  <c r="AR122" i="6"/>
  <c r="V122" i="6"/>
  <c r="AK22" i="6"/>
  <c r="AT134" i="6"/>
  <c r="W110" i="6"/>
  <c r="AU134" i="6"/>
  <c r="X116" i="6"/>
  <c r="Z99" i="6"/>
  <c r="AR10" i="6"/>
  <c r="AH99" i="6"/>
  <c r="AE32" i="6"/>
  <c r="S122" i="6"/>
  <c r="AM104" i="6"/>
  <c r="H43" i="2"/>
  <c r="H39" i="2"/>
  <c r="H35" i="2"/>
  <c r="H26" i="2"/>
  <c r="H57" i="2"/>
  <c r="D113" i="2"/>
  <c r="D109" i="2"/>
  <c r="D105" i="2"/>
  <c r="D101" i="2"/>
  <c r="D97" i="2"/>
  <c r="D93" i="2"/>
  <c r="D85" i="2"/>
  <c r="I85" i="2" s="1"/>
  <c r="D81" i="2"/>
  <c r="D77" i="2"/>
  <c r="D73" i="2"/>
  <c r="N73" i="2" s="1"/>
  <c r="O136" i="12"/>
  <c r="AK42" i="6"/>
  <c r="U134" i="6"/>
  <c r="AS146" i="6"/>
  <c r="AQ42" i="6"/>
  <c r="AD42" i="6"/>
  <c r="AP42" i="6"/>
  <c r="O27" i="1"/>
  <c r="AP134" i="6"/>
  <c r="Y83" i="6"/>
  <c r="U77" i="6"/>
  <c r="AU94" i="6"/>
  <c r="BS22" i="6"/>
  <c r="U152" i="6"/>
  <c r="Y122" i="6"/>
  <c r="AE16" i="6"/>
  <c r="AU122" i="6"/>
  <c r="BE10" i="6"/>
  <c r="BK10" i="6"/>
  <c r="AB94" i="6"/>
  <c r="BR94" i="6" s="1"/>
  <c r="W128" i="6"/>
  <c r="AK48" i="6"/>
  <c r="AJ71" i="6"/>
  <c r="AU140" i="6"/>
  <c r="AE37" i="6"/>
  <c r="BB16" i="6"/>
  <c r="BI156" i="6"/>
  <c r="BT16" i="6"/>
  <c r="AM65" i="6"/>
  <c r="Z54" i="6"/>
  <c r="AI77" i="6"/>
  <c r="AI10" i="6"/>
  <c r="U83" i="6"/>
  <c r="AJ83" i="6"/>
  <c r="AK83" i="6"/>
  <c r="AN140" i="6"/>
  <c r="W22" i="6"/>
  <c r="AO65" i="6"/>
  <c r="AO22" i="6"/>
  <c r="X94" i="6"/>
  <c r="AQ10" i="6"/>
  <c r="AI122" i="6"/>
  <c r="AC65" i="6"/>
  <c r="AH110" i="6"/>
  <c r="BQ156" i="6"/>
  <c r="AN65" i="6"/>
  <c r="AX10" i="6"/>
  <c r="T152" i="6"/>
  <c r="BG16" i="6"/>
  <c r="BF156" i="6"/>
  <c r="F24" i="2"/>
  <c r="F43" i="2"/>
  <c r="F39" i="2"/>
  <c r="F35" i="2"/>
  <c r="F31" i="2"/>
  <c r="F57" i="2"/>
  <c r="F53" i="2"/>
  <c r="H112" i="2"/>
  <c r="I112" i="2" s="1"/>
  <c r="H108" i="2"/>
  <c r="H104" i="2"/>
  <c r="H96" i="2"/>
  <c r="H88" i="2"/>
  <c r="H76" i="2"/>
  <c r="H72" i="2"/>
  <c r="D30" i="2"/>
  <c r="AC32" i="6"/>
  <c r="AG42" i="6"/>
  <c r="AG65" i="6"/>
  <c r="BI10" i="6"/>
  <c r="R32" i="6"/>
  <c r="X42" i="6"/>
  <c r="AH146" i="6"/>
  <c r="Z42" i="6"/>
  <c r="AN42" i="6"/>
  <c r="AL134" i="6"/>
  <c r="T42" i="6"/>
  <c r="AO83" i="6"/>
  <c r="AD152" i="6"/>
  <c r="AT122" i="6"/>
  <c r="BA10" i="6"/>
  <c r="BG10" i="6"/>
  <c r="V94" i="6"/>
  <c r="AL128" i="6"/>
  <c r="AB60" i="6"/>
  <c r="BR60" i="6" s="1"/>
  <c r="AA48" i="6"/>
  <c r="Z71" i="6"/>
  <c r="AG140" i="6"/>
  <c r="V37" i="6"/>
  <c r="BM156" i="6"/>
  <c r="AW156" i="6"/>
  <c r="X16" i="6"/>
  <c r="BH16" i="6"/>
  <c r="BQ16" i="6"/>
  <c r="V71" i="6"/>
  <c r="AS54" i="6"/>
  <c r="AJ54" i="6"/>
  <c r="W140" i="6"/>
  <c r="AI89" i="6"/>
  <c r="U110" i="6"/>
  <c r="AJ77" i="6"/>
  <c r="AJ65" i="6"/>
  <c r="AO37" i="6"/>
  <c r="AO10" i="6"/>
  <c r="AA140" i="6"/>
  <c r="Z110" i="6"/>
  <c r="U146" i="6"/>
  <c r="AA77" i="6"/>
  <c r="AJ134" i="6"/>
  <c r="AU77" i="6"/>
  <c r="AU65" i="6"/>
  <c r="Z134" i="6"/>
  <c r="BS156" i="6"/>
  <c r="BR22" i="6"/>
  <c r="AD65" i="6"/>
  <c r="S118" i="2"/>
  <c r="BJ10" i="6"/>
  <c r="AT152" i="6"/>
  <c r="AN116" i="6"/>
  <c r="H24" i="2"/>
  <c r="D39" i="2"/>
  <c r="D35" i="2"/>
  <c r="D31" i="2"/>
  <c r="D26" i="2"/>
  <c r="D53" i="2"/>
  <c r="D65" i="2"/>
  <c r="N65" i="2" s="1"/>
  <c r="F112" i="2"/>
  <c r="F108" i="2"/>
  <c r="F104" i="2"/>
  <c r="F100" i="2"/>
  <c r="F96" i="2"/>
  <c r="N96" i="2" s="1"/>
  <c r="F92" i="2"/>
  <c r="F84" i="2"/>
  <c r="I84" i="2" s="1"/>
  <c r="F41" i="2"/>
  <c r="AE22" i="6"/>
  <c r="AM22" i="6"/>
  <c r="Q7" i="9"/>
  <c r="T89" i="6"/>
  <c r="AF146" i="6"/>
  <c r="F74" i="2"/>
  <c r="D108" i="2"/>
  <c r="AC99" i="6"/>
  <c r="X99" i="6"/>
  <c r="AG77" i="6"/>
  <c r="X146" i="6"/>
  <c r="AC140" i="6"/>
  <c r="U42" i="6"/>
  <c r="BN16" i="6"/>
  <c r="Y128" i="6"/>
  <c r="W8" i="6"/>
  <c r="AP83" i="6"/>
  <c r="AA8" i="6"/>
  <c r="AI146" i="6"/>
  <c r="AM48" i="6"/>
  <c r="AT146" i="6"/>
  <c r="AP8" i="6"/>
  <c r="AH42" i="6"/>
  <c r="S146" i="6"/>
  <c r="AT42" i="6"/>
  <c r="AJ94" i="6"/>
  <c r="AA94" i="6"/>
  <c r="Y152" i="6"/>
  <c r="AP110" i="6"/>
  <c r="AH122" i="6"/>
  <c r="BB10" i="6"/>
  <c r="BP10" i="6"/>
  <c r="AA42" i="6"/>
  <c r="U37" i="6"/>
  <c r="AS71" i="6"/>
  <c r="AB140" i="6"/>
  <c r="BR140" i="6" s="1"/>
  <c r="BV16" i="6"/>
  <c r="AJ16" i="6"/>
  <c r="AV16" i="6"/>
  <c r="BE16" i="6"/>
  <c r="AD16" i="6"/>
  <c r="AD54" i="6"/>
  <c r="X54" i="6"/>
  <c r="AN77" i="6"/>
  <c r="AE77" i="6"/>
  <c r="AF77" i="6"/>
  <c r="AK140" i="6"/>
  <c r="AI99" i="6"/>
  <c r="U65" i="6"/>
  <c r="U22" i="6"/>
  <c r="AJ22" i="6"/>
  <c r="AK99" i="6"/>
  <c r="AR140" i="6"/>
  <c r="AR32" i="6"/>
  <c r="BM22" i="6"/>
  <c r="BF22" i="6"/>
  <c r="BW10" i="6"/>
  <c r="Y65" i="6"/>
  <c r="AL140" i="6"/>
  <c r="AV10" i="6"/>
  <c r="H46" i="2"/>
  <c r="H42" i="2"/>
  <c r="I42" i="2" s="1"/>
  <c r="H38" i="2"/>
  <c r="H34" i="2"/>
  <c r="H29" i="2"/>
  <c r="H25" i="2"/>
  <c r="H52" i="2"/>
  <c r="D88" i="2"/>
  <c r="Q71" i="12"/>
  <c r="AO146" i="6"/>
  <c r="AQ77" i="6"/>
  <c r="BU10" i="6"/>
  <c r="AE122" i="6"/>
  <c r="U116" i="6"/>
  <c r="X140" i="6"/>
  <c r="AS60" i="6"/>
  <c r="AH65" i="6"/>
  <c r="AA54" i="6"/>
  <c r="AJ122" i="6"/>
  <c r="AJ89" i="6"/>
  <c r="Y140" i="6"/>
  <c r="AK110" i="6"/>
  <c r="W122" i="6"/>
  <c r="AO122" i="6"/>
  <c r="AS152" i="6"/>
  <c r="AE152" i="6"/>
  <c r="BC10" i="6"/>
  <c r="AM122" i="6"/>
  <c r="H16" i="2"/>
  <c r="F9" i="2"/>
  <c r="D29" i="2"/>
  <c r="I29" i="2" s="1"/>
  <c r="D25" i="2"/>
  <c r="D52" i="2"/>
  <c r="N52" i="2" s="1"/>
  <c r="F103" i="2"/>
  <c r="N103" i="2" s="1"/>
  <c r="F95" i="2"/>
  <c r="F91" i="2"/>
  <c r="F83" i="2"/>
  <c r="F71" i="2"/>
  <c r="AE98" i="6"/>
  <c r="F98" i="6" s="1"/>
  <c r="AV98" i="6" s="1"/>
  <c r="U7" i="9"/>
  <c r="AB7" i="9" s="1"/>
  <c r="V7" i="9" s="1"/>
  <c r="D64" i="2"/>
  <c r="F99" i="2"/>
  <c r="F79" i="2"/>
  <c r="O182" i="12"/>
  <c r="M158" i="12"/>
  <c r="Q125" i="12"/>
  <c r="Q89" i="12"/>
  <c r="M78" i="12"/>
  <c r="M205" i="12"/>
  <c r="M181" i="12"/>
  <c r="M157" i="12"/>
  <c r="M146" i="12"/>
  <c r="M65" i="12"/>
  <c r="M37" i="12"/>
  <c r="M48" i="12"/>
  <c r="Q228" i="12"/>
  <c r="O204" i="12"/>
  <c r="M213" i="12"/>
  <c r="M111" i="12"/>
  <c r="M76" i="12"/>
  <c r="M64" i="12"/>
  <c r="N63" i="2"/>
  <c r="N51" i="2"/>
  <c r="M215" i="12"/>
  <c r="M155" i="12"/>
  <c r="O144" i="12"/>
  <c r="Q98" i="12"/>
  <c r="O86" i="12"/>
  <c r="O75" i="12"/>
  <c r="M39" i="12"/>
  <c r="M50" i="12"/>
  <c r="F34" i="6"/>
  <c r="AV34" i="6" s="1"/>
  <c r="Q15" i="3"/>
  <c r="D87" i="2"/>
  <c r="I87" i="2" s="1"/>
  <c r="M237" i="12"/>
  <c r="M202" i="12"/>
  <c r="O154" i="12"/>
  <c r="M132" i="12"/>
  <c r="O121" i="12"/>
  <c r="O109" i="12"/>
  <c r="M97" i="12"/>
  <c r="M85" i="12"/>
  <c r="M62" i="12"/>
  <c r="Q246" i="12"/>
  <c r="S40" i="12"/>
  <c r="L40" i="12" s="1"/>
  <c r="M51" i="12"/>
  <c r="U10" i="9"/>
  <c r="AB10" i="9" s="1"/>
  <c r="V10" i="9" s="1"/>
  <c r="D32" i="2"/>
  <c r="N32" i="2" s="1"/>
  <c r="M201" i="12"/>
  <c r="O189" i="12"/>
  <c r="O177" i="12"/>
  <c r="M165" i="12"/>
  <c r="O153" i="12"/>
  <c r="O131" i="12"/>
  <c r="M108" i="12"/>
  <c r="M96" i="12"/>
  <c r="O84" i="12"/>
  <c r="M73" i="12"/>
  <c r="O40" i="12"/>
  <c r="N106" i="2"/>
  <c r="F112" i="6"/>
  <c r="AV112" i="6" s="1"/>
  <c r="D24" i="2"/>
  <c r="D61" i="2"/>
  <c r="I61" i="2" s="1"/>
  <c r="D66" i="2"/>
  <c r="N66" i="2" s="1"/>
  <c r="D62" i="2"/>
  <c r="F113" i="2"/>
  <c r="N113" i="2" s="1"/>
  <c r="F109" i="2"/>
  <c r="F105" i="2"/>
  <c r="F97" i="2"/>
  <c r="F93" i="2"/>
  <c r="F89" i="2"/>
  <c r="F77" i="2"/>
  <c r="H30" i="2"/>
  <c r="Q224" i="12"/>
  <c r="M212" i="12"/>
  <c r="M152" i="12"/>
  <c r="M119" i="12"/>
  <c r="D89" i="2"/>
  <c r="N89" i="2" s="1"/>
  <c r="M234" i="12"/>
  <c r="M222" i="12"/>
  <c r="M210" i="12"/>
  <c r="M162" i="12"/>
  <c r="Q129" i="12"/>
  <c r="M117" i="12"/>
  <c r="M93" i="12"/>
  <c r="M81" i="12"/>
  <c r="Q70" i="12"/>
  <c r="M58" i="12"/>
  <c r="Q286" i="12"/>
  <c r="M43" i="12"/>
  <c r="M55" i="12"/>
  <c r="U15" i="3"/>
  <c r="H56" i="2"/>
  <c r="D70" i="2"/>
  <c r="F88" i="2"/>
  <c r="F80" i="2"/>
  <c r="F76" i="2"/>
  <c r="F72" i="2"/>
  <c r="S232" i="12"/>
  <c r="L232" i="12" s="1"/>
  <c r="M232" i="12" s="1"/>
  <c r="O197" i="12"/>
  <c r="O185" i="12"/>
  <c r="M104" i="12"/>
  <c r="O80" i="12"/>
  <c r="M47" i="12"/>
  <c r="M33" i="12"/>
  <c r="I10" i="3"/>
  <c r="P152" i="12"/>
  <c r="Q152" i="12" s="1"/>
  <c r="S312" i="12"/>
  <c r="L312" i="12" s="1"/>
  <c r="P63" i="12"/>
  <c r="Q63" i="12" s="1"/>
  <c r="P62" i="12"/>
  <c r="Q62" i="12" s="1"/>
  <c r="P202" i="12"/>
  <c r="Q202" i="12" s="1"/>
  <c r="P74" i="12"/>
  <c r="Q74" i="12" s="1"/>
  <c r="P127" i="12"/>
  <c r="Q127" i="12" s="1"/>
  <c r="N201" i="12"/>
  <c r="O201" i="12" s="1"/>
  <c r="N43" i="12"/>
  <c r="O43" i="12" s="1"/>
  <c r="N116" i="12"/>
  <c r="O116" i="12" s="1"/>
  <c r="N176" i="12"/>
  <c r="O176" i="12" s="1"/>
  <c r="N85" i="12"/>
  <c r="O85" i="12" s="1"/>
  <c r="N152" i="12"/>
  <c r="O152" i="12" s="1"/>
  <c r="N127" i="12"/>
  <c r="O127" i="12" s="1"/>
  <c r="P139" i="12"/>
  <c r="Q139" i="12" s="1"/>
  <c r="P43" i="12"/>
  <c r="Q43" i="12" s="1"/>
  <c r="N107" i="12"/>
  <c r="O107" i="12" s="1"/>
  <c r="P218" i="12"/>
  <c r="Q218" i="12" s="1"/>
  <c r="P291" i="12"/>
  <c r="Q291" i="12" s="1"/>
  <c r="P132" i="12"/>
  <c r="Q132" i="12" s="1"/>
  <c r="N164" i="12"/>
  <c r="O164" i="12" s="1"/>
  <c r="P75" i="12"/>
  <c r="Q75" i="12" s="1"/>
  <c r="N143" i="12"/>
  <c r="O143" i="12" s="1"/>
  <c r="N76" i="12"/>
  <c r="O76" i="12" s="1"/>
  <c r="P159" i="12"/>
  <c r="Q159" i="12" s="1"/>
  <c r="S75" i="12"/>
  <c r="L75" i="12" s="1"/>
  <c r="M75" i="12" s="1"/>
  <c r="N186" i="12"/>
  <c r="O186" i="12" s="1"/>
  <c r="N51" i="12"/>
  <c r="O51" i="12" s="1"/>
  <c r="N296" i="12"/>
  <c r="P93" i="12"/>
  <c r="Q93" i="12" s="1"/>
  <c r="N194" i="12"/>
  <c r="O194" i="12" s="1"/>
  <c r="P55" i="12"/>
  <c r="Q55" i="12" s="1"/>
  <c r="P158" i="12"/>
  <c r="Q158" i="12" s="1"/>
  <c r="N56" i="12"/>
  <c r="O56" i="12" s="1"/>
  <c r="P100" i="12"/>
  <c r="Q100" i="12" s="1"/>
  <c r="N129" i="12"/>
  <c r="O129" i="12" s="1"/>
  <c r="P174" i="12"/>
  <c r="Q174" i="12" s="1"/>
  <c r="N291" i="12"/>
  <c r="O291" i="12" s="1"/>
  <c r="P72" i="12"/>
  <c r="Q72" i="12" s="1"/>
  <c r="P245" i="12"/>
  <c r="N39" i="12"/>
  <c r="O39" i="12" s="1"/>
  <c r="N82" i="12"/>
  <c r="O82" i="12" s="1"/>
  <c r="N111" i="12"/>
  <c r="O111" i="12" s="1"/>
  <c r="N42" i="12"/>
  <c r="O42" i="12" s="1"/>
  <c r="P33" i="12"/>
  <c r="Q33" i="12" s="1"/>
  <c r="P54" i="12"/>
  <c r="Q54" i="12" s="1"/>
  <c r="P234" i="12"/>
  <c r="Q234" i="12" s="1"/>
  <c r="N52" i="12"/>
  <c r="O52" i="12" s="1"/>
  <c r="P41" i="12"/>
  <c r="Q41" i="12" s="1"/>
  <c r="N115" i="12"/>
  <c r="O115" i="12" s="1"/>
  <c r="P295" i="12"/>
  <c r="P39" i="12"/>
  <c r="Q39" i="12" s="1"/>
  <c r="N72" i="12"/>
  <c r="O72" i="12" s="1"/>
  <c r="N58" i="12"/>
  <c r="O58" i="12" s="1"/>
  <c r="N230" i="12"/>
  <c r="O230" i="12" s="1"/>
  <c r="P151" i="12"/>
  <c r="Q151" i="12" s="1"/>
  <c r="S125" i="12"/>
  <c r="L125" i="12" s="1"/>
  <c r="M125" i="12" s="1"/>
  <c r="P269" i="12"/>
  <c r="Q269" i="12" s="1"/>
  <c r="K140" i="12"/>
  <c r="N295" i="12"/>
  <c r="O295" i="12" s="1"/>
  <c r="P81" i="12"/>
  <c r="Q81" i="12" s="1"/>
  <c r="P238" i="12"/>
  <c r="Q238" i="12" s="1"/>
  <c r="N195" i="12"/>
  <c r="O195" i="12" s="1"/>
  <c r="P307" i="12"/>
  <c r="N258" i="12"/>
  <c r="O258" i="12" s="1"/>
  <c r="P222" i="12"/>
  <c r="Q222" i="12" s="1"/>
  <c r="N221" i="12"/>
  <c r="O221" i="12" s="1"/>
  <c r="N128" i="12"/>
  <c r="O128" i="12" s="1"/>
  <c r="N93" i="12"/>
  <c r="O93" i="12" s="1"/>
  <c r="N162" i="12"/>
  <c r="O162" i="12" s="1"/>
  <c r="P196" i="12"/>
  <c r="Q196" i="12" s="1"/>
  <c r="N251" i="12"/>
  <c r="O251" i="12" s="1"/>
  <c r="N59" i="12"/>
  <c r="O59" i="12" s="1"/>
  <c r="P95" i="12"/>
  <c r="Q95" i="12" s="1"/>
  <c r="P162" i="12"/>
  <c r="Q162" i="12" s="1"/>
  <c r="P107" i="12"/>
  <c r="Q107" i="12" s="1"/>
  <c r="P184" i="12"/>
  <c r="Q184" i="12" s="1"/>
  <c r="N106" i="12"/>
  <c r="O106" i="12" s="1"/>
  <c r="N105" i="12"/>
  <c r="O105" i="12" s="1"/>
  <c r="P82" i="12"/>
  <c r="Q82" i="12" s="1"/>
  <c r="N78" i="12"/>
  <c r="O78" i="12" s="1"/>
  <c r="P128" i="12"/>
  <c r="Q128" i="12" s="1"/>
  <c r="P172" i="12"/>
  <c r="Q172" i="12" s="1"/>
  <c r="N196" i="12"/>
  <c r="O196" i="12" s="1"/>
  <c r="N220" i="12"/>
  <c r="O220" i="12" s="1"/>
  <c r="N307" i="12"/>
  <c r="P258" i="12"/>
  <c r="Q258" i="12" s="1"/>
  <c r="N171" i="12"/>
  <c r="O171" i="12" s="1"/>
  <c r="N73" i="12"/>
  <c r="O73" i="12" s="1"/>
  <c r="P94" i="12"/>
  <c r="Q94" i="12" s="1"/>
  <c r="P96" i="12"/>
  <c r="Q96" i="12" s="1"/>
  <c r="N90" i="12"/>
  <c r="O90" i="12" s="1"/>
  <c r="P116" i="12"/>
  <c r="Q116" i="12" s="1"/>
  <c r="P105" i="12"/>
  <c r="Q105" i="12" s="1"/>
  <c r="P220" i="12"/>
  <c r="Q220" i="12" s="1"/>
  <c r="P176" i="12"/>
  <c r="Q176" i="12" s="1"/>
  <c r="P205" i="12"/>
  <c r="Q205" i="12" s="1"/>
  <c r="N207" i="12"/>
  <c r="O207" i="12" s="1"/>
  <c r="N218" i="12"/>
  <c r="O218" i="12" s="1"/>
  <c r="P51" i="12"/>
  <c r="Q51" i="12" s="1"/>
  <c r="P106" i="12"/>
  <c r="Q106" i="12" s="1"/>
  <c r="P108" i="12"/>
  <c r="Q108" i="12" s="1"/>
  <c r="N81" i="12"/>
  <c r="O81" i="12" s="1"/>
  <c r="N223" i="12"/>
  <c r="O223" i="12" s="1"/>
  <c r="P210" i="12"/>
  <c r="Q210" i="12" s="1"/>
  <c r="N222" i="12"/>
  <c r="O222" i="12" s="1"/>
  <c r="P186" i="12"/>
  <c r="Q186" i="12" s="1"/>
  <c r="S224" i="12"/>
  <c r="L224" i="12" s="1"/>
  <c r="M224" i="12" s="1"/>
  <c r="P59" i="12"/>
  <c r="Q59" i="12" s="1"/>
  <c r="P73" i="12"/>
  <c r="Q73" i="12" s="1"/>
  <c r="N139" i="12"/>
  <c r="O139" i="12" s="1"/>
  <c r="P276" i="12"/>
  <c r="Q276" i="12" s="1"/>
  <c r="P221" i="12"/>
  <c r="Q221" i="12" s="1"/>
  <c r="N172" i="12"/>
  <c r="O172" i="12" s="1"/>
  <c r="P195" i="12"/>
  <c r="Q195" i="12" s="1"/>
  <c r="N95" i="12"/>
  <c r="O95" i="12" s="1"/>
  <c r="N123" i="12"/>
  <c r="O123" i="12" s="1"/>
  <c r="P117" i="12"/>
  <c r="Q117" i="12" s="1"/>
  <c r="N117" i="12"/>
  <c r="O117" i="12" s="1"/>
  <c r="N158" i="12"/>
  <c r="O158" i="12" s="1"/>
  <c r="N229" i="12"/>
  <c r="O229" i="12" s="1"/>
  <c r="N219" i="12"/>
  <c r="O219" i="12" s="1"/>
  <c r="N238" i="12"/>
  <c r="O238" i="12" s="1"/>
  <c r="N211" i="12"/>
  <c r="O211" i="12" s="1"/>
  <c r="N217" i="12"/>
  <c r="O217" i="12" s="1"/>
  <c r="N276" i="12"/>
  <c r="O276" i="12" s="1"/>
  <c r="P296" i="12"/>
  <c r="Q296" i="12" s="1"/>
  <c r="P247" i="12"/>
  <c r="Q247" i="12" s="1"/>
  <c r="M40" i="12"/>
  <c r="B44" i="12"/>
  <c r="P146" i="12"/>
  <c r="Q146" i="12" s="1"/>
  <c r="N146" i="12"/>
  <c r="O146" i="12" s="1"/>
  <c r="P215" i="12"/>
  <c r="Q215" i="12" s="1"/>
  <c r="N213" i="12"/>
  <c r="O213" i="12" s="1"/>
  <c r="N205" i="12"/>
  <c r="O205" i="12" s="1"/>
  <c r="N54" i="12"/>
  <c r="O54" i="12" s="1"/>
  <c r="P289" i="12"/>
  <c r="Q289" i="12" s="1"/>
  <c r="P164" i="12"/>
  <c r="Q164" i="12" s="1"/>
  <c r="P266" i="12"/>
  <c r="N50" i="12"/>
  <c r="O50" i="12" s="1"/>
  <c r="N62" i="12"/>
  <c r="O62" i="12" s="1"/>
  <c r="N64" i="12"/>
  <c r="O64" i="12" s="1"/>
  <c r="N66" i="12"/>
  <c r="O66" i="12" s="1"/>
  <c r="P40" i="12"/>
  <c r="Q40" i="12" s="1"/>
  <c r="N96" i="12"/>
  <c r="O96" i="12" s="1"/>
  <c r="P149" i="12"/>
  <c r="Q149" i="12" s="1"/>
  <c r="N149" i="12"/>
  <c r="O149" i="12" s="1"/>
  <c r="P123" i="12"/>
  <c r="Q123" i="12" s="1"/>
  <c r="N104" i="12"/>
  <c r="O104" i="12" s="1"/>
  <c r="N94" i="12"/>
  <c r="O94" i="12" s="1"/>
  <c r="N147" i="12"/>
  <c r="O147" i="12" s="1"/>
  <c r="P217" i="12"/>
  <c r="Q217" i="12" s="1"/>
  <c r="P206" i="12"/>
  <c r="Q206" i="12" s="1"/>
  <c r="P207" i="12"/>
  <c r="Q207" i="12" s="1"/>
  <c r="P171" i="12"/>
  <c r="Q171" i="12" s="1"/>
  <c r="P188" i="12"/>
  <c r="Q188" i="12" s="1"/>
  <c r="P225" i="12"/>
  <c r="Q225" i="12" s="1"/>
  <c r="N232" i="12"/>
  <c r="O232" i="12" s="1"/>
  <c r="P237" i="12"/>
  <c r="Q237" i="12" s="1"/>
  <c r="P302" i="12"/>
  <c r="N242" i="12"/>
  <c r="O242" i="12" s="1"/>
  <c r="S269" i="12"/>
  <c r="L269" i="12" s="1"/>
  <c r="M269" i="12" s="1"/>
  <c r="P91" i="12"/>
  <c r="Q91" i="12" s="1"/>
  <c r="N156" i="12"/>
  <c r="O156" i="12" s="1"/>
  <c r="P170" i="12"/>
  <c r="Q170" i="12" s="1"/>
  <c r="P179" i="12"/>
  <c r="Q179" i="12" s="1"/>
  <c r="N202" i="12"/>
  <c r="O202" i="12" s="1"/>
  <c r="P181" i="12"/>
  <c r="Q181" i="12" s="1"/>
  <c r="N113" i="12"/>
  <c r="O113" i="12" s="1"/>
  <c r="N167" i="12"/>
  <c r="O167" i="12" s="1"/>
  <c r="N237" i="12"/>
  <c r="O237" i="12" s="1"/>
  <c r="P143" i="12"/>
  <c r="Q143" i="12" s="1"/>
  <c r="N125" i="12"/>
  <c r="O125" i="12" s="1"/>
  <c r="N225" i="12"/>
  <c r="O225" i="12" s="1"/>
  <c r="N184" i="12"/>
  <c r="O184" i="12" s="1"/>
  <c r="N92" i="12"/>
  <c r="O92" i="12" s="1"/>
  <c r="P275" i="12"/>
  <c r="Q275" i="12" s="1"/>
  <c r="P211" i="12"/>
  <c r="Q211" i="12" s="1"/>
  <c r="N181" i="12"/>
  <c r="O181" i="12" s="1"/>
  <c r="N151" i="12"/>
  <c r="O151" i="12" s="1"/>
  <c r="P157" i="12"/>
  <c r="Q157" i="12" s="1"/>
  <c r="P180" i="12"/>
  <c r="Q180" i="12" s="1"/>
  <c r="N200" i="12"/>
  <c r="O200" i="12" s="1"/>
  <c r="P223" i="12"/>
  <c r="Q223" i="12" s="1"/>
  <c r="P192" i="12"/>
  <c r="Q192" i="12" s="1"/>
  <c r="N266" i="12"/>
  <c r="O266" i="12" s="1"/>
  <c r="N74" i="12"/>
  <c r="O74" i="12" s="1"/>
  <c r="N41" i="12"/>
  <c r="O41" i="12" s="1"/>
  <c r="N108" i="12"/>
  <c r="O108" i="12" s="1"/>
  <c r="P85" i="12"/>
  <c r="Q85" i="12" s="1"/>
  <c r="P113" i="12"/>
  <c r="Q113" i="12" s="1"/>
  <c r="N79" i="12"/>
  <c r="O79" i="12" s="1"/>
  <c r="P92" i="12"/>
  <c r="Q92" i="12" s="1"/>
  <c r="P104" i="12"/>
  <c r="Q104" i="12" s="1"/>
  <c r="N275" i="12"/>
  <c r="O275" i="12" s="1"/>
  <c r="N209" i="12"/>
  <c r="O209" i="12" s="1"/>
  <c r="N210" i="12"/>
  <c r="O210" i="12" s="1"/>
  <c r="B210" i="12" s="1"/>
  <c r="N157" i="12"/>
  <c r="O157" i="12" s="1"/>
  <c r="N174" i="12"/>
  <c r="O174" i="12" s="1"/>
  <c r="P191" i="12"/>
  <c r="Q191" i="12" s="1"/>
  <c r="N214" i="12"/>
  <c r="O214" i="12" s="1"/>
  <c r="P209" i="12"/>
  <c r="Q209" i="12" s="1"/>
  <c r="N138" i="12"/>
  <c r="O138" i="12" s="1"/>
  <c r="N114" i="12"/>
  <c r="O114" i="12" s="1"/>
  <c r="N155" i="12"/>
  <c r="O155" i="12" s="1"/>
  <c r="P115" i="12"/>
  <c r="Q115" i="12" s="1"/>
  <c r="P65" i="12"/>
  <c r="Q65" i="12" s="1"/>
  <c r="P213" i="12"/>
  <c r="Q213" i="12" s="1"/>
  <c r="N133" i="12"/>
  <c r="O133" i="12" s="1"/>
  <c r="P90" i="12"/>
  <c r="Q90" i="12" s="1"/>
  <c r="N170" i="12"/>
  <c r="O170" i="12" s="1"/>
  <c r="P141" i="12"/>
  <c r="Q141" i="12" s="1"/>
  <c r="N168" i="12"/>
  <c r="O168" i="12" s="1"/>
  <c r="P194" i="12"/>
  <c r="Q194" i="12" s="1"/>
  <c r="N60" i="12"/>
  <c r="O60" i="12" s="1"/>
  <c r="N36" i="12"/>
  <c r="O36" i="12" s="1"/>
  <c r="P142" i="12"/>
  <c r="Q142" i="12" s="1"/>
  <c r="N145" i="12"/>
  <c r="O145" i="12" s="1"/>
  <c r="P114" i="12"/>
  <c r="Q114" i="12" s="1"/>
  <c r="P198" i="12"/>
  <c r="Q198" i="12" s="1"/>
  <c r="P50" i="12"/>
  <c r="Q50" i="12" s="1"/>
  <c r="N53" i="12"/>
  <c r="O53" i="12" s="1"/>
  <c r="P64" i="12"/>
  <c r="Q64" i="12" s="1"/>
  <c r="P66" i="12"/>
  <c r="Q66" i="12" s="1"/>
  <c r="P58" i="12"/>
  <c r="Q58" i="12" s="1"/>
  <c r="N119" i="12"/>
  <c r="O119" i="12" s="1"/>
  <c r="N120" i="12"/>
  <c r="O120" i="12" s="1"/>
  <c r="P97" i="12"/>
  <c r="Q97" i="12" s="1"/>
  <c r="N91" i="12"/>
  <c r="O91" i="12" s="1"/>
  <c r="N142" i="12"/>
  <c r="O142" i="12" s="1"/>
  <c r="N234" i="12"/>
  <c r="O234" i="12" s="1"/>
  <c r="P103" i="12"/>
  <c r="Q103" i="12" s="1"/>
  <c r="N192" i="12"/>
  <c r="O192" i="12" s="1"/>
  <c r="N65" i="12"/>
  <c r="O65" i="12" s="1"/>
  <c r="N132" i="12"/>
  <c r="O132" i="12" s="1"/>
  <c r="P133" i="12"/>
  <c r="Q133" i="12" s="1"/>
  <c r="N103" i="12"/>
  <c r="O103" i="12" s="1"/>
  <c r="P167" i="12"/>
  <c r="Q167" i="12" s="1"/>
  <c r="N180" i="12"/>
  <c r="O180" i="12" s="1"/>
  <c r="I102" i="2"/>
  <c r="H2" i="2"/>
  <c r="L5" i="2" s="1"/>
  <c r="P5" i="2" s="1"/>
  <c r="M35" i="12"/>
  <c r="M118" i="2"/>
  <c r="M128" i="2"/>
  <c r="M69" i="2"/>
  <c r="S122" i="12"/>
  <c r="L122" i="12" s="1"/>
  <c r="M122" i="12" s="1"/>
  <c r="N122" i="12"/>
  <c r="O122" i="12" s="1"/>
  <c r="P285" i="12"/>
  <c r="Q285" i="12" s="1"/>
  <c r="N285" i="12"/>
  <c r="S288" i="12"/>
  <c r="L288" i="12" s="1"/>
  <c r="M288" i="12" s="1"/>
  <c r="P288" i="12"/>
  <c r="Q288" i="12" s="1"/>
  <c r="S299" i="12"/>
  <c r="L299" i="12" s="1"/>
  <c r="M299" i="12" s="1"/>
  <c r="N299" i="12"/>
  <c r="O299" i="12" s="1"/>
  <c r="P299" i="12"/>
  <c r="Q299" i="12" s="1"/>
  <c r="P320" i="12"/>
  <c r="Q320" i="12" s="1"/>
  <c r="N320" i="12"/>
  <c r="O320" i="12" s="1"/>
  <c r="S38" i="12"/>
  <c r="L38" i="12" s="1"/>
  <c r="M38" i="12" s="1"/>
  <c r="P38" i="12"/>
  <c r="Q38" i="12" s="1"/>
  <c r="S49" i="12"/>
  <c r="L49" i="12" s="1"/>
  <c r="M49" i="12" s="1"/>
  <c r="N49" i="12"/>
  <c r="O49" i="12" s="1"/>
  <c r="P49" i="12"/>
  <c r="Q49" i="12" s="1"/>
  <c r="S101" i="12"/>
  <c r="L101" i="12" s="1"/>
  <c r="M101" i="12" s="1"/>
  <c r="N101" i="12"/>
  <c r="O101" i="12" s="1"/>
  <c r="K118" i="2"/>
  <c r="K128" i="2"/>
  <c r="P60" i="12"/>
  <c r="Q60" i="12" s="1"/>
  <c r="M139" i="12"/>
  <c r="F38" i="2"/>
  <c r="F34" i="2"/>
  <c r="I34" i="2" s="1"/>
  <c r="D104" i="2"/>
  <c r="D100" i="2"/>
  <c r="D80" i="2"/>
  <c r="N80" i="2" s="1"/>
  <c r="S140" i="12"/>
  <c r="L140" i="12" s="1"/>
  <c r="M140" i="12" s="1"/>
  <c r="N140" i="12"/>
  <c r="O140" i="12" s="1"/>
  <c r="S131" i="12"/>
  <c r="L131" i="12" s="1"/>
  <c r="M131" i="12" s="1"/>
  <c r="P131" i="12"/>
  <c r="Q131" i="12" s="1"/>
  <c r="S121" i="12"/>
  <c r="L121" i="12" s="1"/>
  <c r="M121" i="12" s="1"/>
  <c r="P121" i="12"/>
  <c r="Q121" i="12" s="1"/>
  <c r="S110" i="12"/>
  <c r="L110" i="12" s="1"/>
  <c r="M110" i="12" s="1"/>
  <c r="P110" i="12"/>
  <c r="Q110" i="12" s="1"/>
  <c r="N110" i="12"/>
  <c r="O110" i="12" s="1"/>
  <c r="S98" i="12"/>
  <c r="L98" i="12" s="1"/>
  <c r="M98" i="12" s="1"/>
  <c r="N98" i="12"/>
  <c r="O98" i="12" s="1"/>
  <c r="S154" i="12"/>
  <c r="L154" i="12" s="1"/>
  <c r="M154" i="12" s="1"/>
  <c r="P154" i="12"/>
  <c r="Q154" i="12" s="1"/>
  <c r="F45" i="2"/>
  <c r="S130" i="12"/>
  <c r="L130" i="12" s="1"/>
  <c r="M130" i="12" s="1"/>
  <c r="N130" i="12"/>
  <c r="O130" i="12" s="1"/>
  <c r="S109" i="12"/>
  <c r="L109" i="12" s="1"/>
  <c r="M109" i="12" s="1"/>
  <c r="P109" i="12"/>
  <c r="Q109" i="12" s="1"/>
  <c r="S190" i="12"/>
  <c r="L190" i="12" s="1"/>
  <c r="M190" i="12" s="1"/>
  <c r="N190" i="12"/>
  <c r="O190" i="12" s="1"/>
  <c r="S189" i="12"/>
  <c r="L189" i="12" s="1"/>
  <c r="M189" i="12" s="1"/>
  <c r="P189" i="12"/>
  <c r="Q189" i="12" s="1"/>
  <c r="F33" i="2"/>
  <c r="N48" i="12"/>
  <c r="O48" i="12" s="1"/>
  <c r="D92" i="2"/>
  <c r="S86" i="12"/>
  <c r="L86" i="12" s="1"/>
  <c r="P86" i="12"/>
  <c r="Q86" i="12" s="1"/>
  <c r="M72" i="12"/>
  <c r="S161" i="12"/>
  <c r="L161" i="12" s="1"/>
  <c r="M161" i="12" s="1"/>
  <c r="P161" i="12"/>
  <c r="Q161" i="12" s="1"/>
  <c r="N161" i="12"/>
  <c r="O161" i="12" s="1"/>
  <c r="N169" i="12"/>
  <c r="O169" i="12" s="1"/>
  <c r="P169" i="12"/>
  <c r="Q169" i="12" s="1"/>
  <c r="M63" i="12"/>
  <c r="S46" i="12"/>
  <c r="L46" i="12" s="1"/>
  <c r="M46" i="12" s="1"/>
  <c r="P46" i="12"/>
  <c r="Q46" i="12" s="1"/>
  <c r="D14" i="2"/>
  <c r="L118" i="2"/>
  <c r="L69" i="2"/>
  <c r="S178" i="12"/>
  <c r="L178" i="12" s="1"/>
  <c r="M178" i="12" s="1"/>
  <c r="N178" i="12"/>
  <c r="O178" i="12" s="1"/>
  <c r="S67" i="12"/>
  <c r="L67" i="12" s="1"/>
  <c r="P67" i="12"/>
  <c r="Q67" i="12" s="1"/>
  <c r="P319" i="12"/>
  <c r="Q319" i="12" s="1"/>
  <c r="N319" i="12"/>
  <c r="S233" i="12"/>
  <c r="L233" i="12" s="1"/>
  <c r="P233" i="12"/>
  <c r="Q233" i="12" s="1"/>
  <c r="N233" i="12"/>
  <c r="O233" i="12" s="1"/>
  <c r="S99" i="12"/>
  <c r="L99" i="12" s="1"/>
  <c r="M99" i="12" s="1"/>
  <c r="N99" i="12"/>
  <c r="O99" i="12" s="1"/>
  <c r="P99" i="12"/>
  <c r="Q99" i="12" s="1"/>
  <c r="D95" i="2"/>
  <c r="I95" i="2" s="1"/>
  <c r="D115" i="2"/>
  <c r="I115" i="2" s="1"/>
  <c r="M195" i="12"/>
  <c r="P212" i="12"/>
  <c r="Q212" i="12" s="1"/>
  <c r="D38" i="2"/>
  <c r="I51" i="2"/>
  <c r="D82" i="2"/>
  <c r="N82" i="2" s="1"/>
  <c r="M45" i="12"/>
  <c r="B45" i="12" s="1"/>
  <c r="P201" i="12"/>
  <c r="Q201" i="12" s="1"/>
  <c r="M238" i="12"/>
  <c r="S173" i="12"/>
  <c r="L173" i="12" s="1"/>
  <c r="M173" i="12" s="1"/>
  <c r="P173" i="12"/>
  <c r="Q173" i="12" s="1"/>
  <c r="N78" i="2"/>
  <c r="N35" i="12"/>
  <c r="O35" i="12" s="1"/>
  <c r="N69" i="12"/>
  <c r="O69" i="12" s="1"/>
  <c r="P37" i="12"/>
  <c r="Q37" i="12" s="1"/>
  <c r="P69" i="12"/>
  <c r="Q69" i="12" s="1"/>
  <c r="P140" i="12"/>
  <c r="Q140" i="12" s="1"/>
  <c r="M141" i="12"/>
  <c r="M100" i="12"/>
  <c r="M115" i="12"/>
  <c r="N288" i="12"/>
  <c r="D21" i="2"/>
  <c r="I21" i="2" s="1"/>
  <c r="S112" i="12"/>
  <c r="L112" i="12" s="1"/>
  <c r="M112" i="12" s="1"/>
  <c r="N112" i="12"/>
  <c r="O112" i="12" s="1"/>
  <c r="D45" i="2"/>
  <c r="I106" i="2"/>
  <c r="P120" i="12"/>
  <c r="Q120" i="12" s="1"/>
  <c r="P145" i="12"/>
  <c r="Q145" i="12" s="1"/>
  <c r="N150" i="12"/>
  <c r="O150" i="12" s="1"/>
  <c r="M200" i="12"/>
  <c r="M196" i="12"/>
  <c r="S236" i="12"/>
  <c r="L236" i="12" s="1"/>
  <c r="P236" i="12"/>
  <c r="Q236" i="12" s="1"/>
  <c r="N236" i="12"/>
  <c r="O236" i="12" s="1"/>
  <c r="S144" i="12"/>
  <c r="L144" i="12" s="1"/>
  <c r="M144" i="12" s="1"/>
  <c r="P144" i="12"/>
  <c r="Q144" i="12" s="1"/>
  <c r="S166" i="12"/>
  <c r="L166" i="12" s="1"/>
  <c r="M166" i="12" s="1"/>
  <c r="P166" i="12"/>
  <c r="Q166" i="12" s="1"/>
  <c r="S308" i="12"/>
  <c r="L308" i="12" s="1"/>
  <c r="M308" i="12" s="1"/>
  <c r="N308" i="12"/>
  <c r="O308" i="12" s="1"/>
  <c r="P308" i="12"/>
  <c r="Q308" i="12" s="1"/>
  <c r="D57" i="2"/>
  <c r="S309" i="12"/>
  <c r="L309" i="12" s="1"/>
  <c r="M309" i="12" s="1"/>
  <c r="N309" i="12"/>
  <c r="P309" i="12"/>
  <c r="Q309" i="12" s="1"/>
  <c r="P68" i="12"/>
  <c r="Q68" i="12" s="1"/>
  <c r="D116" i="2"/>
  <c r="S88" i="12"/>
  <c r="L88" i="12" s="1"/>
  <c r="M88" i="12" s="1"/>
  <c r="N88" i="12"/>
  <c r="O88" i="12" s="1"/>
  <c r="O188" i="12"/>
  <c r="D18" i="2"/>
  <c r="N18" i="2" s="1"/>
  <c r="D98" i="2"/>
  <c r="P111" i="12"/>
  <c r="Q111" i="12" s="1"/>
  <c r="P160" i="12"/>
  <c r="Q160" i="12" s="1"/>
  <c r="N224" i="12"/>
  <c r="O224" i="12" s="1"/>
  <c r="P165" i="12"/>
  <c r="Q165" i="12" s="1"/>
  <c r="D83" i="2"/>
  <c r="D76" i="2"/>
  <c r="D110" i="2"/>
  <c r="D55" i="2"/>
  <c r="I55" i="2" s="1"/>
  <c r="N63" i="12"/>
  <c r="O63" i="12" s="1"/>
  <c r="N47" i="12"/>
  <c r="O47" i="12" s="1"/>
  <c r="P48" i="12"/>
  <c r="Q48" i="12" s="1"/>
  <c r="P130" i="12"/>
  <c r="Q130" i="12" s="1"/>
  <c r="I13" i="2"/>
  <c r="D119" i="2"/>
  <c r="D28" i="2"/>
  <c r="N68" i="12"/>
  <c r="O68" i="12" s="1"/>
  <c r="N37" i="12"/>
  <c r="O37" i="12" s="1"/>
  <c r="P119" i="12"/>
  <c r="Q119" i="12" s="1"/>
  <c r="P150" i="12"/>
  <c r="Q150" i="12" s="1"/>
  <c r="P78" i="12"/>
  <c r="Q78" i="12" s="1"/>
  <c r="P122" i="12"/>
  <c r="Q122" i="12" s="1"/>
  <c r="N87" i="12"/>
  <c r="O87" i="12" s="1"/>
  <c r="P200" i="12"/>
  <c r="Q200" i="12" s="1"/>
  <c r="N212" i="12"/>
  <c r="O212" i="12" s="1"/>
  <c r="N173" i="12"/>
  <c r="O173" i="12" s="1"/>
  <c r="M194" i="12"/>
  <c r="S126" i="12"/>
  <c r="L126" i="12" s="1"/>
  <c r="M126" i="12" s="1"/>
  <c r="P126" i="12"/>
  <c r="Q126" i="12" s="1"/>
  <c r="N126" i="12"/>
  <c r="O126" i="12" s="1"/>
  <c r="S235" i="12"/>
  <c r="L235" i="12" s="1"/>
  <c r="M235" i="12" s="1"/>
  <c r="P235" i="12"/>
  <c r="Q235" i="12" s="1"/>
  <c r="N235" i="12"/>
  <c r="O235" i="12" s="1"/>
  <c r="S177" i="12"/>
  <c r="L177" i="12" s="1"/>
  <c r="M177" i="12" s="1"/>
  <c r="P177" i="12"/>
  <c r="Q177" i="12" s="1"/>
  <c r="S261" i="12"/>
  <c r="L261" i="12" s="1"/>
  <c r="M261" i="12" s="1"/>
  <c r="N261" i="12"/>
  <c r="O261" i="12" s="1"/>
  <c r="S77" i="12"/>
  <c r="L77" i="12" s="1"/>
  <c r="M77" i="12" s="1"/>
  <c r="P77" i="12"/>
  <c r="Q77" i="12" s="1"/>
  <c r="L128" i="2"/>
  <c r="D86" i="2"/>
  <c r="I86" i="2" s="1"/>
  <c r="P35" i="12"/>
  <c r="Q35" i="12" s="1"/>
  <c r="N13" i="2"/>
  <c r="I35" i="2"/>
  <c r="D37" i="2"/>
  <c r="N17" i="2"/>
  <c r="D94" i="2"/>
  <c r="N94" i="2" s="1"/>
  <c r="F54" i="2"/>
  <c r="I54" i="2" s="1"/>
  <c r="N38" i="12"/>
  <c r="O38" i="12" s="1"/>
  <c r="P47" i="12"/>
  <c r="Q47" i="12" s="1"/>
  <c r="M34" i="12"/>
  <c r="N97" i="12"/>
  <c r="O97" i="12" s="1"/>
  <c r="P101" i="12"/>
  <c r="Q101" i="12" s="1"/>
  <c r="P87" i="12"/>
  <c r="Q87" i="12" s="1"/>
  <c r="N166" i="12"/>
  <c r="O166" i="12" s="1"/>
  <c r="N165" i="12"/>
  <c r="O165" i="12" s="1"/>
  <c r="F67" i="2"/>
  <c r="F119" i="2"/>
  <c r="M186" i="12"/>
  <c r="D71" i="2"/>
  <c r="N71" i="2" s="1"/>
  <c r="F98" i="2"/>
  <c r="M57" i="12"/>
  <c r="B57" i="12" s="1"/>
  <c r="F14" i="2"/>
  <c r="F44" i="2"/>
  <c r="F36" i="2"/>
  <c r="S216" i="12"/>
  <c r="L216" i="12" s="1"/>
  <c r="N216" i="12"/>
  <c r="O216" i="12" s="1"/>
  <c r="P216" i="12"/>
  <c r="Q216" i="12" s="1"/>
  <c r="S204" i="12"/>
  <c r="L204" i="12" s="1"/>
  <c r="M204" i="12" s="1"/>
  <c r="P204" i="12"/>
  <c r="Q204" i="12" s="1"/>
  <c r="S193" i="12"/>
  <c r="L193" i="12" s="1"/>
  <c r="M193" i="12" s="1"/>
  <c r="N193" i="12"/>
  <c r="O193" i="12" s="1"/>
  <c r="P193" i="12"/>
  <c r="Q193" i="12" s="1"/>
  <c r="S136" i="12"/>
  <c r="L136" i="12" s="1"/>
  <c r="M136" i="12" s="1"/>
  <c r="P136" i="12"/>
  <c r="Q136" i="12" s="1"/>
  <c r="S135" i="12"/>
  <c r="L135" i="12" s="1"/>
  <c r="M135" i="12" s="1"/>
  <c r="P135" i="12"/>
  <c r="Q135" i="12" s="1"/>
  <c r="S71" i="12"/>
  <c r="L71" i="12" s="1"/>
  <c r="M71" i="12" s="1"/>
  <c r="N71" i="12"/>
  <c r="O71" i="12" s="1"/>
  <c r="S89" i="12"/>
  <c r="L89" i="12" s="1"/>
  <c r="M89" i="12" s="1"/>
  <c r="N89" i="12"/>
  <c r="O89" i="12" s="1"/>
  <c r="N46" i="12"/>
  <c r="O46" i="12" s="1"/>
  <c r="N100" i="12"/>
  <c r="O100" i="12" s="1"/>
  <c r="P178" i="12"/>
  <c r="Q178" i="12" s="1"/>
  <c r="P190" i="12"/>
  <c r="Q190" i="12" s="1"/>
  <c r="D74" i="2"/>
  <c r="I74" i="2" s="1"/>
  <c r="M209" i="12"/>
  <c r="D41" i="2"/>
  <c r="D129" i="2"/>
  <c r="N129" i="2" s="1"/>
  <c r="M184" i="12"/>
  <c r="D67" i="2"/>
  <c r="M221" i="12"/>
  <c r="D44" i="2"/>
  <c r="D36" i="2"/>
  <c r="D27" i="2"/>
  <c r="N27" i="2" s="1"/>
  <c r="D58" i="2"/>
  <c r="N58" i="2" s="1"/>
  <c r="S226" i="12"/>
  <c r="L226" i="12" s="1"/>
  <c r="M226" i="12" s="1"/>
  <c r="N226" i="12"/>
  <c r="O226" i="12" s="1"/>
  <c r="S160" i="12"/>
  <c r="L160" i="12" s="1"/>
  <c r="M160" i="12" s="1"/>
  <c r="S80" i="12"/>
  <c r="L80" i="12" s="1"/>
  <c r="M80" i="12" s="1"/>
  <c r="P80" i="12"/>
  <c r="Q80" i="12" s="1"/>
  <c r="D91" i="2"/>
  <c r="D9" i="2"/>
  <c r="M217" i="12"/>
  <c r="F28" i="2"/>
  <c r="I63" i="2"/>
  <c r="I114" i="2"/>
  <c r="M41" i="12"/>
  <c r="M156" i="12"/>
  <c r="M167" i="12"/>
  <c r="D15" i="2"/>
  <c r="I15" i="2" s="1"/>
  <c r="M94" i="12"/>
  <c r="F37" i="2"/>
  <c r="D72" i="2"/>
  <c r="M56" i="12"/>
  <c r="S300" i="12"/>
  <c r="L300" i="12" s="1"/>
  <c r="M300" i="12" s="1"/>
  <c r="P300" i="12"/>
  <c r="Q300" i="12" s="1"/>
  <c r="S311" i="12"/>
  <c r="L311" i="12" s="1"/>
  <c r="M311" i="12" s="1"/>
  <c r="N311" i="12"/>
  <c r="O311" i="12" s="1"/>
  <c r="P311" i="12"/>
  <c r="Q311" i="12" s="1"/>
  <c r="S134" i="12"/>
  <c r="L134" i="12" s="1"/>
  <c r="M134" i="12" s="1"/>
  <c r="N134" i="12"/>
  <c r="O134" i="12" s="1"/>
  <c r="P134" i="12"/>
  <c r="Q134" i="12" s="1"/>
  <c r="N301" i="12"/>
  <c r="O301" i="12" s="1"/>
  <c r="P301" i="12"/>
  <c r="Q301" i="12" s="1"/>
  <c r="M207" i="12"/>
  <c r="S317" i="12"/>
  <c r="L317" i="12" s="1"/>
  <c r="M317" i="12" s="1"/>
  <c r="P317" i="12"/>
  <c r="Q317" i="12" s="1"/>
  <c r="M123" i="12"/>
  <c r="S118" i="12"/>
  <c r="L118" i="12" s="1"/>
  <c r="M118" i="12" s="1"/>
  <c r="N118" i="12"/>
  <c r="O118" i="12" s="1"/>
  <c r="P118" i="12"/>
  <c r="Q118" i="12" s="1"/>
  <c r="P278" i="12"/>
  <c r="Q278" i="12" s="1"/>
  <c r="N278" i="12"/>
  <c r="O278" i="12" s="1"/>
  <c r="M218" i="12"/>
  <c r="S148" i="12"/>
  <c r="L148" i="12" s="1"/>
  <c r="P148" i="12"/>
  <c r="Q148" i="12" s="1"/>
  <c r="M106" i="12"/>
  <c r="S305" i="12"/>
  <c r="L305" i="12" s="1"/>
  <c r="M305" i="12" s="1"/>
  <c r="P305" i="12"/>
  <c r="Q305" i="12" s="1"/>
  <c r="M66" i="12"/>
  <c r="P219" i="12"/>
  <c r="Q219" i="12" s="1"/>
  <c r="H9" i="2"/>
  <c r="N159" i="12"/>
  <c r="O159" i="12" s="1"/>
  <c r="I19" i="2"/>
  <c r="D7" i="2"/>
  <c r="H90" i="2"/>
  <c r="N90" i="2" s="1"/>
  <c r="H40" i="2"/>
  <c r="I40" i="2" s="1"/>
  <c r="S228" i="12"/>
  <c r="L228" i="12" s="1"/>
  <c r="M228" i="12" s="1"/>
  <c r="N228" i="12"/>
  <c r="O228" i="12" s="1"/>
  <c r="S182" i="12"/>
  <c r="L182" i="12" s="1"/>
  <c r="M182" i="12" s="1"/>
  <c r="P182" i="12"/>
  <c r="Q182" i="12" s="1"/>
  <c r="M147" i="12"/>
  <c r="M127" i="12"/>
  <c r="M116" i="12"/>
  <c r="M214" i="12"/>
  <c r="U14" i="3"/>
  <c r="P214" i="12"/>
  <c r="Q214" i="12" s="1"/>
  <c r="N215" i="12"/>
  <c r="M176" i="12"/>
  <c r="M175" i="12"/>
  <c r="M114" i="12"/>
  <c r="M307" i="12"/>
  <c r="M174" i="12"/>
  <c r="M90" i="12"/>
  <c r="M83" i="12"/>
  <c r="M91" i="12"/>
  <c r="F88" i="6"/>
  <c r="AV88" i="6" s="1"/>
  <c r="P175" i="12"/>
  <c r="Q175" i="12" s="1"/>
  <c r="AP4" i="6"/>
  <c r="AE85" i="6"/>
  <c r="AR85" i="6"/>
  <c r="AO85" i="6"/>
  <c r="AJ85" i="6"/>
  <c r="AM85" i="6"/>
  <c r="R85" i="6"/>
  <c r="Y85" i="6"/>
  <c r="AQ85" i="6"/>
  <c r="W85" i="6"/>
  <c r="AB85" i="6"/>
  <c r="BR85" i="6" s="1"/>
  <c r="S227" i="12"/>
  <c r="L227" i="12" s="1"/>
  <c r="M227" i="12" s="1"/>
  <c r="P227" i="12"/>
  <c r="Q227" i="12" s="1"/>
  <c r="N227" i="12"/>
  <c r="O227" i="12" s="1"/>
  <c r="N49" i="2"/>
  <c r="N83" i="12"/>
  <c r="O83" i="12" s="1"/>
  <c r="AS139" i="6"/>
  <c r="AM139" i="6"/>
  <c r="AB139" i="6"/>
  <c r="BR139" i="6" s="1"/>
  <c r="AK139" i="6"/>
  <c r="AI139" i="6"/>
  <c r="AD115" i="6"/>
  <c r="AB115" i="6"/>
  <c r="BR115" i="6" s="1"/>
  <c r="AR115" i="6"/>
  <c r="AL115" i="6"/>
  <c r="AS115" i="6"/>
  <c r="Y115" i="6"/>
  <c r="AA115" i="6"/>
  <c r="AP115" i="6"/>
  <c r="AJ115" i="6"/>
  <c r="Y103" i="6"/>
  <c r="W103" i="6"/>
  <c r="AN103" i="6"/>
  <c r="AQ103" i="6"/>
  <c r="AD103" i="6"/>
  <c r="AH103" i="6"/>
  <c r="AB103" i="6"/>
  <c r="BR103" i="6" s="1"/>
  <c r="AR103" i="6"/>
  <c r="AP103" i="6"/>
  <c r="AI103" i="6"/>
  <c r="AU103" i="6"/>
  <c r="AE94" i="6"/>
  <c r="AI94" i="6"/>
  <c r="AQ94" i="6"/>
  <c r="AK94" i="6"/>
  <c r="AP84" i="6"/>
  <c r="S84" i="6"/>
  <c r="AJ84" i="6"/>
  <c r="AT84" i="6"/>
  <c r="U84" i="6"/>
  <c r="AN84" i="6"/>
  <c r="T84" i="6"/>
  <c r="AB84" i="6"/>
  <c r="BR84" i="6" s="1"/>
  <c r="AA84" i="6"/>
  <c r="AI61" i="6"/>
  <c r="Z61" i="6"/>
  <c r="AL61" i="6"/>
  <c r="AE61" i="6"/>
  <c r="U61" i="6"/>
  <c r="AM61" i="6"/>
  <c r="AN61" i="6"/>
  <c r="S61" i="6"/>
  <c r="AS61" i="6"/>
  <c r="AK49" i="6"/>
  <c r="AL49" i="6"/>
  <c r="AP49" i="6"/>
  <c r="AE49" i="6"/>
  <c r="AN49" i="6"/>
  <c r="U49" i="6"/>
  <c r="AE38" i="6"/>
  <c r="AD38" i="6"/>
  <c r="AT38" i="6"/>
  <c r="AQ38" i="6"/>
  <c r="AH38" i="6"/>
  <c r="AJ38" i="6"/>
  <c r="AR38" i="6"/>
  <c r="U38" i="6"/>
  <c r="AU38" i="6"/>
  <c r="AN38" i="6"/>
  <c r="X38" i="6"/>
  <c r="Y38" i="6"/>
  <c r="V38" i="6"/>
  <c r="X28" i="6"/>
  <c r="Z28" i="6"/>
  <c r="AI28" i="6"/>
  <c r="W28" i="6"/>
  <c r="K282" i="12"/>
  <c r="N175" i="12"/>
  <c r="O175" i="12" s="1"/>
  <c r="AK4" i="6"/>
  <c r="T4" i="6"/>
  <c r="T150" i="6"/>
  <c r="S150" i="6"/>
  <c r="AT150" i="6"/>
  <c r="AP150" i="6"/>
  <c r="AE150" i="6"/>
  <c r="AH150" i="6"/>
  <c r="AJ150" i="6"/>
  <c r="AR150" i="6"/>
  <c r="AT138" i="6"/>
  <c r="S138" i="6"/>
  <c r="AS114" i="6"/>
  <c r="AB114" i="6"/>
  <c r="BR114" i="6" s="1"/>
  <c r="AR114" i="6"/>
  <c r="U114" i="6"/>
  <c r="S114" i="6"/>
  <c r="AO114" i="6"/>
  <c r="AH102" i="6"/>
  <c r="AD102" i="6"/>
  <c r="W102" i="6"/>
  <c r="T102" i="6"/>
  <c r="Y102" i="6"/>
  <c r="AC102" i="6"/>
  <c r="AJ102" i="6"/>
  <c r="AF93" i="6"/>
  <c r="T93" i="6"/>
  <c r="AK93" i="6"/>
  <c r="Y93" i="6"/>
  <c r="AP71" i="6"/>
  <c r="AR71" i="6"/>
  <c r="AB71" i="6"/>
  <c r="BR71" i="6" s="1"/>
  <c r="AH71" i="6"/>
  <c r="AM71" i="6"/>
  <c r="U71" i="6"/>
  <c r="AA71" i="6"/>
  <c r="T71" i="6"/>
  <c r="AD71" i="6"/>
  <c r="Y60" i="6"/>
  <c r="U60" i="6"/>
  <c r="X60" i="6"/>
  <c r="AM60" i="6"/>
  <c r="AA60" i="6"/>
  <c r="AT60" i="6"/>
  <c r="S60" i="6"/>
  <c r="AO60" i="6"/>
  <c r="AF60" i="6"/>
  <c r="AC48" i="6"/>
  <c r="AO48" i="6"/>
  <c r="AU48" i="6"/>
  <c r="V48" i="6"/>
  <c r="AQ37" i="6"/>
  <c r="T37" i="6"/>
  <c r="Y37" i="6"/>
  <c r="AH37" i="6"/>
  <c r="AJ37" i="6"/>
  <c r="AM37" i="6"/>
  <c r="AN37" i="6"/>
  <c r="AT37" i="6"/>
  <c r="AK37" i="6"/>
  <c r="AD37" i="6"/>
  <c r="K105" i="12"/>
  <c r="K264" i="12"/>
  <c r="K252" i="12"/>
  <c r="K240" i="12"/>
  <c r="V4" i="6"/>
  <c r="AT149" i="6"/>
  <c r="T149" i="6"/>
  <c r="AM149" i="6"/>
  <c r="Y149" i="6"/>
  <c r="AA149" i="6"/>
  <c r="AO149" i="6"/>
  <c r="AS149" i="6"/>
  <c r="AJ149" i="6"/>
  <c r="W149" i="6"/>
  <c r="S149" i="6"/>
  <c r="V149" i="6"/>
  <c r="AT137" i="6"/>
  <c r="AO137" i="6"/>
  <c r="AA137" i="6"/>
  <c r="Y137" i="6"/>
  <c r="AU137" i="6"/>
  <c r="AN137" i="6"/>
  <c r="AE137" i="6"/>
  <c r="AL137" i="6"/>
  <c r="AQ137" i="6"/>
  <c r="U137" i="6"/>
  <c r="S240" i="12"/>
  <c r="L240" i="12" s="1"/>
  <c r="M240" i="12" s="1"/>
  <c r="N240" i="12"/>
  <c r="O240" i="12" s="1"/>
  <c r="P240" i="12"/>
  <c r="Q240" i="12" s="1"/>
  <c r="S252" i="12"/>
  <c r="L252" i="12" s="1"/>
  <c r="M252" i="12" s="1"/>
  <c r="P252" i="12"/>
  <c r="Q252" i="12" s="1"/>
  <c r="K311" i="12"/>
  <c r="K118" i="12"/>
  <c r="AQ4" i="6"/>
  <c r="N35" i="2"/>
  <c r="R4" i="6"/>
  <c r="I111" i="2"/>
  <c r="X4" i="6"/>
  <c r="F76" i="6"/>
  <c r="AV76" i="6" s="1"/>
  <c r="N84" i="2"/>
  <c r="I17" i="2"/>
  <c r="I78" i="2"/>
  <c r="N95" i="2"/>
  <c r="AC4" i="6"/>
  <c r="U4" i="6"/>
  <c r="W137" i="6"/>
  <c r="AM137" i="6"/>
  <c r="S4" i="6"/>
  <c r="Z4" i="6"/>
  <c r="AE4" i="6"/>
  <c r="AL4" i="6"/>
  <c r="AT4" i="6"/>
  <c r="AA4" i="6"/>
  <c r="W4" i="6"/>
  <c r="AO4" i="6"/>
  <c r="AM4" i="6"/>
  <c r="AH4" i="6"/>
  <c r="L4" i="5"/>
  <c r="AN4" i="6"/>
  <c r="AU4" i="6"/>
  <c r="Y4" i="6"/>
  <c r="AJ4" i="6"/>
  <c r="AI4" i="6"/>
  <c r="AD4" i="6"/>
  <c r="S187" i="12"/>
  <c r="L187" i="12" s="1"/>
  <c r="M187" i="12" s="1"/>
  <c r="N187" i="12"/>
  <c r="O187" i="12" s="1"/>
  <c r="S163" i="12"/>
  <c r="L163" i="12" s="1"/>
  <c r="M163" i="12" s="1"/>
  <c r="N163" i="12"/>
  <c r="O163" i="12" s="1"/>
  <c r="I46" i="2"/>
  <c r="AG4" i="6"/>
  <c r="AB4" i="6"/>
  <c r="BR4" i="6" s="1"/>
  <c r="AD49" i="6"/>
  <c r="S197" i="12"/>
  <c r="L197" i="12" s="1"/>
  <c r="P197" i="12"/>
  <c r="Q197" i="12" s="1"/>
  <c r="N85" i="2"/>
  <c r="N26" i="2"/>
  <c r="P163" i="12"/>
  <c r="Q163" i="12" s="1"/>
  <c r="AR94" i="6"/>
  <c r="AH21" i="6"/>
  <c r="AJ21" i="6"/>
  <c r="BK21" i="6"/>
  <c r="AA21" i="6"/>
  <c r="AL21" i="6"/>
  <c r="BG21" i="6"/>
  <c r="AW21" i="6"/>
  <c r="AE21" i="6"/>
  <c r="AS21" i="6"/>
  <c r="Z21" i="6"/>
  <c r="BS21" i="6"/>
  <c r="X21" i="6"/>
  <c r="BI21" i="6"/>
  <c r="AX21" i="6"/>
  <c r="W21" i="6"/>
  <c r="BU21" i="6"/>
  <c r="BJ21" i="6"/>
  <c r="AT21" i="6"/>
  <c r="BR21" i="6"/>
  <c r="S208" i="12"/>
  <c r="L208" i="12" s="1"/>
  <c r="P208" i="12"/>
  <c r="Q208" i="12" s="1"/>
  <c r="S185" i="12"/>
  <c r="L185" i="12" s="1"/>
  <c r="P185" i="12"/>
  <c r="Q185" i="12" s="1"/>
  <c r="F126" i="6"/>
  <c r="AV126" i="6" s="1"/>
  <c r="F90" i="6"/>
  <c r="AV90" i="6" s="1"/>
  <c r="I97" i="2"/>
  <c r="I10" i="2"/>
  <c r="P83" i="12"/>
  <c r="Q83" i="12" s="1"/>
  <c r="AA75" i="6"/>
  <c r="AO75" i="6"/>
  <c r="U75" i="6"/>
  <c r="AS75" i="6"/>
  <c r="AP75" i="6"/>
  <c r="AI75" i="6"/>
  <c r="AN75" i="6"/>
  <c r="AT75" i="6"/>
  <c r="W75" i="6"/>
  <c r="AL75" i="6"/>
  <c r="Y75" i="6"/>
  <c r="AB75" i="6"/>
  <c r="BR75" i="6" s="1"/>
  <c r="U52" i="6"/>
  <c r="AN52" i="6"/>
  <c r="Y52" i="6"/>
  <c r="AG52" i="6"/>
  <c r="Z52" i="6"/>
  <c r="AE52" i="6"/>
  <c r="AS52" i="6"/>
  <c r="AQ52" i="6"/>
  <c r="AT52" i="6"/>
  <c r="AH52" i="6"/>
  <c r="AA40" i="6"/>
  <c r="AK40" i="6"/>
  <c r="AU40" i="6"/>
  <c r="S40" i="6"/>
  <c r="Z30" i="6"/>
  <c r="AI30" i="6"/>
  <c r="F7" i="6"/>
  <c r="AV7" i="6" s="1"/>
  <c r="BA12" i="6"/>
  <c r="BD12" i="6"/>
  <c r="S12" i="6"/>
  <c r="BJ12" i="6"/>
  <c r="BG12" i="6"/>
  <c r="AK12" i="6"/>
  <c r="K33" i="12"/>
  <c r="K170" i="12"/>
  <c r="K72" i="12"/>
  <c r="K315" i="12"/>
  <c r="K216" i="12"/>
  <c r="K180" i="12"/>
  <c r="K238" i="12"/>
  <c r="K156" i="12"/>
  <c r="AJ53" i="6"/>
  <c r="AI11" i="6"/>
  <c r="AI128" i="6"/>
  <c r="AK11" i="6"/>
  <c r="AA74" i="6"/>
  <c r="AR116" i="6"/>
  <c r="AU74" i="6"/>
  <c r="BT11" i="6"/>
  <c r="AO70" i="6"/>
  <c r="AK70" i="6"/>
  <c r="S303" i="12"/>
  <c r="L303" i="12" s="1"/>
  <c r="M303" i="12" s="1"/>
  <c r="P303" i="12"/>
  <c r="Q303" i="12" s="1"/>
  <c r="N313" i="12"/>
  <c r="O313" i="12" s="1"/>
  <c r="P313" i="12"/>
  <c r="Q313" i="12" s="1"/>
  <c r="K112" i="12"/>
  <c r="K108" i="12"/>
  <c r="AJ64" i="6"/>
  <c r="AN41" i="6"/>
  <c r="S53" i="6"/>
  <c r="BU9" i="6"/>
  <c r="AB20" i="6"/>
  <c r="AL9" i="6"/>
  <c r="AZ20" i="6"/>
  <c r="BB9" i="6"/>
  <c r="Y9" i="6"/>
  <c r="AA116" i="6"/>
  <c r="BF9" i="6"/>
  <c r="X95" i="6"/>
  <c r="AR20" i="6"/>
  <c r="BK20" i="6"/>
  <c r="AA41" i="6"/>
  <c r="AH74" i="6"/>
  <c r="W53" i="6"/>
  <c r="X63" i="6"/>
  <c r="X53" i="6"/>
  <c r="U20" i="6"/>
  <c r="AJ104" i="6"/>
  <c r="W104" i="6"/>
  <c r="AO74" i="6"/>
  <c r="AS11" i="6"/>
  <c r="AU11" i="6"/>
  <c r="AY11" i="6"/>
  <c r="Y135" i="6"/>
  <c r="F135" i="6" s="1"/>
  <c r="AV135" i="6" s="1"/>
  <c r="Z135" i="6"/>
  <c r="AS123" i="6"/>
  <c r="S123" i="6"/>
  <c r="Y100" i="6"/>
  <c r="X100" i="6"/>
  <c r="T91" i="6"/>
  <c r="AH91" i="6"/>
  <c r="AT91" i="6"/>
  <c r="AN91" i="6"/>
  <c r="AB91" i="6"/>
  <c r="BR91" i="6" s="1"/>
  <c r="T81" i="6"/>
  <c r="AD81" i="6"/>
  <c r="Z81" i="6"/>
  <c r="AJ81" i="6"/>
  <c r="R81" i="6"/>
  <c r="AI81" i="6"/>
  <c r="AL81" i="6"/>
  <c r="AH81" i="6"/>
  <c r="AR81" i="6"/>
  <c r="AO27" i="6"/>
  <c r="AJ27" i="6"/>
  <c r="BA27" i="6"/>
  <c r="AS27" i="6"/>
  <c r="W27" i="6"/>
  <c r="AY27" i="6"/>
  <c r="S314" i="12"/>
  <c r="L314" i="12" s="1"/>
  <c r="M314" i="12" s="1"/>
  <c r="N314" i="12"/>
  <c r="O314" i="12" s="1"/>
  <c r="P314" i="12"/>
  <c r="Q314" i="12" s="1"/>
  <c r="K75" i="12"/>
  <c r="K260" i="12"/>
  <c r="K255" i="12"/>
  <c r="K137" i="12"/>
  <c r="K243" i="12"/>
  <c r="AB74" i="6"/>
  <c r="BR74" i="6" s="1"/>
  <c r="AR11" i="6"/>
  <c r="U9" i="6"/>
  <c r="BR9" i="6"/>
  <c r="AX9" i="6"/>
  <c r="AQ116" i="6"/>
  <c r="BG20" i="6"/>
  <c r="AF20" i="6"/>
  <c r="BH9" i="6"/>
  <c r="AH64" i="6"/>
  <c r="AS41" i="6"/>
  <c r="AL41" i="6"/>
  <c r="V74" i="6"/>
  <c r="V63" i="6"/>
  <c r="U74" i="6"/>
  <c r="AT53" i="6"/>
  <c r="AK74" i="6"/>
  <c r="AE74" i="6"/>
  <c r="BI11" i="6"/>
  <c r="AL11" i="6"/>
  <c r="BG17" i="6"/>
  <c r="AA17" i="6"/>
  <c r="W17" i="6"/>
  <c r="AD17" i="6"/>
  <c r="BQ17" i="6"/>
  <c r="AU17" i="6"/>
  <c r="U17" i="6"/>
  <c r="BN17" i="6"/>
  <c r="AY17" i="6"/>
  <c r="AH17" i="6"/>
  <c r="AU156" i="6"/>
  <c r="S156" i="6"/>
  <c r="BC156" i="6"/>
  <c r="AE156" i="6"/>
  <c r="AZ156" i="6"/>
  <c r="BD156" i="6"/>
  <c r="BR156" i="6"/>
  <c r="AA156" i="6"/>
  <c r="AB156" i="6"/>
  <c r="AP156" i="6"/>
  <c r="T156" i="6"/>
  <c r="AL156" i="6"/>
  <c r="BG156" i="6"/>
  <c r="N315" i="12"/>
  <c r="O315" i="12" s="1"/>
  <c r="P315" i="12"/>
  <c r="Q315" i="12" s="1"/>
  <c r="S315" i="12"/>
  <c r="L315" i="12" s="1"/>
  <c r="M315" i="12" s="1"/>
  <c r="K127" i="12"/>
  <c r="K213" i="12"/>
  <c r="K230" i="12"/>
  <c r="K179" i="12"/>
  <c r="K171" i="12"/>
  <c r="K147" i="12"/>
  <c r="AP64" i="6"/>
  <c r="BW9" i="6"/>
  <c r="AD74" i="6"/>
  <c r="AD11" i="6"/>
  <c r="AY20" i="6"/>
  <c r="AO9" i="6"/>
  <c r="BE20" i="6"/>
  <c r="AB9" i="6"/>
  <c r="X9" i="6"/>
  <c r="BO20" i="6"/>
  <c r="AW20" i="6"/>
  <c r="BT9" i="6"/>
  <c r="AU64" i="6"/>
  <c r="AC41" i="6"/>
  <c r="Z41" i="6"/>
  <c r="AI63" i="6"/>
  <c r="AJ74" i="6"/>
  <c r="AI53" i="6"/>
  <c r="X74" i="6"/>
  <c r="AH53" i="6"/>
  <c r="R31" i="6"/>
  <c r="AJ41" i="6"/>
  <c r="AB82" i="6"/>
  <c r="BR82" i="6" s="1"/>
  <c r="BV11" i="6"/>
  <c r="BF11" i="6"/>
  <c r="AB145" i="6"/>
  <c r="BR145" i="6" s="1"/>
  <c r="AO145" i="6"/>
  <c r="BP18" i="6"/>
  <c r="AV18" i="6"/>
  <c r="BL18" i="6"/>
  <c r="AU18" i="6"/>
  <c r="BH18" i="6"/>
  <c r="AS18" i="6"/>
  <c r="AK18" i="6"/>
  <c r="AL18" i="6"/>
  <c r="AW18" i="6"/>
  <c r="BM18" i="6"/>
  <c r="AX18" i="6"/>
  <c r="AA18" i="6"/>
  <c r="S157" i="6"/>
  <c r="T157" i="6"/>
  <c r="AB157" i="6"/>
  <c r="BM157" i="6"/>
  <c r="Y157" i="6"/>
  <c r="AE157" i="6"/>
  <c r="BP157" i="6"/>
  <c r="BI157" i="6"/>
  <c r="BJ157" i="6"/>
  <c r="AH157" i="6"/>
  <c r="BU157" i="6"/>
  <c r="BV157" i="6"/>
  <c r="AM157" i="6"/>
  <c r="AV157" i="6"/>
  <c r="BW157" i="6"/>
  <c r="P306" i="12"/>
  <c r="Q306" i="12" s="1"/>
  <c r="N306" i="12"/>
  <c r="O306" i="12" s="1"/>
  <c r="K115" i="12"/>
  <c r="X20" i="6"/>
  <c r="AK20" i="6"/>
  <c r="BA9" i="6"/>
  <c r="Y41" i="6"/>
  <c r="AF63" i="6"/>
  <c r="AD53" i="6"/>
  <c r="AR53" i="6"/>
  <c r="AI74" i="6"/>
  <c r="S270" i="12"/>
  <c r="L270" i="12" s="1"/>
  <c r="M270" i="12" s="1"/>
  <c r="N270" i="12"/>
  <c r="O270" i="12" s="1"/>
  <c r="S282" i="12"/>
  <c r="L282" i="12" s="1"/>
  <c r="M282" i="12" s="1"/>
  <c r="N282" i="12"/>
  <c r="O282" i="12" s="1"/>
  <c r="AS64" i="6"/>
  <c r="AQ64" i="6"/>
  <c r="AF64" i="6"/>
  <c r="T31" i="6"/>
  <c r="AH31" i="6"/>
  <c r="AP31" i="6"/>
  <c r="AG9" i="6"/>
  <c r="BL9" i="6"/>
  <c r="BH20" i="6"/>
  <c r="BI20" i="6"/>
  <c r="BT20" i="6"/>
  <c r="AJ20" i="6"/>
  <c r="S297" i="12"/>
  <c r="L297" i="12" s="1"/>
  <c r="M297" i="12" s="1"/>
  <c r="N297" i="12"/>
  <c r="O297" i="12" s="1"/>
  <c r="P297" i="12"/>
  <c r="Q297" i="12" s="1"/>
  <c r="O29" i="1"/>
  <c r="P29" i="1" s="1"/>
  <c r="AP128" i="6"/>
  <c r="U128" i="6"/>
  <c r="AD128" i="6"/>
  <c r="AU116" i="6"/>
  <c r="AK116" i="6"/>
  <c r="U104" i="6"/>
  <c r="AI104" i="6"/>
  <c r="AP95" i="6"/>
  <c r="AD95" i="6"/>
  <c r="AS74" i="6"/>
  <c r="T74" i="6"/>
  <c r="AJ63" i="6"/>
  <c r="AS63" i="6"/>
  <c r="AO51" i="6"/>
  <c r="X51" i="6"/>
  <c r="BP11" i="6"/>
  <c r="Y11" i="6"/>
  <c r="BE11" i="6"/>
  <c r="AB11" i="6"/>
  <c r="BA11" i="6"/>
  <c r="BQ11" i="6"/>
  <c r="AM11" i="6"/>
  <c r="BW11" i="6"/>
  <c r="AV11" i="6"/>
  <c r="AZ11" i="6"/>
  <c r="BB11" i="6"/>
  <c r="AH11" i="6"/>
  <c r="BS11" i="6"/>
  <c r="BU11" i="6"/>
  <c r="BL11" i="6"/>
  <c r="BM11" i="6"/>
  <c r="AQ11" i="6"/>
  <c r="AO11" i="6"/>
  <c r="AK36" i="3"/>
  <c r="M206" i="12"/>
  <c r="M164" i="12"/>
  <c r="M145" i="12"/>
  <c r="N302" i="12"/>
  <c r="O302" i="12" s="1"/>
  <c r="N246" i="12"/>
  <c r="O246" i="12" s="1"/>
  <c r="K104" i="12"/>
  <c r="K100" i="12"/>
  <c r="K76" i="12"/>
  <c r="K40" i="12"/>
  <c r="K291" i="12"/>
  <c r="K231" i="12"/>
  <c r="K219" i="12"/>
  <c r="D8" i="2"/>
  <c r="AT26" i="6"/>
  <c r="M143" i="12"/>
  <c r="M128" i="12"/>
  <c r="N294" i="12"/>
  <c r="O294" i="12" s="1"/>
  <c r="O264" i="12"/>
  <c r="K99" i="12"/>
  <c r="K63" i="12"/>
  <c r="K55" i="12"/>
  <c r="K51" i="12"/>
  <c r="K318" i="12"/>
  <c r="K314" i="12"/>
  <c r="K246" i="12"/>
  <c r="Q302" i="12"/>
  <c r="M223" i="12"/>
  <c r="M142" i="12"/>
  <c r="M105" i="12"/>
  <c r="M87" i="12"/>
  <c r="O293" i="12"/>
  <c r="K270" i="12"/>
  <c r="M192" i="12"/>
  <c r="M171" i="12"/>
  <c r="M120" i="12"/>
  <c r="M113" i="12"/>
  <c r="B113" i="12" s="1"/>
  <c r="M95" i="12"/>
  <c r="K133" i="12"/>
  <c r="K70" i="12"/>
  <c r="K46" i="12"/>
  <c r="K34" i="12"/>
  <c r="K210" i="12"/>
  <c r="K174" i="12"/>
  <c r="K54" i="12"/>
  <c r="K162" i="12"/>
  <c r="M36" i="12"/>
  <c r="U141" i="6"/>
  <c r="F141" i="6" s="1"/>
  <c r="AV141" i="6" s="1"/>
  <c r="BQ25" i="6"/>
  <c r="M103" i="12"/>
  <c r="O245" i="12"/>
  <c r="K50" i="12"/>
  <c r="K309" i="12"/>
  <c r="K289" i="12"/>
  <c r="K285" i="12"/>
  <c r="K269" i="12"/>
  <c r="K225" i="12"/>
  <c r="K142" i="12"/>
  <c r="M220" i="12"/>
  <c r="M149" i="12"/>
  <c r="M68" i="12"/>
  <c r="Q293" i="12"/>
  <c r="K184" i="12"/>
  <c r="K125" i="12"/>
  <c r="K121" i="12"/>
  <c r="K73" i="12"/>
  <c r="K49" i="12"/>
  <c r="M229" i="12"/>
  <c r="M168" i="12"/>
  <c r="M133" i="12"/>
  <c r="M92" i="12"/>
  <c r="K248" i="12"/>
  <c r="K181" i="12"/>
  <c r="K177" i="12"/>
  <c r="O247" i="12"/>
  <c r="K132" i="12"/>
  <c r="K93" i="12"/>
  <c r="K89" i="12"/>
  <c r="K85" i="12"/>
  <c r="K77" i="12"/>
  <c r="K53" i="12"/>
  <c r="K37" i="12"/>
  <c r="K308" i="12"/>
  <c r="K304" i="12"/>
  <c r="K176" i="12"/>
  <c r="S2" i="3"/>
  <c r="AK22" i="3"/>
  <c r="AK24" i="3" s="1"/>
  <c r="AK29" i="3" s="1"/>
  <c r="S2" i="9"/>
  <c r="B57" i="9"/>
  <c r="L57" i="9" s="1"/>
  <c r="N42" i="2"/>
  <c r="N109" i="2"/>
  <c r="I103" i="2"/>
  <c r="I49" i="2"/>
  <c r="F24" i="6"/>
  <c r="L4" i="2"/>
  <c r="P4" i="2" s="1"/>
  <c r="I70" i="2"/>
  <c r="I32" i="2"/>
  <c r="I4" i="2"/>
  <c r="M107" i="12"/>
  <c r="I89" i="2"/>
  <c r="I65" i="2"/>
  <c r="F50" i="6"/>
  <c r="AV50" i="6" s="1"/>
  <c r="F78" i="6"/>
  <c r="AV78" i="6" s="1"/>
  <c r="F105" i="6"/>
  <c r="AV105" i="6" s="1"/>
  <c r="F58" i="6"/>
  <c r="AV58" i="6" s="1"/>
  <c r="M159" i="12"/>
  <c r="N93" i="2"/>
  <c r="F6" i="6"/>
  <c r="AV6" i="6" s="1"/>
  <c r="F87" i="6"/>
  <c r="AV87" i="6" s="1"/>
  <c r="L17" i="2"/>
  <c r="P17" i="2" s="1"/>
  <c r="F25" i="6"/>
  <c r="I25" i="2"/>
  <c r="F154" i="6"/>
  <c r="AV154" i="6" s="1"/>
  <c r="F35" i="6"/>
  <c r="AV35" i="6" s="1"/>
  <c r="Q14" i="3"/>
  <c r="F13" i="6"/>
  <c r="BQ21" i="6"/>
  <c r="H92" i="2"/>
  <c r="I92" i="2" s="1"/>
  <c r="M69" i="12"/>
  <c r="M61" i="12"/>
  <c r="P282" i="12"/>
  <c r="Q282" i="12" s="1"/>
  <c r="S245" i="12"/>
  <c r="L245" i="12" s="1"/>
  <c r="M245" i="12" s="1"/>
  <c r="M272" i="12"/>
  <c r="S306" i="12"/>
  <c r="L306" i="12" s="1"/>
  <c r="M306" i="12" s="1"/>
  <c r="K97" i="12"/>
  <c r="K74" i="12"/>
  <c r="K67" i="12"/>
  <c r="K296" i="12"/>
  <c r="K247" i="12"/>
  <c r="K227" i="12"/>
  <c r="K220" i="12"/>
  <c r="K57" i="12"/>
  <c r="I73" i="2"/>
  <c r="F109" i="6"/>
  <c r="AV109" i="6" s="1"/>
  <c r="AA89" i="6"/>
  <c r="AI155" i="6"/>
  <c r="M258" i="12"/>
  <c r="O259" i="12"/>
  <c r="S264" i="12"/>
  <c r="L264" i="12" s="1"/>
  <c r="M264" i="12" s="1"/>
  <c r="S273" i="12"/>
  <c r="L273" i="12" s="1"/>
  <c r="M273" i="12" s="1"/>
  <c r="S293" i="12"/>
  <c r="L293" i="12" s="1"/>
  <c r="M293" i="12" s="1"/>
  <c r="S313" i="12"/>
  <c r="L313" i="12" s="1"/>
  <c r="M313" i="12" s="1"/>
  <c r="S320" i="12"/>
  <c r="L320" i="12" s="1"/>
  <c r="M320" i="12" s="1"/>
  <c r="H110" i="2"/>
  <c r="H99" i="2"/>
  <c r="N99" i="2" s="1"/>
  <c r="M188" i="12"/>
  <c r="AU79" i="6"/>
  <c r="AL89" i="6"/>
  <c r="P264" i="12"/>
  <c r="Q264" i="12" s="1"/>
  <c r="N254" i="12"/>
  <c r="O254" i="12" s="1"/>
  <c r="S294" i="12"/>
  <c r="L294" i="12" s="1"/>
  <c r="M294" i="12" s="1"/>
  <c r="K129" i="12"/>
  <c r="K122" i="12"/>
  <c r="K114" i="12"/>
  <c r="K103" i="12"/>
  <c r="K84" i="12"/>
  <c r="K272" i="12"/>
  <c r="K265" i="12"/>
  <c r="K207" i="12"/>
  <c r="W89" i="6"/>
  <c r="AM79" i="6"/>
  <c r="O28" i="1"/>
  <c r="P28" i="1" s="1"/>
  <c r="O2" i="9" s="1"/>
  <c r="AE60" i="6"/>
  <c r="BT10" i="6"/>
  <c r="M179" i="12"/>
  <c r="Q138" i="12"/>
  <c r="S285" i="12"/>
  <c r="L285" i="12" s="1"/>
  <c r="M285" i="12" s="1"/>
  <c r="K69" i="12"/>
  <c r="K187" i="12"/>
  <c r="F55" i="6"/>
  <c r="AV55" i="6" s="1"/>
  <c r="AI79" i="6"/>
  <c r="AP21" i="6"/>
  <c r="AA79" i="6"/>
  <c r="T79" i="6"/>
  <c r="AM89" i="6"/>
  <c r="AD22" i="6"/>
  <c r="M211" i="12"/>
  <c r="M170" i="12"/>
  <c r="Q316" i="12"/>
  <c r="K233" i="12"/>
  <c r="K194" i="12"/>
  <c r="F8" i="6"/>
  <c r="AV8" i="6" s="1"/>
  <c r="V21" i="6"/>
  <c r="AO89" i="6"/>
  <c r="AH148" i="6"/>
  <c r="AB89" i="6"/>
  <c r="BR89" i="6" s="1"/>
  <c r="AH89" i="6"/>
  <c r="AD79" i="6"/>
  <c r="Y129" i="6"/>
  <c r="T22" i="6"/>
  <c r="M54" i="12"/>
  <c r="Q310" i="12"/>
  <c r="P261" i="12"/>
  <c r="Q261" i="12" s="1"/>
  <c r="N252" i="12"/>
  <c r="O252" i="12" s="1"/>
  <c r="S249" i="12"/>
  <c r="L249" i="12" s="1"/>
  <c r="M249" i="12" s="1"/>
  <c r="S289" i="12"/>
  <c r="L289" i="12" s="1"/>
  <c r="M289" i="12" s="1"/>
  <c r="K117" i="12"/>
  <c r="K167" i="12"/>
  <c r="F121" i="6"/>
  <c r="AV121" i="6" s="1"/>
  <c r="B238" i="12"/>
  <c r="AC148" i="6"/>
  <c r="AR129" i="6"/>
  <c r="U79" i="6"/>
  <c r="AR139" i="6"/>
  <c r="Y89" i="6"/>
  <c r="AZ21" i="6"/>
  <c r="M74" i="12"/>
  <c r="O305" i="12"/>
  <c r="P273" i="12"/>
  <c r="Q273" i="12" s="1"/>
  <c r="K144" i="12"/>
  <c r="N114" i="2"/>
  <c r="AA51" i="6"/>
  <c r="AR69" i="6"/>
  <c r="AP148" i="6"/>
  <c r="AI60" i="6"/>
  <c r="AJ79" i="6"/>
  <c r="AO21" i="6"/>
  <c r="Z139" i="6"/>
  <c r="AR21" i="6"/>
  <c r="AS89" i="6"/>
  <c r="AJ155" i="6"/>
  <c r="H105" i="2"/>
  <c r="BW20" i="6"/>
  <c r="P260" i="12"/>
  <c r="Q260" i="12" s="1"/>
  <c r="K124" i="12"/>
  <c r="K120" i="12"/>
  <c r="K113" i="12"/>
  <c r="K109" i="12"/>
  <c r="K90" i="12"/>
  <c r="K139" i="12"/>
  <c r="K286" i="12"/>
  <c r="K236" i="12"/>
  <c r="K209" i="12"/>
  <c r="K197" i="12"/>
  <c r="F29" i="6"/>
  <c r="AV29" i="6" s="1"/>
  <c r="AD60" i="6"/>
  <c r="V89" i="6"/>
  <c r="AP89" i="6"/>
  <c r="AT89" i="6"/>
  <c r="BC21" i="6"/>
  <c r="Y148" i="6"/>
  <c r="P270" i="12"/>
  <c r="Q270" i="12" s="1"/>
  <c r="N260" i="12"/>
  <c r="O260" i="12" s="1"/>
  <c r="K123" i="12"/>
  <c r="K64" i="12"/>
  <c r="K41" i="12"/>
  <c r="K320" i="12"/>
  <c r="K305" i="12"/>
  <c r="K126" i="12"/>
  <c r="K158" i="12"/>
  <c r="K82" i="12"/>
  <c r="K48" i="12"/>
  <c r="K138" i="12"/>
  <c r="F118" i="6"/>
  <c r="AV118" i="6" s="1"/>
  <c r="F131" i="6"/>
  <c r="AV131" i="6" s="1"/>
  <c r="F80" i="6"/>
  <c r="AV80" i="6" s="1"/>
  <c r="AR89" i="6"/>
  <c r="AB21" i="6"/>
  <c r="AL79" i="6"/>
  <c r="N5" i="2"/>
  <c r="F81" i="2"/>
  <c r="I81" i="2" s="1"/>
  <c r="M198" i="12"/>
  <c r="O183" i="12"/>
  <c r="K188" i="12"/>
  <c r="O24" i="1"/>
  <c r="P24" i="1" s="1"/>
  <c r="P21" i="1"/>
  <c r="O47" i="1"/>
  <c r="Q67" i="9"/>
  <c r="P27" i="1"/>
  <c r="P20" i="1"/>
  <c r="C46" i="1" s="1"/>
  <c r="F46" i="1" s="1"/>
  <c r="N111" i="2"/>
  <c r="F47" i="6"/>
  <c r="AV47" i="6" s="1"/>
  <c r="I50" i="2"/>
  <c r="N50" i="2"/>
  <c r="F36" i="6"/>
  <c r="AV36" i="6" s="1"/>
  <c r="I26" i="2"/>
  <c r="N88" i="2"/>
  <c r="N87" i="2"/>
  <c r="F127" i="6"/>
  <c r="AV127" i="6" s="1"/>
  <c r="N91" i="2"/>
  <c r="I91" i="2"/>
  <c r="I53" i="2"/>
  <c r="N16" i="2"/>
  <c r="I16" i="2"/>
  <c r="F143" i="6"/>
  <c r="AV143" i="6" s="1"/>
  <c r="F147" i="6"/>
  <c r="AV147" i="6" s="1"/>
  <c r="F19" i="6"/>
  <c r="I80" i="2"/>
  <c r="F92" i="6"/>
  <c r="AV92" i="6" s="1"/>
  <c r="F2" i="3"/>
  <c r="F2" i="9"/>
  <c r="N4" i="2"/>
  <c r="F96" i="6"/>
  <c r="AV96" i="6" s="1"/>
  <c r="N33" i="2"/>
  <c r="I33" i="2"/>
  <c r="I31" i="2"/>
  <c r="N31" i="2"/>
  <c r="I101" i="2"/>
  <c r="N101" i="2"/>
  <c r="F120" i="6"/>
  <c r="AV120" i="6" s="1"/>
  <c r="N64" i="2"/>
  <c r="I64" i="2"/>
  <c r="I7" i="2"/>
  <c r="N7" i="2"/>
  <c r="F66" i="6"/>
  <c r="AV66" i="6" s="1"/>
  <c r="F144" i="6"/>
  <c r="AV144" i="6" s="1"/>
  <c r="F151" i="6"/>
  <c r="AV151" i="6" s="1"/>
  <c r="N34" i="2"/>
  <c r="I62" i="2"/>
  <c r="N62" i="2"/>
  <c r="I82" i="2"/>
  <c r="I20" i="2"/>
  <c r="N102" i="2"/>
  <c r="F133" i="6"/>
  <c r="AV133" i="6" s="1"/>
  <c r="N19" i="2"/>
  <c r="F101" i="6"/>
  <c r="AV101" i="6" s="1"/>
  <c r="F136" i="6"/>
  <c r="AV136" i="6" s="1"/>
  <c r="S124" i="12"/>
  <c r="L124" i="12" s="1"/>
  <c r="N124" i="12"/>
  <c r="O124" i="12" s="1"/>
  <c r="P124" i="12"/>
  <c r="Q124" i="12" s="1"/>
  <c r="N128" i="2"/>
  <c r="N118" i="2"/>
  <c r="AN32" i="6"/>
  <c r="S32" i="6"/>
  <c r="AJ32" i="6"/>
  <c r="Y32" i="6"/>
  <c r="AD32" i="6"/>
  <c r="AU32" i="6"/>
  <c r="T32" i="6"/>
  <c r="AA32" i="6"/>
  <c r="AP32" i="6"/>
  <c r="AH32" i="6"/>
  <c r="Z32" i="6"/>
  <c r="AB32" i="6"/>
  <c r="BR32" i="6" s="1"/>
  <c r="AI32" i="6"/>
  <c r="U32" i="6"/>
  <c r="AS32" i="6"/>
  <c r="AL32" i="6"/>
  <c r="AK32" i="6"/>
  <c r="AF32" i="6"/>
  <c r="S230" i="12"/>
  <c r="L230" i="12" s="1"/>
  <c r="I30" i="2"/>
  <c r="AE40" i="6"/>
  <c r="R40" i="6"/>
  <c r="AR40" i="6"/>
  <c r="AG40" i="6"/>
  <c r="V40" i="6"/>
  <c r="AP40" i="6"/>
  <c r="AD40" i="6"/>
  <c r="AT40" i="6"/>
  <c r="AS40" i="6"/>
  <c r="T40" i="6"/>
  <c r="AI40" i="6"/>
  <c r="X40" i="6"/>
  <c r="U40" i="6"/>
  <c r="W40" i="6"/>
  <c r="AL40" i="6"/>
  <c r="AJ40" i="6"/>
  <c r="Z40" i="6"/>
  <c r="AN40" i="6"/>
  <c r="Y40" i="6"/>
  <c r="AQ40" i="6"/>
  <c r="Y31" i="6"/>
  <c r="AB31" i="6"/>
  <c r="BR31" i="6" s="1"/>
  <c r="AR31" i="6"/>
  <c r="U31" i="6"/>
  <c r="Z31" i="6"/>
  <c r="AO31" i="6"/>
  <c r="AM31" i="6"/>
  <c r="W31" i="6"/>
  <c r="AS31" i="6"/>
  <c r="AL31" i="6"/>
  <c r="AA31" i="6"/>
  <c r="AJ31" i="6"/>
  <c r="AI31" i="6"/>
  <c r="U69" i="6"/>
  <c r="W69" i="6"/>
  <c r="Z69" i="6"/>
  <c r="AN69" i="6"/>
  <c r="AP69" i="6"/>
  <c r="AO69" i="6"/>
  <c r="AE69" i="6"/>
  <c r="Y69" i="6"/>
  <c r="AT69" i="6"/>
  <c r="AD69" i="6"/>
  <c r="AI69" i="6"/>
  <c r="S69" i="6"/>
  <c r="AF69" i="6"/>
  <c r="AU69" i="6"/>
  <c r="AJ69" i="6"/>
  <c r="V69" i="6"/>
  <c r="AK51" i="6"/>
  <c r="AN51" i="6"/>
  <c r="AM51" i="6"/>
  <c r="W51" i="6"/>
  <c r="Y51" i="6"/>
  <c r="AR51" i="6"/>
  <c r="AP51" i="6"/>
  <c r="T51" i="6"/>
  <c r="AJ51" i="6"/>
  <c r="AD51" i="6"/>
  <c r="U51" i="6"/>
  <c r="Z51" i="6"/>
  <c r="AS51" i="6"/>
  <c r="AL51" i="6"/>
  <c r="AH51" i="6"/>
  <c r="AB51" i="6"/>
  <c r="BR51" i="6" s="1"/>
  <c r="N61" i="12"/>
  <c r="S183" i="12"/>
  <c r="L183" i="12" s="1"/>
  <c r="P183" i="12"/>
  <c r="Q183" i="12" s="1"/>
  <c r="AU146" i="6"/>
  <c r="V146" i="6"/>
  <c r="Q88" i="12"/>
  <c r="Q226" i="12"/>
  <c r="K69" i="2"/>
  <c r="S70" i="12"/>
  <c r="L70" i="12" s="1"/>
  <c r="N70" i="12"/>
  <c r="O70" i="12" s="1"/>
  <c r="S268" i="12"/>
  <c r="L268" i="12" s="1"/>
  <c r="N268" i="12"/>
  <c r="O268" i="12" s="1"/>
  <c r="P268" i="12"/>
  <c r="Q268" i="12" s="1"/>
  <c r="S84" i="12"/>
  <c r="L84" i="12" s="1"/>
  <c r="P84" i="12"/>
  <c r="Q84" i="12" s="1"/>
  <c r="P61" i="12"/>
  <c r="Q61" i="12" s="1"/>
  <c r="S102" i="12"/>
  <c r="L102" i="12" s="1"/>
  <c r="P102" i="12"/>
  <c r="Q102" i="12" s="1"/>
  <c r="AK31" i="3"/>
  <c r="N203" i="12"/>
  <c r="O203" i="12" s="1"/>
  <c r="P203" i="12"/>
  <c r="Q203" i="12" s="1"/>
  <c r="S203" i="12"/>
  <c r="L203" i="12" s="1"/>
  <c r="S153" i="12"/>
  <c r="L153" i="12" s="1"/>
  <c r="P153" i="12"/>
  <c r="Q153" i="12" s="1"/>
  <c r="AI23" i="6"/>
  <c r="Y153" i="6"/>
  <c r="S23" i="6"/>
  <c r="T23" i="6"/>
  <c r="BE23" i="6"/>
  <c r="AM54" i="6"/>
  <c r="AT54" i="6"/>
  <c r="Q298" i="12"/>
  <c r="Q266" i="12"/>
  <c r="AA57" i="6"/>
  <c r="AQ57" i="6"/>
  <c r="V95" i="6"/>
  <c r="AK113" i="6"/>
  <c r="AK23" i="6"/>
  <c r="AO113" i="6"/>
  <c r="AR104" i="6"/>
  <c r="AG23" i="6"/>
  <c r="O269" i="12"/>
  <c r="O288" i="12"/>
  <c r="O296" i="12"/>
  <c r="M260" i="12"/>
  <c r="AE140" i="6"/>
  <c r="AO140" i="6"/>
  <c r="Z140" i="6"/>
  <c r="M225" i="12"/>
  <c r="AQ46" i="6"/>
  <c r="N198" i="12"/>
  <c r="AA132" i="6"/>
  <c r="AP48" i="6"/>
  <c r="AF48" i="6"/>
  <c r="S46" i="6"/>
  <c r="AO57" i="6"/>
  <c r="AI46" i="6"/>
  <c r="AJ111" i="6"/>
  <c r="V57" i="6"/>
  <c r="AW23" i="6"/>
  <c r="BF23" i="6"/>
  <c r="BH11" i="6"/>
  <c r="BR11" i="6"/>
  <c r="BN156" i="6"/>
  <c r="AD156" i="6"/>
  <c r="AG156" i="6"/>
  <c r="AT156" i="6"/>
  <c r="BE156" i="6"/>
  <c r="BP156" i="6"/>
  <c r="W156" i="6"/>
  <c r="AK156" i="6"/>
  <c r="M257" i="12"/>
  <c r="X46" i="6"/>
  <c r="AK46" i="6"/>
  <c r="AN46" i="6"/>
  <c r="T132" i="6"/>
  <c r="W153" i="6"/>
  <c r="AD48" i="6"/>
  <c r="AS48" i="6"/>
  <c r="AD46" i="6"/>
  <c r="Y57" i="6"/>
  <c r="AI113" i="6"/>
  <c r="AE124" i="6"/>
  <c r="AK111" i="6"/>
  <c r="AO104" i="6"/>
  <c r="X113" i="6"/>
  <c r="AB113" i="6"/>
  <c r="BR113" i="6" s="1"/>
  <c r="AU23" i="6"/>
  <c r="AH113" i="6"/>
  <c r="AL113" i="6"/>
  <c r="S104" i="6"/>
  <c r="AR132" i="6"/>
  <c r="BG23" i="6"/>
  <c r="AE89" i="6"/>
  <c r="AD89" i="6"/>
  <c r="BB157" i="6"/>
  <c r="AD157" i="6"/>
  <c r="BQ157" i="6"/>
  <c r="BC157" i="6"/>
  <c r="BT157" i="6"/>
  <c r="M290" i="12"/>
  <c r="P267" i="12"/>
  <c r="Q267" i="12" s="1"/>
  <c r="S267" i="12"/>
  <c r="L267" i="12" s="1"/>
  <c r="N267" i="12"/>
  <c r="O267" i="12" s="1"/>
  <c r="M266" i="12"/>
  <c r="N179" i="12"/>
  <c r="AA153" i="6"/>
  <c r="U48" i="6"/>
  <c r="Y46" i="6"/>
  <c r="AN57" i="6"/>
  <c r="AS111" i="6"/>
  <c r="AP153" i="6"/>
  <c r="AI57" i="6"/>
  <c r="AI124" i="6"/>
  <c r="W113" i="6"/>
  <c r="Z124" i="6"/>
  <c r="AS113" i="6"/>
  <c r="AH104" i="6"/>
  <c r="U132" i="6"/>
  <c r="T104" i="6"/>
  <c r="AE23" i="6"/>
  <c r="AL23" i="6"/>
  <c r="AM23" i="6"/>
  <c r="BC23" i="6"/>
  <c r="T49" i="6"/>
  <c r="AM49" i="6"/>
  <c r="AU49" i="6"/>
  <c r="AR49" i="6"/>
  <c r="M296" i="12"/>
  <c r="P156" i="12"/>
  <c r="AH48" i="6"/>
  <c r="AM46" i="6"/>
  <c r="AH57" i="6"/>
  <c r="U111" i="6"/>
  <c r="AF111" i="6"/>
  <c r="S111" i="6"/>
  <c r="T124" i="6"/>
  <c r="AR113" i="6"/>
  <c r="AR23" i="6"/>
  <c r="AB111" i="6"/>
  <c r="BR111" i="6" s="1"/>
  <c r="AD86" i="6"/>
  <c r="AE86" i="6"/>
  <c r="W86" i="6"/>
  <c r="T48" i="6"/>
  <c r="M59" i="12"/>
  <c r="O300" i="12"/>
  <c r="Q262" i="12"/>
  <c r="P279" i="12"/>
  <c r="Q279" i="12" s="1"/>
  <c r="S279" i="12"/>
  <c r="L279" i="12" s="1"/>
  <c r="N279" i="12"/>
  <c r="O279" i="12" s="1"/>
  <c r="M246" i="12"/>
  <c r="M295" i="12"/>
  <c r="J69" i="2"/>
  <c r="J118" i="2"/>
  <c r="AE104" i="6"/>
  <c r="AN104" i="6"/>
  <c r="AS104" i="6"/>
  <c r="X104" i="6"/>
  <c r="AK104" i="6"/>
  <c r="BI23" i="6"/>
  <c r="AH23" i="6"/>
  <c r="M180" i="12"/>
  <c r="P243" i="12"/>
  <c r="Q243" i="12" s="1"/>
  <c r="N243" i="12"/>
  <c r="O243" i="12" s="1"/>
  <c r="S243" i="12"/>
  <c r="L243" i="12" s="1"/>
  <c r="Y111" i="6"/>
  <c r="D56" i="2"/>
  <c r="U46" i="6"/>
  <c r="M60" i="12"/>
  <c r="W48" i="6"/>
  <c r="AT46" i="6"/>
  <c r="AL57" i="6"/>
  <c r="AT57" i="6"/>
  <c r="U23" i="6"/>
  <c r="AA124" i="6"/>
  <c r="AA104" i="6"/>
  <c r="AB104" i="6"/>
  <c r="BR104" i="6" s="1"/>
  <c r="AB23" i="6"/>
  <c r="BB23" i="6"/>
  <c r="Y23" i="6"/>
  <c r="N281" i="12"/>
  <c r="O281" i="12" s="1"/>
  <c r="S281" i="12"/>
  <c r="L281" i="12" s="1"/>
  <c r="P281" i="12"/>
  <c r="Q281" i="12" s="1"/>
  <c r="M312" i="12"/>
  <c r="M319" i="12"/>
  <c r="R111" i="6"/>
  <c r="AL46" i="6"/>
  <c r="AR111" i="6"/>
  <c r="D11" i="2"/>
  <c r="AN48" i="6"/>
  <c r="AJ48" i="6"/>
  <c r="V46" i="6"/>
  <c r="AU124" i="6"/>
  <c r="W111" i="6"/>
  <c r="AP23" i="6"/>
  <c r="AP124" i="6"/>
  <c r="Q254" i="12"/>
  <c r="Q294" i="12"/>
  <c r="O290" i="12"/>
  <c r="M276" i="12"/>
  <c r="O319" i="12"/>
  <c r="Q245" i="12"/>
  <c r="P22" i="1"/>
  <c r="J46" i="1" s="1"/>
  <c r="O249" i="12"/>
  <c r="K183" i="12"/>
  <c r="Q265" i="12"/>
  <c r="K279" i="12"/>
  <c r="K222" i="12"/>
  <c r="M151" i="12"/>
  <c r="P249" i="12"/>
  <c r="Q249" i="12" s="1"/>
  <c r="P263" i="12"/>
  <c r="Q263" i="12" s="1"/>
  <c r="S263" i="12"/>
  <c r="L263" i="12" s="1"/>
  <c r="N263" i="12"/>
  <c r="O263" i="12" s="1"/>
  <c r="K201" i="12"/>
  <c r="Q290" i="12"/>
  <c r="O312" i="12"/>
  <c r="O255" i="12"/>
  <c r="O273" i="12"/>
  <c r="P255" i="12"/>
  <c r="Q255" i="12" s="1"/>
  <c r="S255" i="12"/>
  <c r="L255" i="12" s="1"/>
  <c r="N292" i="12"/>
  <c r="O292" i="12" s="1"/>
  <c r="S292" i="12"/>
  <c r="L292" i="12" s="1"/>
  <c r="P292" i="12"/>
  <c r="Q292" i="12" s="1"/>
  <c r="Q312" i="12"/>
  <c r="K149" i="12"/>
  <c r="K185" i="12"/>
  <c r="K221" i="12"/>
  <c r="K257" i="12"/>
  <c r="K293" i="12"/>
  <c r="K42" i="12"/>
  <c r="K78" i="12"/>
  <c r="K146" i="12"/>
  <c r="K159" i="12"/>
  <c r="K182" i="12"/>
  <c r="K195" i="12"/>
  <c r="K218" i="12"/>
  <c r="K251" i="12"/>
  <c r="K254" i="12"/>
  <c r="K267" i="12"/>
  <c r="K134" i="12"/>
  <c r="K303" i="12"/>
  <c r="O309" i="12"/>
  <c r="Q253" i="12"/>
  <c r="S256" i="12"/>
  <c r="L256" i="12" s="1"/>
  <c r="N256" i="12"/>
  <c r="O256" i="12" s="1"/>
  <c r="K128" i="12"/>
  <c r="K111" i="12"/>
  <c r="K91" i="12"/>
  <c r="K87" i="12"/>
  <c r="K36" i="12"/>
  <c r="K319" i="12"/>
  <c r="K312" i="12"/>
  <c r="K297" i="12"/>
  <c r="K294" i="12"/>
  <c r="K273" i="12"/>
  <c r="K234" i="12"/>
  <c r="K212" i="12"/>
  <c r="K191" i="12"/>
  <c r="K317" i="12"/>
  <c r="K152" i="12"/>
  <c r="K145" i="12"/>
  <c r="K141" i="12"/>
  <c r="Q244" i="12"/>
  <c r="M247" i="12"/>
  <c r="N265" i="12"/>
  <c r="O265" i="12" s="1"/>
  <c r="S265" i="12"/>
  <c r="L265" i="12" s="1"/>
  <c r="S274" i="12"/>
  <c r="L274" i="12" s="1"/>
  <c r="N274" i="12"/>
  <c r="O274" i="12" s="1"/>
  <c r="P274" i="12"/>
  <c r="Q274" i="12" s="1"/>
  <c r="S283" i="12"/>
  <c r="L283" i="12" s="1"/>
  <c r="N283" i="12"/>
  <c r="O283" i="12" s="1"/>
  <c r="K131" i="12"/>
  <c r="K66" i="12"/>
  <c r="K56" i="12"/>
  <c r="K45" i="12"/>
  <c r="K35" i="12"/>
  <c r="K301" i="12"/>
  <c r="K223" i="12"/>
  <c r="K215" i="12"/>
  <c r="K173" i="12"/>
  <c r="O285" i="12"/>
  <c r="P256" i="12"/>
  <c r="Q256" i="12" s="1"/>
  <c r="M248" i="12"/>
  <c r="N239" i="12"/>
  <c r="O239" i="12" s="1"/>
  <c r="S239" i="12"/>
  <c r="L239" i="12" s="1"/>
  <c r="N257" i="12"/>
  <c r="O257" i="12" s="1"/>
  <c r="P257" i="12"/>
  <c r="Q257" i="12" s="1"/>
  <c r="P231" i="12"/>
  <c r="Q231" i="12" s="1"/>
  <c r="S231" i="12"/>
  <c r="L231" i="12" s="1"/>
  <c r="K275" i="12"/>
  <c r="K130" i="12"/>
  <c r="K94" i="12"/>
  <c r="K80" i="12"/>
  <c r="K38" i="12"/>
  <c r="K300" i="12"/>
  <c r="K283" i="12"/>
  <c r="K266" i="12"/>
  <c r="K261" i="12"/>
  <c r="K258" i="12"/>
  <c r="K237" i="12"/>
  <c r="K198" i="12"/>
  <c r="K155" i="12"/>
  <c r="K148" i="12"/>
  <c r="O318" i="12"/>
  <c r="M302" i="12"/>
  <c r="Q295" i="12"/>
  <c r="Q239" i="12"/>
  <c r="N241" i="12"/>
  <c r="O241" i="12" s="1"/>
  <c r="S241" i="12"/>
  <c r="L241" i="12" s="1"/>
  <c r="S250" i="12"/>
  <c r="L250" i="12" s="1"/>
  <c r="N250" i="12"/>
  <c r="O250" i="12" s="1"/>
  <c r="K169" i="12"/>
  <c r="K135" i="12"/>
  <c r="K107" i="12"/>
  <c r="K96" i="12"/>
  <c r="K79" i="12"/>
  <c r="K52" i="12"/>
  <c r="K290" i="12"/>
  <c r="K288" i="12"/>
  <c r="K278" i="12"/>
  <c r="K268" i="12"/>
  <c r="K250" i="12"/>
  <c r="K239" i="12"/>
  <c r="K229" i="12"/>
  <c r="K200" i="12"/>
  <c r="K161" i="12"/>
  <c r="K151" i="12"/>
  <c r="K143" i="12"/>
  <c r="M284" i="12"/>
  <c r="O271" i="12"/>
  <c r="Q242" i="12"/>
  <c r="P137" i="12"/>
  <c r="Q137" i="12" s="1"/>
  <c r="N137" i="12"/>
  <c r="O137" i="12" s="1"/>
  <c r="S137" i="12"/>
  <c r="L137" i="12" s="1"/>
  <c r="M199" i="12"/>
  <c r="P287" i="12"/>
  <c r="Q287" i="12" s="1"/>
  <c r="S287" i="12"/>
  <c r="L287" i="12" s="1"/>
  <c r="N287" i="12"/>
  <c r="O287" i="12" s="1"/>
  <c r="O289" i="12"/>
  <c r="N316" i="12"/>
  <c r="O316" i="12" s="1"/>
  <c r="S316" i="12"/>
  <c r="L316" i="12" s="1"/>
  <c r="K110" i="12"/>
  <c r="K106" i="12"/>
  <c r="K86" i="12"/>
  <c r="K58" i="12"/>
  <c r="K44" i="12"/>
  <c r="K299" i="12"/>
  <c r="K292" i="12"/>
  <c r="K199" i="12"/>
  <c r="K253" i="12"/>
  <c r="K249" i="12"/>
  <c r="K228" i="12"/>
  <c r="K211" i="12"/>
  <c r="K204" i="12"/>
  <c r="K189" i="12"/>
  <c r="K186" i="12"/>
  <c r="K165" i="12"/>
  <c r="S310" i="12"/>
  <c r="L310" i="12" s="1"/>
  <c r="N310" i="12"/>
  <c r="O310" i="12" s="1"/>
  <c r="K235" i="12"/>
  <c r="K302" i="12"/>
  <c r="K281" i="12"/>
  <c r="K242" i="12"/>
  <c r="K232" i="12"/>
  <c r="K214" i="12"/>
  <c r="K203" i="12"/>
  <c r="K193" i="12"/>
  <c r="K164" i="12"/>
  <c r="P283" i="12"/>
  <c r="Q283" i="12" s="1"/>
  <c r="N231" i="12"/>
  <c r="O231" i="12" s="1"/>
  <c r="S244" i="12"/>
  <c r="L244" i="12" s="1"/>
  <c r="N244" i="12"/>
  <c r="O244" i="12" s="1"/>
  <c r="S280" i="12"/>
  <c r="L280" i="12" s="1"/>
  <c r="N280" i="12"/>
  <c r="O280" i="12" s="1"/>
  <c r="P280" i="12"/>
  <c r="Q280" i="12" s="1"/>
  <c r="N304" i="12"/>
  <c r="O304" i="12" s="1"/>
  <c r="S304" i="12"/>
  <c r="L304" i="12" s="1"/>
  <c r="P304" i="12"/>
  <c r="Q304" i="12" s="1"/>
  <c r="K160" i="12"/>
  <c r="K116" i="12"/>
  <c r="K88" i="12"/>
  <c r="K68" i="12"/>
  <c r="K61" i="12"/>
  <c r="K39" i="12"/>
  <c r="K306" i="12"/>
  <c r="K284" i="12"/>
  <c r="K263" i="12"/>
  <c r="K256" i="12"/>
  <c r="K224" i="12"/>
  <c r="K217" i="12"/>
  <c r="K192" i="12"/>
  <c r="K175" i="12"/>
  <c r="K168" i="12"/>
  <c r="K153" i="12"/>
  <c r="K150" i="12"/>
  <c r="M191" i="12"/>
  <c r="O307" i="12"/>
  <c r="P250" i="12"/>
  <c r="Q250" i="12" s="1"/>
  <c r="S271" i="12"/>
  <c r="L271" i="12" s="1"/>
  <c r="P271" i="12"/>
  <c r="Q271" i="12" s="1"/>
  <c r="M291" i="12"/>
  <c r="P318" i="12"/>
  <c r="Q318" i="12" s="1"/>
  <c r="S318" i="12"/>
  <c r="L318" i="12" s="1"/>
  <c r="K119" i="12"/>
  <c r="K102" i="12"/>
  <c r="K92" i="12"/>
  <c r="K81" i="12"/>
  <c r="K71" i="12"/>
  <c r="K43" i="12"/>
  <c r="K295" i="12"/>
  <c r="K287" i="12"/>
  <c r="K245" i="12"/>
  <c r="K206" i="12"/>
  <c r="K196" i="12"/>
  <c r="K178" i="12"/>
  <c r="K157" i="12"/>
  <c r="O303" i="12"/>
  <c r="S298" i="12"/>
  <c r="L298" i="12" s="1"/>
  <c r="N298" i="12"/>
  <c r="O298" i="12" s="1"/>
  <c r="K83" i="12"/>
  <c r="K47" i="12"/>
  <c r="K298" i="12"/>
  <c r="K262" i="12"/>
  <c r="K226" i="12"/>
  <c r="K190" i="12"/>
  <c r="K154" i="12"/>
  <c r="K307" i="12"/>
  <c r="K271" i="12"/>
  <c r="K60" i="12"/>
  <c r="K276" i="12"/>
  <c r="K163" i="12"/>
  <c r="Q307" i="12"/>
  <c r="N253" i="12"/>
  <c r="O253" i="12" s="1"/>
  <c r="S253" i="12"/>
  <c r="L253" i="12" s="1"/>
  <c r="N277" i="12"/>
  <c r="O277" i="12" s="1"/>
  <c r="S277" i="12"/>
  <c r="L277" i="12" s="1"/>
  <c r="K95" i="12"/>
  <c r="K59" i="12"/>
  <c r="K310" i="12"/>
  <c r="K274" i="12"/>
  <c r="K259" i="12"/>
  <c r="K202" i="12"/>
  <c r="K166" i="12"/>
  <c r="Q277" i="12"/>
  <c r="S259" i="12"/>
  <c r="L259" i="12" s="1"/>
  <c r="P259" i="12"/>
  <c r="Q259" i="12" s="1"/>
  <c r="S262" i="12"/>
  <c r="L262" i="12" s="1"/>
  <c r="N262" i="12"/>
  <c r="O262" i="12" s="1"/>
  <c r="S286" i="12"/>
  <c r="L286" i="12" s="1"/>
  <c r="N286" i="12"/>
  <c r="O286" i="12" s="1"/>
  <c r="S301" i="12"/>
  <c r="L301" i="12" s="1"/>
  <c r="K98" i="12"/>
  <c r="K62" i="12"/>
  <c r="K313" i="12"/>
  <c r="K277" i="12"/>
  <c r="K241" i="12"/>
  <c r="K205" i="12"/>
  <c r="K136" i="12"/>
  <c r="K101" i="12"/>
  <c r="K65" i="12"/>
  <c r="K316" i="12"/>
  <c r="K280" i="12"/>
  <c r="K244" i="12"/>
  <c r="K208" i="12"/>
  <c r="K172" i="12"/>
  <c r="P284" i="12"/>
  <c r="Q284" i="12" s="1"/>
  <c r="P272" i="12"/>
  <c r="Q272" i="12" s="1"/>
  <c r="P199" i="12"/>
  <c r="Q199" i="12" s="1"/>
  <c r="P248" i="12"/>
  <c r="Q248" i="12" s="1"/>
  <c r="N284" i="12"/>
  <c r="O284" i="12" s="1"/>
  <c r="N272" i="12"/>
  <c r="N199" i="12"/>
  <c r="O199" i="12" s="1"/>
  <c r="N248" i="12"/>
  <c r="O248" i="12" s="1"/>
  <c r="S242" i="12"/>
  <c r="L242" i="12" s="1"/>
  <c r="S254" i="12"/>
  <c r="L254" i="12" s="1"/>
  <c r="S138" i="12"/>
  <c r="L138" i="12" s="1"/>
  <c r="S278" i="12"/>
  <c r="L278" i="12" s="1"/>
  <c r="N115" i="2" l="1"/>
  <c r="N30" i="2"/>
  <c r="N97" i="2"/>
  <c r="N12" i="2"/>
  <c r="I109" i="2"/>
  <c r="I24" i="2"/>
  <c r="I77" i="2"/>
  <c r="B112" i="12"/>
  <c r="B75" i="12"/>
  <c r="N74" i="2"/>
  <c r="I108" i="2"/>
  <c r="I76" i="2"/>
  <c r="N61" i="2"/>
  <c r="F56" i="6"/>
  <c r="AV56" i="6" s="1"/>
  <c r="N6" i="2"/>
  <c r="N29" i="2"/>
  <c r="F16" i="6"/>
  <c r="AD14" i="3" s="1"/>
  <c r="F10" i="6"/>
  <c r="F14" i="6"/>
  <c r="F117" i="6"/>
  <c r="AV117" i="6" s="1"/>
  <c r="F106" i="6"/>
  <c r="AV106" i="6" s="1"/>
  <c r="F108" i="6"/>
  <c r="AV108" i="6" s="1"/>
  <c r="F97" i="6"/>
  <c r="AV97" i="6" s="1"/>
  <c r="F44" i="6"/>
  <c r="AV44" i="6" s="1"/>
  <c r="F43" i="6"/>
  <c r="AV43" i="6" s="1"/>
  <c r="F59" i="6"/>
  <c r="AV59" i="6" s="1"/>
  <c r="F33" i="6"/>
  <c r="AV33" i="6" s="1"/>
  <c r="B34" i="12"/>
  <c r="N108" i="2"/>
  <c r="I52" i="2"/>
  <c r="F130" i="6"/>
  <c r="AV130" i="6" s="1"/>
  <c r="N46" i="2"/>
  <c r="F39" i="6"/>
  <c r="AV39" i="6" s="1"/>
  <c r="N77" i="2"/>
  <c r="I119" i="2"/>
  <c r="I121" i="2" s="1"/>
  <c r="N39" i="2"/>
  <c r="B107" i="12"/>
  <c r="L12" i="2"/>
  <c r="P12" i="2" s="1"/>
  <c r="L18" i="2"/>
  <c r="P18" i="2" s="1"/>
  <c r="L8" i="2"/>
  <c r="P8" i="2" s="1"/>
  <c r="Y15" i="3" a="1"/>
  <c r="Y15" i="3" s="1"/>
  <c r="L11" i="2"/>
  <c r="P11" i="2" s="1"/>
  <c r="N86" i="2"/>
  <c r="B43" i="12"/>
  <c r="B133" i="12"/>
  <c r="B192" i="12"/>
  <c r="I90" i="2"/>
  <c r="I57" i="2"/>
  <c r="N112" i="2"/>
  <c r="I104" i="2"/>
  <c r="AA8" i="3"/>
  <c r="I129" i="2"/>
  <c r="I12" i="2"/>
  <c r="B59" i="12"/>
  <c r="N67" i="2"/>
  <c r="N53" i="2"/>
  <c r="N43" i="2"/>
  <c r="N79" i="2"/>
  <c r="N70" i="2"/>
  <c r="F122" i="6"/>
  <c r="AV122" i="6" s="1"/>
  <c r="F42" i="6"/>
  <c r="AV42" i="6" s="1"/>
  <c r="I75" i="2"/>
  <c r="I107" i="2"/>
  <c r="F77" i="6"/>
  <c r="AV77" i="6" s="1"/>
  <c r="N116" i="2"/>
  <c r="L15" i="2"/>
  <c r="P15" i="2" s="1"/>
  <c r="N25" i="2"/>
  <c r="I43" i="2"/>
  <c r="N83" i="2"/>
  <c r="I113" i="2"/>
  <c r="I66" i="2"/>
  <c r="N38" i="2"/>
  <c r="F83" i="6"/>
  <c r="AV83" i="6" s="1"/>
  <c r="F110" i="6"/>
  <c r="AV110" i="6" s="1"/>
  <c r="I79" i="2"/>
  <c r="F26" i="6"/>
  <c r="F99" i="6"/>
  <c r="AV99" i="6" s="1"/>
  <c r="F65" i="6"/>
  <c r="AV65" i="6" s="1"/>
  <c r="F142" i="6"/>
  <c r="AV142" i="6" s="1"/>
  <c r="F62" i="6"/>
  <c r="AV62" i="6" s="1"/>
  <c r="F134" i="6"/>
  <c r="AV134" i="6" s="1"/>
  <c r="F123" i="6"/>
  <c r="AV123" i="6" s="1"/>
  <c r="F95" i="6"/>
  <c r="AV95" i="6" s="1"/>
  <c r="B56" i="12"/>
  <c r="B276" i="12"/>
  <c r="F100" i="6"/>
  <c r="AV100" i="6" s="1"/>
  <c r="B154" i="12"/>
  <c r="I72" i="2"/>
  <c r="I37" i="2"/>
  <c r="N104" i="2"/>
  <c r="I93" i="2"/>
  <c r="I39" i="2"/>
  <c r="F152" i="6"/>
  <c r="AV152" i="6" s="1"/>
  <c r="F22" i="6"/>
  <c r="B218" i="12"/>
  <c r="F138" i="6"/>
  <c r="AV138" i="6" s="1"/>
  <c r="F30" i="6"/>
  <c r="AV30" i="6" s="1"/>
  <c r="B152" i="12"/>
  <c r="O2" i="3"/>
  <c r="B39" i="12"/>
  <c r="I94" i="2"/>
  <c r="F128" i="6"/>
  <c r="AV128" i="6" s="1"/>
  <c r="N24" i="2"/>
  <c r="I96" i="2"/>
  <c r="F63" i="6"/>
  <c r="AV63" i="6" s="1"/>
  <c r="I88" i="2"/>
  <c r="F27" i="6"/>
  <c r="F116" i="6"/>
  <c r="AV116" i="6" s="1"/>
  <c r="I14" i="2"/>
  <c r="F64" i="6"/>
  <c r="AV64" i="6" s="1"/>
  <c r="B82" i="12"/>
  <c r="N54" i="2"/>
  <c r="L19" i="2"/>
  <c r="P19" i="2" s="1"/>
  <c r="B217" i="12"/>
  <c r="B221" i="12"/>
  <c r="N119" i="2"/>
  <c r="N120" i="2" s="1"/>
  <c r="N121" i="2" s="1"/>
  <c r="N122" i="2" s="1"/>
  <c r="N123" i="2" s="1"/>
  <c r="N124" i="2" s="1"/>
  <c r="N125" i="2" s="1"/>
  <c r="N126" i="2" s="1"/>
  <c r="I116" i="2"/>
  <c r="F94" i="6"/>
  <c r="AV94" i="6" s="1"/>
  <c r="L14" i="2"/>
  <c r="P14" i="2" s="1"/>
  <c r="B80" i="12"/>
  <c r="F102" i="6"/>
  <c r="AV102" i="6" s="1"/>
  <c r="L20" i="2"/>
  <c r="P20" i="2" s="1"/>
  <c r="I71" i="2"/>
  <c r="L10" i="2"/>
  <c r="P10" i="2" s="1"/>
  <c r="L9" i="2"/>
  <c r="P9" i="2" s="1"/>
  <c r="B116" i="12"/>
  <c r="F18" i="6"/>
  <c r="L7" i="2"/>
  <c r="P7" i="2" s="1"/>
  <c r="B157" i="12"/>
  <c r="L6" i="2"/>
  <c r="P6" i="2" s="1"/>
  <c r="N76" i="2"/>
  <c r="F89" i="6"/>
  <c r="AV89" i="6" s="1"/>
  <c r="F148" i="6"/>
  <c r="AV148" i="6" s="1"/>
  <c r="F41" i="6"/>
  <c r="AV41" i="6" s="1"/>
  <c r="F28" i="6"/>
  <c r="AV28" i="6" s="1"/>
  <c r="F9" i="6"/>
  <c r="F53" i="6"/>
  <c r="AV53" i="6" s="1"/>
  <c r="F37" i="6"/>
  <c r="AV37" i="6" s="1"/>
  <c r="B72" i="12"/>
  <c r="F20" i="6"/>
  <c r="B125" i="12"/>
  <c r="F4" i="6"/>
  <c r="AV4" i="6" s="1"/>
  <c r="B90" i="12"/>
  <c r="F139" i="6"/>
  <c r="AV139" i="6" s="1"/>
  <c r="F11" i="6"/>
  <c r="F12" i="6"/>
  <c r="AD15" i="3" s="1"/>
  <c r="J10" i="3" s="1"/>
  <c r="F61" i="6"/>
  <c r="AV61" i="6" s="1"/>
  <c r="F115" i="6"/>
  <c r="AV115" i="6" s="1"/>
  <c r="B50" i="12"/>
  <c r="F74" i="6"/>
  <c r="AV74" i="6" s="1"/>
  <c r="F17" i="6"/>
  <c r="F93" i="6"/>
  <c r="AV93" i="6" s="1"/>
  <c r="F114" i="6"/>
  <c r="AV114" i="6" s="1"/>
  <c r="F150" i="6"/>
  <c r="AV150" i="6" s="1"/>
  <c r="I44" i="2"/>
  <c r="N45" i="2"/>
  <c r="F91" i="6"/>
  <c r="AV91" i="6" s="1"/>
  <c r="F137" i="6"/>
  <c r="AV137" i="6" s="1"/>
  <c r="F149" i="6"/>
  <c r="AV149" i="6" s="1"/>
  <c r="AB15" i="3"/>
  <c r="V15" i="3" s="1"/>
  <c r="F52" i="6"/>
  <c r="AV52" i="6" s="1"/>
  <c r="F129" i="6"/>
  <c r="AV129" i="6" s="1"/>
  <c r="F81" i="6"/>
  <c r="AV81" i="6" s="1"/>
  <c r="F70" i="6"/>
  <c r="AV70" i="6" s="1"/>
  <c r="F85" i="6"/>
  <c r="AV85" i="6" s="1"/>
  <c r="B77" i="12"/>
  <c r="B191" i="12"/>
  <c r="B172" i="12"/>
  <c r="B128" i="12"/>
  <c r="B76" i="12"/>
  <c r="B52" i="12"/>
  <c r="B105" i="12"/>
  <c r="B204" i="12"/>
  <c r="B132" i="12"/>
  <c r="B223" i="12"/>
  <c r="B143" i="12"/>
  <c r="B234" i="12"/>
  <c r="B207" i="12"/>
  <c r="B42" i="12"/>
  <c r="B55" i="12"/>
  <c r="B64" i="12"/>
  <c r="B62" i="12"/>
  <c r="B164" i="12"/>
  <c r="B140" i="12"/>
  <c r="B205" i="12"/>
  <c r="B89" i="12"/>
  <c r="B317" i="12"/>
  <c r="B206" i="12"/>
  <c r="B275" i="12"/>
  <c r="B135" i="12"/>
  <c r="B65" i="12"/>
  <c r="B162" i="12"/>
  <c r="B202" i="12"/>
  <c r="B129" i="12"/>
  <c r="B264" i="12"/>
  <c r="B186" i="12"/>
  <c r="B188" i="12"/>
  <c r="B53" i="12"/>
  <c r="B94" i="12"/>
  <c r="B108" i="12"/>
  <c r="B91" i="12"/>
  <c r="B123" i="12"/>
  <c r="B51" i="12"/>
  <c r="B73" i="12"/>
  <c r="B103" i="12"/>
  <c r="B95" i="12"/>
  <c r="B106" i="12"/>
  <c r="B194" i="12"/>
  <c r="B68" i="12"/>
  <c r="B184" i="12"/>
  <c r="B48" i="12"/>
  <c r="B58" i="12"/>
  <c r="B159" i="12"/>
  <c r="B93" i="12"/>
  <c r="B158" i="12"/>
  <c r="B247" i="12"/>
  <c r="B222" i="12"/>
  <c r="B174" i="12"/>
  <c r="B220" i="12"/>
  <c r="B171" i="12"/>
  <c r="B251" i="12"/>
  <c r="B81" i="12"/>
  <c r="B168" i="12"/>
  <c r="B229" i="12"/>
  <c r="B127" i="12"/>
  <c r="B196" i="12"/>
  <c r="B176" i="12"/>
  <c r="B66" i="12"/>
  <c r="B213" i="12"/>
  <c r="B167" i="12"/>
  <c r="B33" i="12"/>
  <c r="B147" i="12"/>
  <c r="B41" i="12"/>
  <c r="B235" i="12"/>
  <c r="B145" i="12"/>
  <c r="B98" i="12"/>
  <c r="B182" i="12"/>
  <c r="B224" i="12"/>
  <c r="B189" i="12"/>
  <c r="B40" i="12"/>
  <c r="B38" i="12"/>
  <c r="B139" i="12"/>
  <c r="B258" i="12"/>
  <c r="B117" i="12"/>
  <c r="B165" i="12"/>
  <c r="B35" i="12"/>
  <c r="B226" i="12"/>
  <c r="B101" i="12"/>
  <c r="B79" i="12"/>
  <c r="B85" i="12"/>
  <c r="B69" i="12"/>
  <c r="B87" i="12"/>
  <c r="B99" i="12"/>
  <c r="B237" i="12"/>
  <c r="B114" i="12"/>
  <c r="B219" i="12"/>
  <c r="B163" i="12"/>
  <c r="B120" i="12"/>
  <c r="B180" i="12"/>
  <c r="B225" i="12"/>
  <c r="B214" i="12"/>
  <c r="B151" i="12"/>
  <c r="B155" i="12"/>
  <c r="B96" i="12"/>
  <c r="B74" i="12"/>
  <c r="B190" i="12"/>
  <c r="B200" i="12"/>
  <c r="B146" i="12"/>
  <c r="B104" i="12"/>
  <c r="B149" i="12"/>
  <c r="B88" i="12"/>
  <c r="B118" i="12"/>
  <c r="B288" i="12"/>
  <c r="B170" i="12"/>
  <c r="B142" i="12"/>
  <c r="B246" i="12"/>
  <c r="B232" i="12"/>
  <c r="B141" i="12"/>
  <c r="B111" i="12"/>
  <c r="B54" i="12"/>
  <c r="B92" i="12"/>
  <c r="B291" i="12"/>
  <c r="B126" i="12"/>
  <c r="B181" i="12"/>
  <c r="B211" i="12"/>
  <c r="B119" i="12"/>
  <c r="I36" i="2"/>
  <c r="N98" i="2"/>
  <c r="I58" i="2"/>
  <c r="N110" i="2"/>
  <c r="N40" i="2"/>
  <c r="N28" i="2"/>
  <c r="N72" i="2"/>
  <c r="B305" i="12"/>
  <c r="B311" i="12"/>
  <c r="B97" i="12"/>
  <c r="M233" i="12"/>
  <c r="B233" i="12" s="1"/>
  <c r="N14" i="2"/>
  <c r="I18" i="2"/>
  <c r="I83" i="2"/>
  <c r="N55" i="2"/>
  <c r="N9" i="2"/>
  <c r="B109" i="12"/>
  <c r="B193" i="12"/>
  <c r="M86" i="12"/>
  <c r="B86" i="12" s="1"/>
  <c r="B100" i="12"/>
  <c r="B299" i="12"/>
  <c r="I98" i="2"/>
  <c r="B289" i="12"/>
  <c r="B195" i="12"/>
  <c r="B130" i="12"/>
  <c r="B115" i="12"/>
  <c r="I9" i="2"/>
  <c r="B228" i="12"/>
  <c r="B36" i="12"/>
  <c r="M148" i="12"/>
  <c r="B148" i="12" s="1"/>
  <c r="B63" i="12"/>
  <c r="I27" i="2"/>
  <c r="B144" i="12"/>
  <c r="B49" i="12"/>
  <c r="I67" i="2"/>
  <c r="M67" i="12"/>
  <c r="B67" i="12" s="1"/>
  <c r="B260" i="12"/>
  <c r="B60" i="12"/>
  <c r="B173" i="12"/>
  <c r="I45" i="2"/>
  <c r="N37" i="2"/>
  <c r="N100" i="2"/>
  <c r="I100" i="2"/>
  <c r="B150" i="12"/>
  <c r="N21" i="2"/>
  <c r="O215" i="12"/>
  <c r="B215" i="12" s="1"/>
  <c r="N44" i="2"/>
  <c r="B136" i="12"/>
  <c r="B71" i="12"/>
  <c r="B209" i="12"/>
  <c r="M216" i="12"/>
  <c r="B216" i="12" s="1"/>
  <c r="B166" i="12"/>
  <c r="B37" i="12"/>
  <c r="B178" i="12"/>
  <c r="B110" i="12"/>
  <c r="B201" i="12"/>
  <c r="B308" i="12"/>
  <c r="B306" i="12"/>
  <c r="B131" i="12"/>
  <c r="N41" i="2"/>
  <c r="I41" i="2"/>
  <c r="B249" i="12"/>
  <c r="N15" i="2"/>
  <c r="AB14" i="3"/>
  <c r="B46" i="12"/>
  <c r="N36" i="2"/>
  <c r="I28" i="2"/>
  <c r="B78" i="12"/>
  <c r="B161" i="12"/>
  <c r="N57" i="2"/>
  <c r="B282" i="12"/>
  <c r="B122" i="12"/>
  <c r="B212" i="12"/>
  <c r="B83" i="12"/>
  <c r="B160" i="12"/>
  <c r="B47" i="12"/>
  <c r="B169" i="12"/>
  <c r="B121" i="12"/>
  <c r="B177" i="12"/>
  <c r="M236" i="12"/>
  <c r="B236" i="12" s="1"/>
  <c r="I38" i="2"/>
  <c r="B293" i="12"/>
  <c r="B187" i="12"/>
  <c r="B245" i="12"/>
  <c r="F140" i="6"/>
  <c r="AV140" i="6" s="1"/>
  <c r="B227" i="12"/>
  <c r="F103" i="6"/>
  <c r="AV103" i="6" s="1"/>
  <c r="I8" i="2"/>
  <c r="N8" i="2"/>
  <c r="F60" i="6"/>
  <c r="AV60" i="6" s="1"/>
  <c r="F75" i="6"/>
  <c r="AV75" i="6" s="1"/>
  <c r="M185" i="12"/>
  <c r="B185" i="12" s="1"/>
  <c r="B175" i="12"/>
  <c r="F21" i="6"/>
  <c r="B294" i="12"/>
  <c r="B313" i="12"/>
  <c r="F38" i="6"/>
  <c r="AV38" i="6" s="1"/>
  <c r="B314" i="12"/>
  <c r="M208" i="12"/>
  <c r="B208" i="12" s="1"/>
  <c r="N81" i="2"/>
  <c r="B307" i="12"/>
  <c r="B295" i="12"/>
  <c r="B270" i="12"/>
  <c r="B302" i="12"/>
  <c r="B312" i="12"/>
  <c r="F157" i="6"/>
  <c r="F54" i="6"/>
  <c r="AV54" i="6" s="1"/>
  <c r="F145" i="6"/>
  <c r="AV145" i="6" s="1"/>
  <c r="Y14" i="3" a="1"/>
  <c r="Y14" i="3" s="1"/>
  <c r="F82" i="6"/>
  <c r="AV82" i="6" s="1"/>
  <c r="F71" i="6"/>
  <c r="AV71" i="6" s="1"/>
  <c r="B296" i="12"/>
  <c r="F155" i="6"/>
  <c r="AV155" i="6" s="1"/>
  <c r="M197" i="12"/>
  <c r="B197" i="12" s="1"/>
  <c r="F84" i="6"/>
  <c r="AV84" i="6" s="1"/>
  <c r="B309" i="12"/>
  <c r="B285" i="12"/>
  <c r="I122" i="2"/>
  <c r="I120" i="2"/>
  <c r="I126" i="2"/>
  <c r="B266" i="12"/>
  <c r="B257" i="12"/>
  <c r="I105" i="2"/>
  <c r="N105" i="2"/>
  <c r="F79" i="6"/>
  <c r="AV79" i="6" s="1"/>
  <c r="B199" i="12"/>
  <c r="B248" i="12"/>
  <c r="B261" i="12"/>
  <c r="F57" i="6"/>
  <c r="AV57" i="6" s="1"/>
  <c r="I99" i="2"/>
  <c r="B320" i="12"/>
  <c r="B252" i="12"/>
  <c r="B319" i="12"/>
  <c r="B300" i="12"/>
  <c r="F104" i="6"/>
  <c r="AV104" i="6" s="1"/>
  <c r="B273" i="12"/>
  <c r="B134" i="12"/>
  <c r="B297" i="12"/>
  <c r="F146" i="6"/>
  <c r="AV146" i="6" s="1"/>
  <c r="F31" i="6"/>
  <c r="AV31" i="6" s="1"/>
  <c r="F51" i="6"/>
  <c r="AV51" i="6" s="1"/>
  <c r="I124" i="2"/>
  <c r="B303" i="12"/>
  <c r="B290" i="12"/>
  <c r="I125" i="2"/>
  <c r="N92" i="2"/>
  <c r="B240" i="12"/>
  <c r="I110" i="2"/>
  <c r="D46" i="1"/>
  <c r="C47" i="1"/>
  <c r="E67" i="9"/>
  <c r="E68" i="9"/>
  <c r="E46" i="1"/>
  <c r="J2" i="9"/>
  <c r="J2" i="3"/>
  <c r="AK30" i="3"/>
  <c r="M287" i="12"/>
  <c r="B287" i="12" s="1"/>
  <c r="M274" i="12"/>
  <c r="B274" i="12" s="1"/>
  <c r="M256" i="12"/>
  <c r="B256" i="12" s="1"/>
  <c r="M298" i="12"/>
  <c r="B298" i="12" s="1"/>
  <c r="M137" i="12"/>
  <c r="B137" i="12" s="1"/>
  <c r="F86" i="6"/>
  <c r="AV86" i="6" s="1"/>
  <c r="M102" i="12"/>
  <c r="B102" i="12" s="1"/>
  <c r="O61" i="12"/>
  <c r="B61" i="12" s="1"/>
  <c r="M124" i="12"/>
  <c r="B124" i="12" s="1"/>
  <c r="M304" i="12"/>
  <c r="B304" i="12" s="1"/>
  <c r="M263" i="12"/>
  <c r="B263" i="12" s="1"/>
  <c r="Q156" i="12"/>
  <c r="B156" i="12" s="1"/>
  <c r="F153" i="6"/>
  <c r="AV153" i="6" s="1"/>
  <c r="F156" i="6"/>
  <c r="M230" i="12"/>
  <c r="B230" i="12" s="1"/>
  <c r="F48" i="6"/>
  <c r="AV48" i="6" s="1"/>
  <c r="M70" i="12"/>
  <c r="B70" i="12" s="1"/>
  <c r="O272" i="12"/>
  <c r="B272" i="12" s="1"/>
  <c r="M271" i="12"/>
  <c r="B271" i="12" s="1"/>
  <c r="M239" i="12"/>
  <c r="B239" i="12" s="1"/>
  <c r="M183" i="12"/>
  <c r="B183" i="12" s="1"/>
  <c r="M262" i="12"/>
  <c r="B262" i="12" s="1"/>
  <c r="F132" i="6"/>
  <c r="AV132" i="6" s="1"/>
  <c r="M278" i="12"/>
  <c r="B278" i="12" s="1"/>
  <c r="B315" i="12"/>
  <c r="M259" i="12"/>
  <c r="B259" i="12" s="1"/>
  <c r="M277" i="12"/>
  <c r="B277" i="12" s="1"/>
  <c r="M292" i="12"/>
  <c r="B292" i="12" s="1"/>
  <c r="M279" i="12"/>
  <c r="B279" i="12" s="1"/>
  <c r="M153" i="12"/>
  <c r="B153" i="12" s="1"/>
  <c r="M84" i="12"/>
  <c r="B84" i="12" s="1"/>
  <c r="M255" i="12"/>
  <c r="B255" i="12" s="1"/>
  <c r="M310" i="12"/>
  <c r="B310" i="12" s="1"/>
  <c r="M265" i="12"/>
  <c r="B265" i="12" s="1"/>
  <c r="I11" i="2"/>
  <c r="N11" i="2"/>
  <c r="F111" i="6"/>
  <c r="AV111" i="6" s="1"/>
  <c r="O179" i="12"/>
  <c r="B179" i="12" s="1"/>
  <c r="M138" i="12"/>
  <c r="B138" i="12" s="1"/>
  <c r="M318" i="12"/>
  <c r="B318" i="12" s="1"/>
  <c r="M316" i="12"/>
  <c r="B316" i="12" s="1"/>
  <c r="B269" i="12"/>
  <c r="I56" i="2"/>
  <c r="N56" i="2"/>
  <c r="F46" i="6"/>
  <c r="AV46" i="6" s="1"/>
  <c r="M203" i="12"/>
  <c r="B203" i="12" s="1"/>
  <c r="F23" i="6"/>
  <c r="Y7" i="9" a="1"/>
  <c r="Y7" i="9" s="1"/>
  <c r="Y10" i="9" a="1"/>
  <c r="Y10" i="9" s="1"/>
  <c r="Y9" i="9" a="1"/>
  <c r="Y9" i="9" s="1"/>
  <c r="Y8" i="9" a="1"/>
  <c r="Y8" i="9" s="1"/>
  <c r="Y11" i="9" a="1"/>
  <c r="Y11" i="9" s="1"/>
  <c r="B284" i="12"/>
  <c r="F113" i="6"/>
  <c r="AV113" i="6" s="1"/>
  <c r="M242" i="12"/>
  <c r="B242" i="12" s="1"/>
  <c r="M280" i="12"/>
  <c r="B280" i="12" s="1"/>
  <c r="F124" i="6"/>
  <c r="AV124" i="6" s="1"/>
  <c r="M268" i="12"/>
  <c r="B268" i="12" s="1"/>
  <c r="F32" i="6"/>
  <c r="AV32" i="6" s="1"/>
  <c r="M286" i="12"/>
  <c r="B286" i="12" s="1"/>
  <c r="M301" i="12"/>
  <c r="B301" i="12" s="1"/>
  <c r="M250" i="12"/>
  <c r="B250" i="12" s="1"/>
  <c r="M231" i="12"/>
  <c r="B231" i="12" s="1"/>
  <c r="M283" i="12"/>
  <c r="B283" i="12" s="1"/>
  <c r="F49" i="6"/>
  <c r="AV49" i="6" s="1"/>
  <c r="F40" i="6"/>
  <c r="AV40" i="6" s="1"/>
  <c r="F69" i="6"/>
  <c r="AV69" i="6" s="1"/>
  <c r="M254" i="12"/>
  <c r="B254" i="12" s="1"/>
  <c r="M253" i="12"/>
  <c r="B253" i="12" s="1"/>
  <c r="M244" i="12"/>
  <c r="B244" i="12" s="1"/>
  <c r="M241" i="12"/>
  <c r="B241" i="12" s="1"/>
  <c r="M281" i="12"/>
  <c r="B281" i="12" s="1"/>
  <c r="M243" i="12"/>
  <c r="B243" i="12" s="1"/>
  <c r="M267" i="12"/>
  <c r="B267" i="12" s="1"/>
  <c r="O198" i="12"/>
  <c r="B198" i="12" s="1"/>
  <c r="I123" i="2" l="1"/>
  <c r="S8" i="3"/>
  <c r="G6" i="3" s="1"/>
  <c r="AJ39" i="3" s="1"/>
  <c r="AK39" i="3" s="1"/>
  <c r="AK41" i="3" s="1"/>
  <c r="V14" i="3"/>
  <c r="G8" i="3"/>
  <c r="G10" i="3"/>
  <c r="J8" i="3"/>
  <c r="Z14" i="3" a="1"/>
  <c r="Z14" i="3" s="1"/>
  <c r="H10" i="3" s="1"/>
  <c r="Z15" i="3" a="1"/>
  <c r="Z15" i="3" s="1"/>
  <c r="H68" i="9"/>
  <c r="G68" i="9"/>
  <c r="I68" i="9"/>
  <c r="H67" i="9"/>
  <c r="I67" i="9"/>
  <c r="G67" i="9"/>
  <c r="E47" i="1"/>
  <c r="D47" i="1"/>
  <c r="F47" i="1"/>
  <c r="Z9" i="9" a="1"/>
  <c r="Z9" i="9" s="1"/>
  <c r="Z8" i="9" a="1"/>
  <c r="Z8" i="9" s="1"/>
  <c r="Z11" i="9" a="1"/>
  <c r="Z11" i="9" s="1"/>
  <c r="Z10" i="9" a="1"/>
  <c r="Z10" i="9" s="1"/>
  <c r="Z7" i="9" a="1"/>
  <c r="Z7" i="9" s="1"/>
  <c r="H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tc={2E72E575-DF25-4063-9041-0E55F1B52EF2}</author>
  </authors>
  <commentList>
    <comment ref="P24" authorId="0" shapeId="0" xr:uid="{2E72E575-DF25-4063-9041-0E55F1B52E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Abrunden?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Tabelle1" description="Verbindung mit der Abfrage 'Tabelle1' in der Arbeitsmappe." type="5" refreshedVersion="8" background="1" saveData="1">
    <dbPr connection="Provider=Microsoft.Mashup.OleDb.1;Data Source=$Workbook$;Location=Tabelle1;Extended Properties=&quot;&quot;" command="SELECT * FROM [Tabel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<sst xmlns="http://schemas.openxmlformats.org/spreadsheetml/2006/main" count="4862" uniqueCount="1684">
  <si>
    <t>HELDENDOKUMENT</t>
  </si>
  <si>
    <t>Name</t>
  </si>
  <si>
    <t>Rasse</t>
  </si>
  <si>
    <t>Mittelländer+</t>
  </si>
  <si>
    <t>(Modifikationen):</t>
  </si>
  <si>
    <t>Kultur</t>
  </si>
  <si>
    <t>Maraskan</t>
  </si>
  <si>
    <t>IN+1, MR+1,</t>
  </si>
  <si>
    <t>Profession</t>
  </si>
  <si>
    <t>Hexe: Verschwiegende Hexe</t>
  </si>
  <si>
    <t>Geschlecht</t>
  </si>
  <si>
    <t>Männlich (Non-Binär)</t>
  </si>
  <si>
    <t>Stand</t>
  </si>
  <si>
    <t>Alter</t>
  </si>
  <si>
    <t>Titel</t>
  </si>
  <si>
    <t>Größe</t>
  </si>
  <si>
    <t>Sozialstatus</t>
  </si>
  <si>
    <t>Gewicht</t>
  </si>
  <si>
    <t>Familie/Herkunft/Hintergrund</t>
  </si>
  <si>
    <t>Haarfarbe</t>
  </si>
  <si>
    <t>Silber</t>
  </si>
  <si>
    <t>Augenfarbe</t>
  </si>
  <si>
    <t>Aussehen</t>
  </si>
  <si>
    <t>Lange Haare, schmale Gesichtsform, weibliche Züge</t>
  </si>
  <si>
    <t>Eigenschaften &amp; Basiswerte</t>
  </si>
  <si>
    <t>Modifikator aus Generierung</t>
  </si>
  <si>
    <t>Attributo</t>
  </si>
  <si>
    <t>Start</t>
  </si>
  <si>
    <t>Aktuell</t>
  </si>
  <si>
    <t>Calc</t>
  </si>
  <si>
    <t>Max. Wert</t>
  </si>
  <si>
    <t>Modifikator</t>
  </si>
  <si>
    <t>Zugekauft</t>
  </si>
  <si>
    <t>Max. Zug.</t>
  </si>
  <si>
    <t>Mut</t>
  </si>
  <si>
    <t>MU</t>
  </si>
  <si>
    <t xml:space="preserve">Lebenspunkte </t>
  </si>
  <si>
    <t>LE</t>
  </si>
  <si>
    <t>(KO+KO+KK)/2</t>
  </si>
  <si>
    <t>Klugheit</t>
  </si>
  <si>
    <t>KL</t>
  </si>
  <si>
    <t xml:space="preserve">Ausdauer </t>
  </si>
  <si>
    <t>AU</t>
  </si>
  <si>
    <t>(MU+KO+GE)/2</t>
  </si>
  <si>
    <t>Intuition</t>
  </si>
  <si>
    <t>IN</t>
  </si>
  <si>
    <t>Astralenergie</t>
  </si>
  <si>
    <t>AE</t>
  </si>
  <si>
    <t>(MU+IN+CH)/2</t>
  </si>
  <si>
    <t>Charisma</t>
  </si>
  <si>
    <t>CH</t>
  </si>
  <si>
    <t>Karmaenergie</t>
  </si>
  <si>
    <t>KE</t>
  </si>
  <si>
    <t>Fingerfertigkeit</t>
  </si>
  <si>
    <t>FF</t>
  </si>
  <si>
    <t>Magieresistenz</t>
  </si>
  <si>
    <t>MR</t>
  </si>
  <si>
    <t>Gewandheit</t>
  </si>
  <si>
    <t>GE</t>
  </si>
  <si>
    <t>INI-Basiswert</t>
  </si>
  <si>
    <t>INI</t>
  </si>
  <si>
    <t>(MU+MU+IN+GE)/5</t>
  </si>
  <si>
    <t>Konstitution</t>
  </si>
  <si>
    <t>KO</t>
  </si>
  <si>
    <t>AT-Basiswert</t>
  </si>
  <si>
    <t>AT</t>
  </si>
  <si>
    <t>(MU+GE+KK)/5</t>
  </si>
  <si>
    <t>Körperkraft</t>
  </si>
  <si>
    <t>KK</t>
  </si>
  <si>
    <t>PA-Basiswert</t>
  </si>
  <si>
    <t>PA</t>
  </si>
  <si>
    <t>(IN+GE+KK)/5</t>
  </si>
  <si>
    <t>FK-Basiswert</t>
  </si>
  <si>
    <t>FK</t>
  </si>
  <si>
    <t>(IN+FF+KK)/5</t>
  </si>
  <si>
    <t>Geschwindigkeit</t>
  </si>
  <si>
    <t>GES</t>
  </si>
  <si>
    <t>(GE&lt;11:-1 | GE&gt;15:+1)</t>
  </si>
  <si>
    <t>Limbus</t>
  </si>
  <si>
    <t>(MU/IN/GE)/5</t>
  </si>
  <si>
    <t>Vorteile</t>
  </si>
  <si>
    <t xml:space="preserve">Altersresistenz, Eigeboren, Gutaussehend, Machvoller Vertrauter, Verhüllte Aura, Vollzauberer, Begabung Alchemie, </t>
  </si>
  <si>
    <t>Nachteile</t>
  </si>
  <si>
    <t>Abentuerpunkte &amp; Stufe</t>
  </si>
  <si>
    <t>Gesamt:</t>
  </si>
  <si>
    <t>Eingesetzte AP:</t>
  </si>
  <si>
    <t>Guthaben:</t>
  </si>
  <si>
    <t>Stufe:</t>
  </si>
  <si>
    <t>Dazugewonnene AP:</t>
  </si>
  <si>
    <t>Ausgegebene AP:</t>
  </si>
  <si>
    <t>Aktiv</t>
  </si>
  <si>
    <t>Typ</t>
  </si>
  <si>
    <t>EiGewandheitnsCharismaaft 1</t>
  </si>
  <si>
    <t>EiGewandheitnsCharismaaft 2</t>
  </si>
  <si>
    <t>EiGewandheitnsCharismaaft 3</t>
  </si>
  <si>
    <t>Komplexität</t>
  </si>
  <si>
    <t>BE</t>
  </si>
  <si>
    <t>Empathie</t>
  </si>
  <si>
    <t>Gabe</t>
  </si>
  <si>
    <t>Gefahreninstinkt</t>
  </si>
  <si>
    <t>Geräuschhexerei</t>
  </si>
  <si>
    <t>Kräfteschub</t>
  </si>
  <si>
    <t>Talentschub</t>
  </si>
  <si>
    <t>Magiegespür</t>
  </si>
  <si>
    <t>Prophezeien</t>
  </si>
  <si>
    <t>Tierempathie</t>
  </si>
  <si>
    <t>Zwergennase</t>
  </si>
  <si>
    <t>x</t>
  </si>
  <si>
    <t>Athletik</t>
  </si>
  <si>
    <t>Körperliche Talente</t>
  </si>
  <si>
    <t>C</t>
  </si>
  <si>
    <t>x2</t>
  </si>
  <si>
    <t>Klettern</t>
  </si>
  <si>
    <t>D</t>
  </si>
  <si>
    <t>Körperbeherrschung</t>
  </si>
  <si>
    <t>Schleichen</t>
  </si>
  <si>
    <t>x1</t>
  </si>
  <si>
    <t>Schwimmen</t>
  </si>
  <si>
    <t>Selbstbeherrschung</t>
  </si>
  <si>
    <t>-</t>
  </si>
  <si>
    <t>Sich Verstecken</t>
  </si>
  <si>
    <t>Singen</t>
  </si>
  <si>
    <t>Sinnesschärfe</t>
  </si>
  <si>
    <t>spez.</t>
  </si>
  <si>
    <t>Tanzen</t>
  </si>
  <si>
    <t>B</t>
  </si>
  <si>
    <t>Zechen</t>
  </si>
  <si>
    <t>Akrobatik</t>
  </si>
  <si>
    <t>A</t>
  </si>
  <si>
    <t>Fliegen</t>
  </si>
  <si>
    <t>Gaukeleien</t>
  </si>
  <si>
    <t>Reiten</t>
  </si>
  <si>
    <t>Skifahren</t>
  </si>
  <si>
    <t>Stimmen Imitieren</t>
  </si>
  <si>
    <t>Taschendiebstahl</t>
  </si>
  <si>
    <t>Götter / Kulte</t>
  </si>
  <si>
    <t>Wissenstalente</t>
  </si>
  <si>
    <t>Rechnen</t>
  </si>
  <si>
    <t>Sagen / Legenden</t>
  </si>
  <si>
    <t>Anatomie</t>
  </si>
  <si>
    <t>Baukunst</t>
  </si>
  <si>
    <t>Brett-/Kartenspiel</t>
  </si>
  <si>
    <t>Geographie</t>
  </si>
  <si>
    <t>Geschichtswissen</t>
  </si>
  <si>
    <t>Gesteinskunde</t>
  </si>
  <si>
    <t>Heraldik</t>
  </si>
  <si>
    <t>Hüttenkunde</t>
  </si>
  <si>
    <t>Kriegskunst</t>
  </si>
  <si>
    <t>Kryptographie</t>
  </si>
  <si>
    <t>Magiekunde</t>
  </si>
  <si>
    <t>Mechanik</t>
  </si>
  <si>
    <t>Pflanzenkunde</t>
  </si>
  <si>
    <t>Philosophie</t>
  </si>
  <si>
    <t>Rechtskunde</t>
  </si>
  <si>
    <t>Schätzen</t>
  </si>
  <si>
    <t>Sprachenkunde</t>
  </si>
  <si>
    <t>Staatskunst</t>
  </si>
  <si>
    <t>Sternkunde</t>
  </si>
  <si>
    <t>Tierkunde</t>
  </si>
  <si>
    <t>Menschenkenntnis</t>
  </si>
  <si>
    <t>Gesellschaftliche Talente</t>
  </si>
  <si>
    <t>Überreden</t>
  </si>
  <si>
    <t>Betören</t>
  </si>
  <si>
    <t>Etikette</t>
  </si>
  <si>
    <t>Gassenwissen</t>
  </si>
  <si>
    <t>Lehren</t>
  </si>
  <si>
    <t>Schauspielerei</t>
  </si>
  <si>
    <t>Schriftlicher Ausdruck</t>
  </si>
  <si>
    <t>Sich Verkleiden</t>
  </si>
  <si>
    <t>Überzeugen</t>
  </si>
  <si>
    <t>Fährtensuchen</t>
  </si>
  <si>
    <t xml:space="preserve">Natur Talente </t>
  </si>
  <si>
    <t>Orientierung</t>
  </si>
  <si>
    <t>Wildnisleben</t>
  </si>
  <si>
    <t>Fallenstellen</t>
  </si>
  <si>
    <t>Fesseln/Entfesseln</t>
  </si>
  <si>
    <t>Fischen/Angeln</t>
  </si>
  <si>
    <t>Wettervorhersage</t>
  </si>
  <si>
    <t>Heilkunde Wunden</t>
  </si>
  <si>
    <t>Handwerkliche Talente</t>
  </si>
  <si>
    <t>Holzbearbeitung</t>
  </si>
  <si>
    <t>Kochen</t>
  </si>
  <si>
    <t>Lederarbeiten</t>
  </si>
  <si>
    <t>Malen / Zeichnen</t>
  </si>
  <si>
    <t>Schneidern</t>
  </si>
  <si>
    <t>Abrichten</t>
  </si>
  <si>
    <t>Ackerbau</t>
  </si>
  <si>
    <t>Alchemie</t>
  </si>
  <si>
    <t>Bergbau</t>
  </si>
  <si>
    <t>Bogenbau</t>
  </si>
  <si>
    <t>Boote Fahren</t>
  </si>
  <si>
    <t>Brauer</t>
  </si>
  <si>
    <t>Drucker</t>
  </si>
  <si>
    <t>Fahrzeug Lenken</t>
  </si>
  <si>
    <t>Falschspiel</t>
  </si>
  <si>
    <t>Feinmechanik</t>
  </si>
  <si>
    <t>Feuersteinbearbeitung</t>
  </si>
  <si>
    <t>Fleischer</t>
  </si>
  <si>
    <t>Gerber/Kürschner</t>
  </si>
  <si>
    <t>Glaskunst</t>
  </si>
  <si>
    <t>Grobschmied</t>
  </si>
  <si>
    <t>Handel</t>
  </si>
  <si>
    <t>Hauswirtschaft</t>
  </si>
  <si>
    <t>Heilkunde Gift</t>
  </si>
  <si>
    <t>Heilkunde Krankheiten</t>
  </si>
  <si>
    <t>Heilkunde Seele</t>
  </si>
  <si>
    <t>Instrumentenbauer</t>
  </si>
  <si>
    <t>Kartographie</t>
  </si>
  <si>
    <t>Kristallzucht</t>
  </si>
  <si>
    <t>Maurer</t>
  </si>
  <si>
    <t>Metallguss</t>
  </si>
  <si>
    <t>Musizieren</t>
  </si>
  <si>
    <t>Schlösser Knacken</t>
  </si>
  <si>
    <t>Schnaps Brennen</t>
  </si>
  <si>
    <t>Seefahrt</t>
  </si>
  <si>
    <t>Seiler</t>
  </si>
  <si>
    <t>Steinmetz</t>
  </si>
  <si>
    <t>Steinschneider/Juwelier</t>
  </si>
  <si>
    <t>Stellmacher</t>
  </si>
  <si>
    <t>Stoffe Färben</t>
  </si>
  <si>
    <t>Tätowieren</t>
  </si>
  <si>
    <t>Töpfern</t>
  </si>
  <si>
    <t>Viehzucht</t>
  </si>
  <si>
    <t>Webkunst</t>
  </si>
  <si>
    <t>Winzer</t>
  </si>
  <si>
    <t>Zimmermann</t>
  </si>
  <si>
    <t>Talente, Gaben und Sonderfertigkeiten</t>
  </si>
  <si>
    <t>BE (aus Kampfblatt):</t>
  </si>
  <si>
    <t>BE (manuell):</t>
  </si>
  <si>
    <t>BE (Berechnung):</t>
  </si>
  <si>
    <t>BE (Überschreiben):</t>
  </si>
  <si>
    <t>Talent</t>
  </si>
  <si>
    <t>Eigenschaft 1</t>
  </si>
  <si>
    <t>Eigenschaft 2</t>
  </si>
  <si>
    <t>Eigenschaft 3</t>
  </si>
  <si>
    <t>Eigenschaften</t>
  </si>
  <si>
    <t>Kompl.</t>
  </si>
  <si>
    <t>eBE</t>
  </si>
  <si>
    <t>TaW</t>
  </si>
  <si>
    <t>max. TaW</t>
  </si>
  <si>
    <t>Mod</t>
  </si>
  <si>
    <t>SE</t>
  </si>
  <si>
    <t>Spezialisierung</t>
  </si>
  <si>
    <t>Sonderfertigkeiten</t>
  </si>
  <si>
    <t>Sonderferigkeiten (außer Kampf)</t>
  </si>
  <si>
    <t>Kulturkunde Maraskan, Aura verhüllen</t>
  </si>
  <si>
    <t>Spezielle Erfahrung</t>
  </si>
  <si>
    <t>Begabung</t>
  </si>
  <si>
    <t>Sprachen</t>
  </si>
  <si>
    <t>Muttersprache: Garethi (Maraskani)</t>
  </si>
  <si>
    <t xml:space="preserve">- </t>
  </si>
  <si>
    <t>Thorwal</t>
  </si>
  <si>
    <t xml:space="preserve">Isdira </t>
  </si>
  <si>
    <t xml:space="preserve">Rssahh </t>
  </si>
  <si>
    <t>Utilami</t>
  </si>
  <si>
    <t>Tulamidya</t>
  </si>
  <si>
    <t>Dahagri</t>
  </si>
  <si>
    <t>Schriften</t>
  </si>
  <si>
    <t xml:space="preserve">Kusliker Zeichen </t>
  </si>
  <si>
    <t xml:space="preserve"> </t>
  </si>
  <si>
    <t>Meta Talente</t>
  </si>
  <si>
    <t>Pflanzensuche</t>
  </si>
  <si>
    <t>Ansitz Jagd</t>
  </si>
  <si>
    <t>Hexenschuss</t>
  </si>
  <si>
    <t>Ort</t>
  </si>
  <si>
    <t>Abenteuer</t>
  </si>
  <si>
    <t>Hinweis</t>
  </si>
  <si>
    <t>Zaubername:</t>
  </si>
  <si>
    <t>Hauszauber</t>
  </si>
  <si>
    <t>Lernen nach</t>
  </si>
  <si>
    <t>Probe</t>
  </si>
  <si>
    <t>ZfW</t>
  </si>
  <si>
    <t>ZD</t>
  </si>
  <si>
    <t>Kosten</t>
  </si>
  <si>
    <t>Reichweite</t>
  </si>
  <si>
    <t>WD</t>
  </si>
  <si>
    <t>Adlerauge</t>
  </si>
  <si>
    <t>KL/IN/FF</t>
  </si>
  <si>
    <t>selbst</t>
  </si>
  <si>
    <t>1 SR</t>
  </si>
  <si>
    <t>Armatrutz</t>
  </si>
  <si>
    <t>IN/GE/KO</t>
  </si>
  <si>
    <t>RS*RS-ZfP*/2 (min. 4)</t>
  </si>
  <si>
    <t>Berührung</t>
  </si>
  <si>
    <t>KL/CH/??</t>
  </si>
  <si>
    <t>1 Stunde</t>
  </si>
  <si>
    <t>Blitz dich find</t>
  </si>
  <si>
    <t>KL/IN/GE</t>
  </si>
  <si>
    <t>ZfW Schritt</t>
  </si>
  <si>
    <t>ZfW/2 Aktionen</t>
  </si>
  <si>
    <t>Große Gier</t>
  </si>
  <si>
    <t>KL/KL/CH</t>
  </si>
  <si>
    <t>ZfP* SR</t>
  </si>
  <si>
    <t>Harmlose Gestalt</t>
  </si>
  <si>
    <t>Ja</t>
  </si>
  <si>
    <t>KL/FF/KO</t>
  </si>
  <si>
    <t>ZfP* SR (A)</t>
  </si>
  <si>
    <t>Hexenblick</t>
  </si>
  <si>
    <t>IN/IN/CH</t>
  </si>
  <si>
    <t>3 Schritt</t>
  </si>
  <si>
    <t>4 Aktionen</t>
  </si>
  <si>
    <t>Hexenholz</t>
  </si>
  <si>
    <t>KL/FF/KK</t>
  </si>
  <si>
    <t>5 + 1*SR</t>
  </si>
  <si>
    <t>7 Schritt</t>
  </si>
  <si>
    <t>(A)</t>
  </si>
  <si>
    <t>Hexenknoten</t>
  </si>
  <si>
    <t>KL/IN/CH</t>
  </si>
  <si>
    <t>ZfP*/2 SR</t>
  </si>
  <si>
    <t>Hexenkrallen</t>
  </si>
  <si>
    <t>MU/IN/KO</t>
  </si>
  <si>
    <t>3+1*SR</t>
  </si>
  <si>
    <t>max. ZfP/2 SR</t>
  </si>
  <si>
    <t>Hexenspeichel</t>
  </si>
  <si>
    <t>IN/CH/FF</t>
  </si>
  <si>
    <t>max. ZfW AsP</t>
  </si>
  <si>
    <t>augenblicklich</t>
  </si>
  <si>
    <t>Katzenaugen</t>
  </si>
  <si>
    <t>1 je 3 SR</t>
  </si>
  <si>
    <t>Krähenruf</t>
  </si>
  <si>
    <t>MU/CH/CH</t>
  </si>
  <si>
    <t>21 Schritt</t>
  </si>
  <si>
    <t>max 20 KR</t>
  </si>
  <si>
    <t>Krötensprung</t>
  </si>
  <si>
    <t>IN/GE/KK</t>
  </si>
  <si>
    <t>selbst, Berührung</t>
  </si>
  <si>
    <t>Levthans Feuer</t>
  </si>
  <si>
    <t>IN/CH/CH (+MR)</t>
  </si>
  <si>
    <t>Motoricus</t>
  </si>
  <si>
    <t>1 pro 5 Stein (min 3)</t>
  </si>
  <si>
    <t>1 SR (A)</t>
  </si>
  <si>
    <t>Plumbarum schwerer Arm</t>
  </si>
  <si>
    <t>CH/GE/KK</t>
  </si>
  <si>
    <t>4+2 je Gegner</t>
  </si>
  <si>
    <t>5 KR</t>
  </si>
  <si>
    <t>Respondami Wahrheitszwang</t>
  </si>
  <si>
    <t>MU/IN/CH</t>
  </si>
  <si>
    <t>1 Schritt</t>
  </si>
  <si>
    <t>1 Frage</t>
  </si>
  <si>
    <t>Radau</t>
  </si>
  <si>
    <t>MU/CH/KO</t>
  </si>
  <si>
    <t>5 +1*KR</t>
  </si>
  <si>
    <t>Schleier der Unwissenheit</t>
  </si>
  <si>
    <t>KL/KL/FF</t>
  </si>
  <si>
    <t>2+Mod</t>
  </si>
  <si>
    <t>ZfP* Stunden</t>
  </si>
  <si>
    <t>Sensibar Empaticus</t>
  </si>
  <si>
    <t>KL/IN/CH (+MR)</t>
  </si>
  <si>
    <t>3 pro 10 Aktionen</t>
  </si>
  <si>
    <t>Spinnenlauf</t>
  </si>
  <si>
    <t>7+2*SR</t>
  </si>
  <si>
    <t>Tiere besprechen</t>
  </si>
  <si>
    <t>Var.</t>
  </si>
  <si>
    <t>Tiergedanken</t>
  </si>
  <si>
    <t>7*SR</t>
  </si>
  <si>
    <t>Zauberzwang</t>
  </si>
  <si>
    <t>1 Stunde (3 SR)</t>
  </si>
  <si>
    <t>Representation</t>
  </si>
  <si>
    <t>Merkmale:</t>
  </si>
  <si>
    <t>Antimagie</t>
  </si>
  <si>
    <t>Beschwörung</t>
  </si>
  <si>
    <t>Elementar</t>
  </si>
  <si>
    <t>Humus</t>
  </si>
  <si>
    <t>Feuer</t>
  </si>
  <si>
    <t>Erz</t>
  </si>
  <si>
    <t>Eis</t>
  </si>
  <si>
    <t>Luft</t>
  </si>
  <si>
    <t>Wasser</t>
  </si>
  <si>
    <t>Einfluss</t>
  </si>
  <si>
    <t>Form</t>
  </si>
  <si>
    <t>Geisterwesen</t>
  </si>
  <si>
    <t>Heilung</t>
  </si>
  <si>
    <t>Hellsicht</t>
  </si>
  <si>
    <t>Herbeirufung</t>
  </si>
  <si>
    <t>Herrschaft</t>
  </si>
  <si>
    <t>Illusion</t>
  </si>
  <si>
    <t>Kraft</t>
  </si>
  <si>
    <t>Metamagie</t>
  </si>
  <si>
    <t>Objekt</t>
  </si>
  <si>
    <t>Schaden</t>
  </si>
  <si>
    <t>Telekinese</t>
  </si>
  <si>
    <t>Temporal</t>
  </si>
  <si>
    <t>Umwelt</t>
  </si>
  <si>
    <t>Verständigung</t>
  </si>
  <si>
    <t>Aktiviert</t>
  </si>
  <si>
    <t>Lernkomplexität Zahl</t>
  </si>
  <si>
    <t>Spalte1</t>
  </si>
  <si>
    <t>Spalte2</t>
  </si>
  <si>
    <t>Spalte3</t>
  </si>
  <si>
    <t>Modifikationen</t>
  </si>
  <si>
    <t>Abvenenum reine Speise</t>
  </si>
  <si>
    <t>Dru6, Elf6, Hex6, Mag6, Geo5, Ach4, Sch4</t>
  </si>
  <si>
    <t>Accuratum Zaubernadel</t>
  </si>
  <si>
    <t>KL/CH/FF</t>
  </si>
  <si>
    <t>Mag4, Srl4, Hex2</t>
  </si>
  <si>
    <t>Adamantium Erzstruktur</t>
  </si>
  <si>
    <t>Elementar (Erz), Objekt</t>
  </si>
  <si>
    <t>Ach6, Mag5</t>
  </si>
  <si>
    <t>Hellsicht, Eigenschaften</t>
  </si>
  <si>
    <t>Adlerauge Luchsenohr</t>
  </si>
  <si>
    <t>Elf7, Ach3, Dru3, Geo3, Hex3, Mag3</t>
  </si>
  <si>
    <t>Adlerschwinge Wolfsgestalt</t>
  </si>
  <si>
    <t>MU/IN/GE</t>
  </si>
  <si>
    <t>Elf6, Ach3, Mag3, Dru(Elf)2, Hex(Elf)2</t>
  </si>
  <si>
    <t>Hellsicht, Metamagie</t>
  </si>
  <si>
    <t>Aeolitus Windgebraus</t>
  </si>
  <si>
    <t>KL/CH/KO</t>
  </si>
  <si>
    <t>Umwelt, Elementar (Luft)</t>
  </si>
  <si>
    <t>Elf7, Ach5, Dru5, Mag5, Geo4, Sch3, Srl3</t>
  </si>
  <si>
    <t>Aerofugo Vakuum</t>
  </si>
  <si>
    <t>MU/KO/KK</t>
  </si>
  <si>
    <t>Ach2, Mag2</t>
  </si>
  <si>
    <t>Aerogelo Atemqual</t>
  </si>
  <si>
    <t>Mag2</t>
  </si>
  <si>
    <t>Objekt, Metamagie</t>
  </si>
  <si>
    <t>Alpgestalt</t>
  </si>
  <si>
    <t>MU/CH/GE</t>
  </si>
  <si>
    <t>Einfluss, Herrschaft</t>
  </si>
  <si>
    <t>Dru3</t>
  </si>
  <si>
    <t>Eigenschaften, Elementar (Erz)</t>
  </si>
  <si>
    <t>Analys Arcanstruktur</t>
  </si>
  <si>
    <t>KL/KL/IN</t>
  </si>
  <si>
    <t>Mag6, Ach3, Dru(Mag)2, Geo(Mag)2, Hex(Mag)2</t>
  </si>
  <si>
    <t>?</t>
  </si>
  <si>
    <t>Ängste lindern</t>
  </si>
  <si>
    <t>Hex7, Geo5, Dru4, Mag4</t>
  </si>
  <si>
    <t>Heilung, Form</t>
  </si>
  <si>
    <t>Animatio stummer Diener</t>
  </si>
  <si>
    <t>KL/FF/GE</t>
  </si>
  <si>
    <t>E</t>
  </si>
  <si>
    <t>Mag3</t>
  </si>
  <si>
    <t>Applicatus Zauberspeicher</t>
  </si>
  <si>
    <t>KL/FF/FF</t>
  </si>
  <si>
    <t>Ach3, Mag3, Srl3</t>
  </si>
  <si>
    <t>Aquafaxius</t>
  </si>
  <si>
    <t>Schaden, Elementar (Wasser)</t>
  </si>
  <si>
    <t>Geo2, Mag2, Ach2</t>
  </si>
  <si>
    <t>Antimagie, Herrschaft</t>
  </si>
  <si>
    <t>Aquasphaero</t>
  </si>
  <si>
    <t>Telekinese, Elementar (Wasser), Schaden</t>
  </si>
  <si>
    <t>Ach2, Mag2, Geo1</t>
  </si>
  <si>
    <t>Antimagie, Beschwörung</t>
  </si>
  <si>
    <t>Arachnea Krabbeltier</t>
  </si>
  <si>
    <t>Mag2, Bor1, Hex1</t>
  </si>
  <si>
    <t>Antimagie, Telekinese</t>
  </si>
  <si>
    <t>Arcanovi Artefakt</t>
  </si>
  <si>
    <t>Ach4, Mag4, Geo2, Hex2, Dru1, Elf1</t>
  </si>
  <si>
    <t>Archofaxius</t>
  </si>
  <si>
    <t>Schaden, Elementar (Erz)</t>
  </si>
  <si>
    <t>Archosphaero</t>
  </si>
  <si>
    <t>Telekinese, Elementar (Erz), Schaden</t>
  </si>
  <si>
    <t>Elf6, Mag6, Hex3, Dru2</t>
  </si>
  <si>
    <t>Atemnot</t>
  </si>
  <si>
    <t>Dru5, Ach3</t>
  </si>
  <si>
    <t>KL/CH/*</t>
  </si>
  <si>
    <t>Dru5, Elf5, Geo5, Hex5, Mag5, Ach3, Sch3, Srl3</t>
  </si>
  <si>
    <t>Dämonisch (Asfaloth), Form</t>
  </si>
  <si>
    <t>Aufgeblasen Abgehoben</t>
  </si>
  <si>
    <t>CH/KO/KK</t>
  </si>
  <si>
    <t>Form, Elementar (Luft)</t>
  </si>
  <si>
    <t>Sch5</t>
  </si>
  <si>
    <t>Auge des Limbus</t>
  </si>
  <si>
    <t>Limbus, Kraft</t>
  </si>
  <si>
    <t>Mag2, Ach1</t>
  </si>
  <si>
    <t>Aureolus Güldenglanz</t>
  </si>
  <si>
    <t>Srl6, Mag4</t>
  </si>
  <si>
    <t>Objekt, Verständigung</t>
  </si>
  <si>
    <t>Auris Nasus Oculus</t>
  </si>
  <si>
    <t>Mag5, Srl5</t>
  </si>
  <si>
    <t>Axxeleratus Blitzgeschwind</t>
  </si>
  <si>
    <t>KL/GE/KO</t>
  </si>
  <si>
    <t>Elf6, Ach5, Sch5, Mag3</t>
  </si>
  <si>
    <t>Antimagie, Eigenschaften</t>
  </si>
  <si>
    <t>Balsam Salabunde</t>
  </si>
  <si>
    <t>Elf7, Mag7, Ach5, Geo5, Dru4, Hex3</t>
  </si>
  <si>
    <t>Antimagie, Einfluss</t>
  </si>
  <si>
    <t>Band und Fessel</t>
  </si>
  <si>
    <t>KL/CH/KK</t>
  </si>
  <si>
    <t>Elf5, Hex4, Dru3, Mag3, Ach2, Bor2, Geo2</t>
  </si>
  <si>
    <t>Eigenschaften, Elementar (allgemein)</t>
  </si>
  <si>
    <t>Bannbaladin</t>
  </si>
  <si>
    <t>IN/CH/CH</t>
  </si>
  <si>
    <t>Elf7, Mag6, Dru3, Hex3, Srl(Mag)3</t>
  </si>
  <si>
    <t>Bärenruhe Winterschlaf</t>
  </si>
  <si>
    <t>MU/KK/KO</t>
  </si>
  <si>
    <t>Elf4, Ach3, Mag(Elf)3</t>
  </si>
  <si>
    <t>Beherrschung brechen</t>
  </si>
  <si>
    <t>Dru7, Geo6, Mag6, Hex5, Ach4, Elf4</t>
  </si>
  <si>
    <t>Dämonisch (Mishkara)</t>
  </si>
  <si>
    <t>Beschwörung vereiteln</t>
  </si>
  <si>
    <t>Mag3, Dru2, Hex2, Elf(Mag)2, Geo(Mag)2</t>
  </si>
  <si>
    <t>Schaden, Kraft</t>
  </si>
  <si>
    <t>Bewegung stören</t>
  </si>
  <si>
    <t>Mag5, Elf4, Sch4, Hex3</t>
  </si>
  <si>
    <t>Blendwerk</t>
  </si>
  <si>
    <t>IN/CH/GE</t>
  </si>
  <si>
    <t>Sch7, Mag(Sch)3, Srl(Sch)3</t>
  </si>
  <si>
    <t>Antimagie, Geisterwesen</t>
  </si>
  <si>
    <t>Blick aufs Wesen</t>
  </si>
  <si>
    <t>Elf6, Geo5, Mag5, Ach4, Dru4, Hex4</t>
  </si>
  <si>
    <t>Geisterwesen, Herbeirufung</t>
  </si>
  <si>
    <t>Blick durch fremde Augen</t>
  </si>
  <si>
    <t>Hellsicht, Verständigung</t>
  </si>
  <si>
    <t>Dru3, Mag(Dru)2</t>
  </si>
  <si>
    <t>Blick in die Gedanken</t>
  </si>
  <si>
    <t>Elf5, Mag5, Ach4, Dru4, Hex4, Geo3</t>
  </si>
  <si>
    <t>Blick in die Vergangenheit</t>
  </si>
  <si>
    <t>Hellsicht, Temporal</t>
  </si>
  <si>
    <t>Dru3, Geo3, Mag(Dru)2</t>
  </si>
  <si>
    <t>Einfluss, Illusion</t>
  </si>
  <si>
    <t>Elf7, Mag6, Dru5, Hex5, Ach4, Geo4, Sch4, Srl4</t>
  </si>
  <si>
    <t>Eigenschaften, Elementar (Humus), Form</t>
  </si>
  <si>
    <t>Böser Blick</t>
  </si>
  <si>
    <t>Dru7, Geo6, Ach5, Bor2, Hex(Dru)2, Mag(Dru)2, Mag2</t>
  </si>
  <si>
    <t>Antimagie, Heilung</t>
  </si>
  <si>
    <t>Brenne toter Stoff!</t>
  </si>
  <si>
    <t>MU/KL/KO</t>
  </si>
  <si>
    <t>Objekt, Elementar (Feuer)</t>
  </si>
  <si>
    <t>Bor6, Ach3, Mag3</t>
  </si>
  <si>
    <t>Antimagie, Hellsicht</t>
  </si>
  <si>
    <t>Caldofrigo heiß und kalt</t>
  </si>
  <si>
    <t>IN/CH/KO</t>
  </si>
  <si>
    <t>Objekt, Umwelt, Elementar (Feuer), Elementar (Eis)</t>
  </si>
  <si>
    <t>Ach4, Mag4, Geo3, Dru2</t>
  </si>
  <si>
    <t>Antimagie, Herbeirufung</t>
  </si>
  <si>
    <t>Chamaelioni Mimikry</t>
  </si>
  <si>
    <t>Elf5, Hex(Elf)3, Mag(Elf)3</t>
  </si>
  <si>
    <t>MU/MU/CH</t>
  </si>
  <si>
    <t>Chimaeroform Hybridgestalt</t>
  </si>
  <si>
    <t>KL/IN/KO</t>
  </si>
  <si>
    <t>F</t>
  </si>
  <si>
    <t>Mag2, Hex1</t>
  </si>
  <si>
    <t>Chronoklassis Urfossil</t>
  </si>
  <si>
    <t>Herbeirufung, Temporal</t>
  </si>
  <si>
    <t>Ach2, Mag(Ach)1</t>
  </si>
  <si>
    <t>Chrononautos Zeitenfahrt</t>
  </si>
  <si>
    <t>Ach2, Elf1, Mag1</t>
  </si>
  <si>
    <t>Claudibus Clavistibor</t>
  </si>
  <si>
    <t>Mag6, Hex5, Srl5, Dru(Hex)2, Elf(Mag)2, Sch(Mag)2</t>
  </si>
  <si>
    <t>Corpofesso Gliederschmerz</t>
  </si>
  <si>
    <t>KL/KO/KK</t>
  </si>
  <si>
    <t>Mag4, Elf(Mag)2, Hex(Mag)2</t>
  </si>
  <si>
    <t>Eigenschaften, Form</t>
  </si>
  <si>
    <t>Corpofrigo Kälteschock</t>
  </si>
  <si>
    <t>CH/GE/KO</t>
  </si>
  <si>
    <t>Eigenschaften, Elementar (Eis)</t>
  </si>
  <si>
    <t>Ach6, Mag4</t>
  </si>
  <si>
    <t>Cryptographo Zauberschrift</t>
  </si>
  <si>
    <t>Mag6, Ach2, Hex(Mag)2, Srl(Mag)2</t>
  </si>
  <si>
    <t>Custodosigil Diebesbann</t>
  </si>
  <si>
    <t>Objekt, Metamagie, Elementar (Feuer)</t>
  </si>
  <si>
    <t>Ach6, Mag6, Srl(Mag)3</t>
  </si>
  <si>
    <t>Antimagie, Illusion</t>
  </si>
  <si>
    <t>Dämonenbann</t>
  </si>
  <si>
    <t>Antimagie, Dämonisch (allgemein)</t>
  </si>
  <si>
    <t>Beschwörung, Dämonisch (allgemein)</t>
  </si>
  <si>
    <t>Delicioso Gaumenschmaus</t>
  </si>
  <si>
    <t>Mag4, Sch3, Srl3</t>
  </si>
  <si>
    <t>Desintegratus Pulverstaub</t>
  </si>
  <si>
    <t>Objekt, Schaden</t>
  </si>
  <si>
    <t>Destructibo Arcanitas</t>
  </si>
  <si>
    <t>Antimagie, Metamagie, Kraft</t>
  </si>
  <si>
    <t>Mag3, Ach2, Elf2, Dru(Mag)2</t>
  </si>
  <si>
    <t>Form, Heilung</t>
  </si>
  <si>
    <t>Dichter und Denker</t>
  </si>
  <si>
    <t>Sch2</t>
  </si>
  <si>
    <t>Dschinnenruf</t>
  </si>
  <si>
    <t>MU/KL/CH</t>
  </si>
  <si>
    <t>Elementar (allgemein), Herbeirufung</t>
  </si>
  <si>
    <t>Mag4, Dru3, Geo3</t>
  </si>
  <si>
    <t>Hellsicht, Limbus</t>
  </si>
  <si>
    <t>Dunkelheit</t>
  </si>
  <si>
    <t>Dru7, Geo4, Mag4, Sch4, Ach3, Hex3, Srl(Mag)3, Elf2</t>
  </si>
  <si>
    <t>MU/KL/IN</t>
  </si>
  <si>
    <t>Limbus, Verständigung</t>
  </si>
  <si>
    <t>Duplicatus Doppelbild</t>
  </si>
  <si>
    <t>KL/CH/GE</t>
  </si>
  <si>
    <t>Mag6, Srl6</t>
  </si>
  <si>
    <t>Herbeirufung, Dämonisch (Mishkara)</t>
  </si>
  <si>
    <t>Ecliptifactus Schattenkraft</t>
  </si>
  <si>
    <t>Dämonisch (allgemein), Form</t>
  </si>
  <si>
    <t>Mag3, Bor2</t>
  </si>
  <si>
    <t>Einfluss, Herbeirufung, Limbus</t>
  </si>
  <si>
    <t>Eigenschaft wiederherstellen</t>
  </si>
  <si>
    <t>Hex6, Ach5, Dru5, Geo5, Mag5, Elf5</t>
  </si>
  <si>
    <t>Eigne Ängste quälen dich!</t>
  </si>
  <si>
    <t>Einfluss, Eigenschaften</t>
  </si>
  <si>
    <t>Bor6, Mag2</t>
  </si>
  <si>
    <t>MU/MU/GE</t>
  </si>
  <si>
    <t>Form, Elementar (Feuer)</t>
  </si>
  <si>
    <t>Einfluss bannen</t>
  </si>
  <si>
    <t>Dru6, Geo6, Hex6, Ach5, Elf5, Mag4, Sch4, Srl3</t>
  </si>
  <si>
    <t>Heilung, Verständigung</t>
  </si>
  <si>
    <t>Eins mit der Natur</t>
  </si>
  <si>
    <t>Geo7, Dru5, Elf2, Hex(Geo)2, Mag(Dru)2</t>
  </si>
  <si>
    <t>Einfluss, Verständigung</t>
  </si>
  <si>
    <t>Eisenrost und Patina</t>
  </si>
  <si>
    <t>Objekt, Temporal</t>
  </si>
  <si>
    <t>Mag6, Ach5, Dru5, Sch4</t>
  </si>
  <si>
    <t>Eiseskälte Kämpferherz</t>
  </si>
  <si>
    <t>Ach3, Elf3</t>
  </si>
  <si>
    <t>Verständigung, Hellsicht</t>
  </si>
  <si>
    <t>Elementarbann</t>
  </si>
  <si>
    <t>Antimagie, Elementar (allgemein)</t>
  </si>
  <si>
    <t>Geo2, Mag2</t>
  </si>
  <si>
    <t>Kraft, Verständigung</t>
  </si>
  <si>
    <t>Elementarer Diener</t>
  </si>
  <si>
    <t>Geo6, Dru5, Ach4, Mag4</t>
  </si>
  <si>
    <t>Elementar (allgemein)</t>
  </si>
  <si>
    <t>Elfenstimme Flötenton</t>
  </si>
  <si>
    <t>Elf2</t>
  </si>
  <si>
    <t>Erinnerung verlasse dich!</t>
  </si>
  <si>
    <t>Bor4, Mag3</t>
  </si>
  <si>
    <t>Exposami Lebenskraft</t>
  </si>
  <si>
    <t>KL/IN/IN</t>
  </si>
  <si>
    <t>Elf6, Ach4, Dru4, Geo4, Hex3, Mag3</t>
  </si>
  <si>
    <t>Falkenauge Meisterschuss</t>
  </si>
  <si>
    <t>IN/FF/GE</t>
  </si>
  <si>
    <t>Elf6, Mag(Elf)2</t>
  </si>
  <si>
    <t>Umwelt, Elementar (Luft), Elementar (Wasser)</t>
  </si>
  <si>
    <t>Favilludo Funkentanz</t>
  </si>
  <si>
    <t>Srl6, Mag5, Sch(Mag)3</t>
  </si>
  <si>
    <t>Geisterwesen, Verständigung</t>
  </si>
  <si>
    <t>Firnlauf</t>
  </si>
  <si>
    <t>MU/KL/GE</t>
  </si>
  <si>
    <t>Elementar (Eis), Eigenschaften</t>
  </si>
  <si>
    <t>Elf6, Mag2</t>
  </si>
  <si>
    <t>Beschwörung, Dämonisch (Lolgramoth)</t>
  </si>
  <si>
    <t>Flim Flam Funkel</t>
  </si>
  <si>
    <t>Ach7, Elf7, Mag7, Dru6, Hex6, Geo5, Sch4, Srl(Mag)4</t>
  </si>
  <si>
    <t>Fluch der Pestilenz</t>
  </si>
  <si>
    <t>Dru5, Bor2, Hex2, Mag(Dru)2</t>
  </si>
  <si>
    <t>Antimagie, Objekt</t>
  </si>
  <si>
    <t>Foramen Foraminor</t>
  </si>
  <si>
    <t>Hellsicht, Telekinese</t>
  </si>
  <si>
    <t>Mag6, Srl5, Sch4</t>
  </si>
  <si>
    <t>Hellsicht, Kraft</t>
  </si>
  <si>
    <t>Fortifex arkane Wand</t>
  </si>
  <si>
    <t>IN/KO/KK</t>
  </si>
  <si>
    <t>Umwelt, Elementar (Erz)</t>
  </si>
  <si>
    <t>Mag4, Ach3</t>
  </si>
  <si>
    <t>Frigifaxius</t>
  </si>
  <si>
    <t>Schaden, Elementar (Eis)</t>
  </si>
  <si>
    <t>Frigisphaero</t>
  </si>
  <si>
    <t>Telekinese, Elementar (Eis), Schaden</t>
  </si>
  <si>
    <t>Antimagie, Beschwörung, Dämonisch (allgemein), Geisterwesen</t>
  </si>
  <si>
    <t>Fulminictus Donnerkeil</t>
  </si>
  <si>
    <t>Elf7, Mag5, Hex(Mag)2</t>
  </si>
  <si>
    <t>Gardianum Zauberschild</t>
  </si>
  <si>
    <t>Antimagie, Kraft, Metamagie</t>
  </si>
  <si>
    <t>Mag6, Ach2, Geo(Mag)2</t>
  </si>
  <si>
    <t>Gedankenbilder Elfenruf</t>
  </si>
  <si>
    <t>Elf7, Mag3</t>
  </si>
  <si>
    <t>Gefäß der Jahre</t>
  </si>
  <si>
    <t>Beschwörung, Form, Temporal</t>
  </si>
  <si>
    <t>Mag1</t>
  </si>
  <si>
    <t>Elementar (Luft), Telekinese</t>
  </si>
  <si>
    <t>Gefunden!</t>
  </si>
  <si>
    <t>Sch5, Ach3, Hex3, Mag3, Srl(Sch)3</t>
  </si>
  <si>
    <t>Geisterbann</t>
  </si>
  <si>
    <t>Dru7, Mag5, Geo4, Hex4</t>
  </si>
  <si>
    <t>Geisterruf</t>
  </si>
  <si>
    <t>Dru6, Geo3, Hex3, Mag3</t>
  </si>
  <si>
    <t>Gletscherwand</t>
  </si>
  <si>
    <t>Elementar (Eis)</t>
  </si>
  <si>
    <t>Mag3, Dru2</t>
  </si>
  <si>
    <t>Granit und Marmor</t>
  </si>
  <si>
    <t>Form, Elementar (Erz)</t>
  </si>
  <si>
    <t>Bor2, Mag2</t>
  </si>
  <si>
    <t>Hex7, Geo3</t>
  </si>
  <si>
    <t>Große Verwirrung</t>
  </si>
  <si>
    <t>Dru7, Geo7, Sch3</t>
  </si>
  <si>
    <t>Halluzination</t>
  </si>
  <si>
    <t>Dru5, Geo4, Hex(Dru)2, Mag(Dru)2, Srl(Geo)2</t>
  </si>
  <si>
    <t>Hex7, Ach3, Dru3, Mag3, Sch3, Srl3, Elf2</t>
  </si>
  <si>
    <t>Hartes schmelze!</t>
  </si>
  <si>
    <t>MU/KL/KK</t>
  </si>
  <si>
    <t>Objekt, Elementar (Wasser)</t>
  </si>
  <si>
    <t>Bor5, Ach4, Mag3</t>
  </si>
  <si>
    <t>Haselbusch und Ginsterkraut</t>
  </si>
  <si>
    <t>CH/FF/KO</t>
  </si>
  <si>
    <t>Elf5, Geo3, Dru(Elf)2, Hex(Elf)2, Mag(Elf)2</t>
  </si>
  <si>
    <t>Heilkraft bannen</t>
  </si>
  <si>
    <t>Bor2, Mag2, Hex(Mag)2</t>
  </si>
  <si>
    <t>Hellsicht trüben</t>
  </si>
  <si>
    <t>Dru6, Geo6, Mag5, Sch5, Ach4, Elf4, Hex4, Srl3</t>
  </si>
  <si>
    <t>Herbeirufung vereiteln</t>
  </si>
  <si>
    <t>Dru3, Mag3, Hex2</t>
  </si>
  <si>
    <t>Herr über das Tierreich</t>
  </si>
  <si>
    <t>Dru7, Geo6, Elf3, Hex3, Ach2, Mag2</t>
  </si>
  <si>
    <t>KL/CH/CH</t>
  </si>
  <si>
    <t>Herzschlag ruhe!</t>
  </si>
  <si>
    <t>MU/CH/KK</t>
  </si>
  <si>
    <t>Dämonisch (Blakharaz), Einfluss, Eigenschaften</t>
  </si>
  <si>
    <t>Bor3</t>
  </si>
  <si>
    <t>Hex7, Bor3</t>
  </si>
  <si>
    <t>Hexengalle</t>
  </si>
  <si>
    <t>Ach3, Hex3</t>
  </si>
  <si>
    <t>Hex7</t>
  </si>
  <si>
    <t>Hex7, Dru(Hex)2, Mag(Hex)2, Srl(Hex)2</t>
  </si>
  <si>
    <t>Hex3</t>
  </si>
  <si>
    <t>Hex7, Geo5, Mag(Hex)2</t>
  </si>
  <si>
    <t>Hilfreiche Tatze, rettende Schwinge</t>
  </si>
  <si>
    <t>Elf4, Ach3, Geo3, Dru(Geo)3</t>
  </si>
  <si>
    <t>Höllenpein zerreiße dich!</t>
  </si>
  <si>
    <t>Bor7, Ach3, Mag3</t>
  </si>
  <si>
    <t>Holterdipolter</t>
  </si>
  <si>
    <t>IN/IN/FF</t>
  </si>
  <si>
    <t>Horriphobus Schreckgestalt</t>
  </si>
  <si>
    <t>Mag6, Bor4, Dru3, Hex(Dru)2, Srl1</t>
  </si>
  <si>
    <t>Humofaxius</t>
  </si>
  <si>
    <t>Schaden, Elementar (Humus)</t>
  </si>
  <si>
    <t>Humosphaero</t>
  </si>
  <si>
    <t>Telekinese, Elementar (Humus), Schaden</t>
  </si>
  <si>
    <t>Form, Elementar (Humus)</t>
  </si>
  <si>
    <t>Ignifaxius</t>
  </si>
  <si>
    <t>Schaden, Elementar (Feuer)</t>
  </si>
  <si>
    <t>Mag5, Ach3, Dru(Mag)2</t>
  </si>
  <si>
    <t>Ignisphaero</t>
  </si>
  <si>
    <t>Telekinese, Elementar (Feuer), Schaden</t>
  </si>
  <si>
    <t>Mag3, Ach2, Geo1</t>
  </si>
  <si>
    <t>Ignorantia Ungesehn</t>
  </si>
  <si>
    <t>Mag3, Srl3</t>
  </si>
  <si>
    <t>Illusion auflösen</t>
  </si>
  <si>
    <t>Mag5, Srl4, Hex3, Sch3</t>
  </si>
  <si>
    <t>Immortalis Lebenszeit</t>
  </si>
  <si>
    <t>Form, Temporal</t>
  </si>
  <si>
    <t>Ach1, Mag1</t>
  </si>
  <si>
    <t>Imperavi Handlungszwang</t>
  </si>
  <si>
    <t>Mag4, Dru2</t>
  </si>
  <si>
    <t>Impersona Maskenbild</t>
  </si>
  <si>
    <t>Mag4, Srl3</t>
  </si>
  <si>
    <t>Infinitum Immerdar</t>
  </si>
  <si>
    <t>Metamagie, Temporal</t>
  </si>
  <si>
    <t>Ach1, Elf1, Geo1, Mag1</t>
  </si>
  <si>
    <t>Invercano Spiegeltrick</t>
  </si>
  <si>
    <t>MU/IN/FF</t>
  </si>
  <si>
    <t>Invocatio maior</t>
  </si>
  <si>
    <t>Bor5, Mag5, Hex3, Dru2</t>
  </si>
  <si>
    <t>Invocatio minor</t>
  </si>
  <si>
    <t>Mag5, Ach4, Bor4, Hex4, Dru2</t>
  </si>
  <si>
    <t>Iribaars Hand</t>
  </si>
  <si>
    <t>MU/MU/IN</t>
  </si>
  <si>
    <t>Einfluss, Schaden, Dämonisch (Amazeroth)</t>
  </si>
  <si>
    <t>Bor2, Mag(Bor)1</t>
  </si>
  <si>
    <t>Juckreiz, dämlicher!</t>
  </si>
  <si>
    <t>Sch3</t>
  </si>
  <si>
    <t>Karnifilo Raserei</t>
  </si>
  <si>
    <t>Mag4, Ach3, Bor3</t>
  </si>
  <si>
    <t>Hex4, Elf3</t>
  </si>
  <si>
    <t>Klarum Purum</t>
  </si>
  <si>
    <t>Mag6, Ach3, Dru3, Elf3, Geo3, Hex3</t>
  </si>
  <si>
    <t>Klickeradomms</t>
  </si>
  <si>
    <t>Sch7, Hex3, Mag3, Srl3</t>
  </si>
  <si>
    <t>Koboldgeschenk</t>
  </si>
  <si>
    <t>Sch7</t>
  </si>
  <si>
    <t>Koboldovision</t>
  </si>
  <si>
    <t>Sch5, Ach2, Elf(Sch)1, Hex(Sch)1</t>
  </si>
  <si>
    <t>Komm Kobold Komm</t>
  </si>
  <si>
    <t>Körperlose Reise</t>
  </si>
  <si>
    <t>Dru3, Ach2, Geo2, Hex2, Mag2</t>
  </si>
  <si>
    <t>Krabbelnder Schrecken</t>
  </si>
  <si>
    <t>Hex3, Bor2, Mag2</t>
  </si>
  <si>
    <t>Kraft des Erzes</t>
  </si>
  <si>
    <t>Geo5, Ach3, Dru3, Mag(Dru)2</t>
  </si>
  <si>
    <t>Hex6</t>
  </si>
  <si>
    <t>Hex4, Ach3, Elf3</t>
  </si>
  <si>
    <t>Kulminatio Kugelblitz</t>
  </si>
  <si>
    <t>Kusch!</t>
  </si>
  <si>
    <t>Sch4</t>
  </si>
  <si>
    <t>Lach dich gesund</t>
  </si>
  <si>
    <t>Heilung, Einfluss</t>
  </si>
  <si>
    <t>Lachkrampf</t>
  </si>
  <si>
    <t>CH/CH/FF</t>
  </si>
  <si>
    <t>Langer Lulatsch</t>
  </si>
  <si>
    <t>Form, Objekt</t>
  </si>
  <si>
    <t>Sch6</t>
  </si>
  <si>
    <t>Last des Alters</t>
  </si>
  <si>
    <t>Temporal, Form</t>
  </si>
  <si>
    <t>Bor2, Mag1</t>
  </si>
  <si>
    <t>Leib der Erde</t>
  </si>
  <si>
    <t>Dru3, Elf3, Ach2, Geo2</t>
  </si>
  <si>
    <t>Leib der Wogen</t>
  </si>
  <si>
    <t>Form, Elementar (Wasser)</t>
  </si>
  <si>
    <t>Ach3, Elf2, Dru(Elf)1, Geo(Elf)1</t>
  </si>
  <si>
    <t>Leib des Eises</t>
  </si>
  <si>
    <t>Form, Elementar (Eis)</t>
  </si>
  <si>
    <t>Ach3, Elf3, Geo2, Dru(Geo)2</t>
  </si>
  <si>
    <t>Leib des Erzes</t>
  </si>
  <si>
    <t>MU/GE/KK</t>
  </si>
  <si>
    <t>Elf3, Sch3, Dru2, Geo2</t>
  </si>
  <si>
    <t>Leib des Feuers</t>
  </si>
  <si>
    <t>Hex4, Elf2, Mag2, Dru(Hex)2</t>
  </si>
  <si>
    <t>Leib des Windes</t>
  </si>
  <si>
    <t>Elf3, Ach2, Dru2, Geo2, Mag(Elf)2</t>
  </si>
  <si>
    <t>Leidensbund</t>
  </si>
  <si>
    <t>Ach3, Hex2, Bor2, Mag(Ach)2</t>
  </si>
  <si>
    <t>Hex4, Mag(Hex)2</t>
  </si>
  <si>
    <t>Limbus versiegeln</t>
  </si>
  <si>
    <t>Antimagie, Limbus</t>
  </si>
  <si>
    <t>Lockruf und Feenfüße</t>
  </si>
  <si>
    <t>Telekinese, Illusion</t>
  </si>
  <si>
    <t>Lunge des Leviatan</t>
  </si>
  <si>
    <t>Ach5, Mag2, Hex(Ach)2</t>
  </si>
  <si>
    <t>Madas Spiegel</t>
  </si>
  <si>
    <t>Hex3, Dru(Hex)2, Srl(Hex)2</t>
  </si>
  <si>
    <t>Magischer Raub</t>
  </si>
  <si>
    <t>Dru6, Geo4, Mag3, Ach2, Bor2, Hex2</t>
  </si>
  <si>
    <t>Mahlstrom</t>
  </si>
  <si>
    <t>MU/IN/KK</t>
  </si>
  <si>
    <t>Elementar (Wasser), Umwelt</t>
  </si>
  <si>
    <t>Dru3, Mag2, Mag(Dru)2</t>
  </si>
  <si>
    <t>Manifesto Element</t>
  </si>
  <si>
    <t>Ach7, Dru5, Geo5, Mag5, Hex3, Srl3, Elf2</t>
  </si>
  <si>
    <t>Meister der Elemente</t>
  </si>
  <si>
    <t>Dru4, Geo4, Ach3, Mag3</t>
  </si>
  <si>
    <t>Meister minderer Geister</t>
  </si>
  <si>
    <t>Sch7, Geo5, Dru(Geo)2</t>
  </si>
  <si>
    <t>Memorabia Falsifir</t>
  </si>
  <si>
    <t>Elf3, Mag3, Ach2, Dru2, Hex2</t>
  </si>
  <si>
    <t>Memorans Gedächtniskraft</t>
  </si>
  <si>
    <t>Menetekel Flammenschrift</t>
  </si>
  <si>
    <t>Mag5, Srl(Mag)3</t>
  </si>
  <si>
    <t>Metamagie neutralisieren</t>
  </si>
  <si>
    <t>KL/KL/KO</t>
  </si>
  <si>
    <t>Antimagie, Metamagie</t>
  </si>
  <si>
    <t>Metamorpho Gletscherform</t>
  </si>
  <si>
    <t>Elementar (Eis), Objekt</t>
  </si>
  <si>
    <t>Elf4, Mag2</t>
  </si>
  <si>
    <t>Mag6, Sch5, Ach4, Elf4, Hex4, Srl4</t>
  </si>
  <si>
    <t>Movimento Dauerlauf</t>
  </si>
  <si>
    <t>Elf7, Dru(Elf)3, Hex(Elf)3, Mag(Elf)3</t>
  </si>
  <si>
    <t>Murks und Patz</t>
  </si>
  <si>
    <t>Nackedei</t>
  </si>
  <si>
    <t>Objekt, Telekinese</t>
  </si>
  <si>
    <t>Nebelleib</t>
  </si>
  <si>
    <t>Form, Elementar (Luft), Elementar (Wasser)</t>
  </si>
  <si>
    <t>Nebelwand und Morgendunst</t>
  </si>
  <si>
    <t>Elf6, Ach4, Dru3, Geo3, Mag2, Hex(Elf)2, Srl(Mag)2, Mag(Dru)2</t>
  </si>
  <si>
    <t>Nekropathia Seelenreise</t>
  </si>
  <si>
    <t>Mag3, Dru2, Hex(Mag)2</t>
  </si>
  <si>
    <t>Nihilogravo Schwerelos</t>
  </si>
  <si>
    <t>Nuntiovolo Botenvogel</t>
  </si>
  <si>
    <t>Mag3, Ach2, Bor2, Hex2</t>
  </si>
  <si>
    <t>Objecto Obscuro</t>
  </si>
  <si>
    <t>Mag3, Ach2</t>
  </si>
  <si>
    <t>Objectofixo</t>
  </si>
  <si>
    <t>KL/KL/KK</t>
  </si>
  <si>
    <t>Ach5, Mag4</t>
  </si>
  <si>
    <t>Objectovoco</t>
  </si>
  <si>
    <t>Mag5, Dru4, Elf4, Geo3, Hex2, Srl(Mag)2</t>
  </si>
  <si>
    <t>Objekt entzaubern</t>
  </si>
  <si>
    <t>Mag5, Ach4, Hex3, Srl(Mag)2</t>
  </si>
  <si>
    <t>Oculus Astralis</t>
  </si>
  <si>
    <t>Hellsicht, Kraft, Metamagie, Limbus</t>
  </si>
  <si>
    <t>Odem Arcanum</t>
  </si>
  <si>
    <t>Ach7, Elf7, Mag7, Geo6, Dru5, Hex5, Sch4, Srl4</t>
  </si>
  <si>
    <t>Orcanofaxius</t>
  </si>
  <si>
    <t>Schaden, Elementar (Luft)</t>
  </si>
  <si>
    <t>Orcanosphaero</t>
  </si>
  <si>
    <t>Telekinese, Elementar (Luft), Schaden</t>
  </si>
  <si>
    <t>Pandaemonium</t>
  </si>
  <si>
    <t>Bor4, Hex3, Mag2</t>
  </si>
  <si>
    <t>Panik überkomme euch!</t>
  </si>
  <si>
    <t>Einfluss, Dämonisch (Amazeroth)</t>
  </si>
  <si>
    <t>Bor3, Mag(Bor)1</t>
  </si>
  <si>
    <t>Papperlapapp</t>
  </si>
  <si>
    <t>Paralysis starr wie Stein</t>
  </si>
  <si>
    <t>IN/CH/KK</t>
  </si>
  <si>
    <t>Mag7, Dru(Mag)3</t>
  </si>
  <si>
    <t>Pectetondo Zauberhaar</t>
  </si>
  <si>
    <t>Mag5, Srl5, Hex(Mag)3, Sch(Mag)2</t>
  </si>
  <si>
    <t>Penetrizzel Tiefenblick</t>
  </si>
  <si>
    <t>Mag5, Elf4, Sch4, Srl3</t>
  </si>
  <si>
    <t>Pentagramma Sphärenbann</t>
  </si>
  <si>
    <t>Mag5, Hex3, Dru2, Geo2</t>
  </si>
  <si>
    <t>Pestilenz erspüren</t>
  </si>
  <si>
    <t>Dru6, Hex5, Elf3</t>
  </si>
  <si>
    <t>Pfeil der Luft</t>
  </si>
  <si>
    <t>Elementar (Luft), Objekt</t>
  </si>
  <si>
    <t>Elf5, Mag3</t>
  </si>
  <si>
    <t>Pfeil des Eises</t>
  </si>
  <si>
    <t>Elf3</t>
  </si>
  <si>
    <t>Pfeil des Erzes</t>
  </si>
  <si>
    <t>Pfeil des Feuers</t>
  </si>
  <si>
    <t>Elementar (Feuer), Objekt</t>
  </si>
  <si>
    <t>Mag2, Elf1</t>
  </si>
  <si>
    <t>Pfeil des Humus</t>
  </si>
  <si>
    <t>Elementar (Humus), Objekt</t>
  </si>
  <si>
    <t>Elf4, Ach3</t>
  </si>
  <si>
    <t>Pfeil des Wassers</t>
  </si>
  <si>
    <t>Elementar (Wasser), Objekt</t>
  </si>
  <si>
    <t>Ach3, Elf1</t>
  </si>
  <si>
    <t>Planastrale Anderwelt</t>
  </si>
  <si>
    <t>MU/MU/KO</t>
  </si>
  <si>
    <t>Plumbumbarum schwerer Arm</t>
  </si>
  <si>
    <t>Mag7, Dru5, Geo5, Hex5, Ach4, Elf4, Sch4, Srl3</t>
  </si>
  <si>
    <t>Projektimago Ebenbild</t>
  </si>
  <si>
    <t>Illusion, Verständigung</t>
  </si>
  <si>
    <t>Ach2, Mag2, Srl2</t>
  </si>
  <si>
    <t>Protectionis Kontrabann</t>
  </si>
  <si>
    <t>Psychostabilis</t>
  </si>
  <si>
    <t>Mag6, Dru5, Geo5, Hex5, Ach3, Srl3, Elf(Mag)3</t>
  </si>
  <si>
    <t>Reflectimago Spiegelschein</t>
  </si>
  <si>
    <t>Mag5, Srl4</t>
  </si>
  <si>
    <t>Reptilea Natternnest</t>
  </si>
  <si>
    <t>Ach4, Bor3, Mag2</t>
  </si>
  <si>
    <t>Dukaten:</t>
  </si>
  <si>
    <t>Gegenstand</t>
  </si>
  <si>
    <t>Wo getragen</t>
  </si>
  <si>
    <t>Welches Abenteuer</t>
  </si>
  <si>
    <t>Beschreibung</t>
  </si>
  <si>
    <t>Wert</t>
  </si>
  <si>
    <t>Artefakt</t>
  </si>
  <si>
    <t>Anzahl</t>
  </si>
  <si>
    <t>am Körper</t>
  </si>
  <si>
    <t>wo dann?</t>
  </si>
  <si>
    <t>Gruppe</t>
  </si>
  <si>
    <t>Wanderstab</t>
  </si>
  <si>
    <t>Körper</t>
  </si>
  <si>
    <t>Ein Fluggerät</t>
  </si>
  <si>
    <t>Waffe</t>
  </si>
  <si>
    <t>Mögliche Manöver</t>
  </si>
  <si>
    <t>Manöver mit Waffenmeister</t>
  </si>
  <si>
    <t>Aktivierte Manöver</t>
  </si>
  <si>
    <t>Waffenmeister: AT</t>
  </si>
  <si>
    <t>Waffenmeister: PA</t>
  </si>
  <si>
    <t>Waffenmeister: INI</t>
  </si>
  <si>
    <t>Waffenmeister: TP/KK / INI/GE</t>
  </si>
  <si>
    <t>Waffenmeister:TP</t>
  </si>
  <si>
    <t>Waffenmeister:INI</t>
  </si>
  <si>
    <t>Waffenmeister: Manöver</t>
  </si>
  <si>
    <t>Waffenmeister: Manöver Erleichterungen</t>
  </si>
  <si>
    <t>Calc:Erleichterung</t>
  </si>
  <si>
    <t>Waffenmeister: Berechnung</t>
  </si>
  <si>
    <t>Ausfall</t>
  </si>
  <si>
    <t>Befreiungsschlag</t>
  </si>
  <si>
    <t>Betäubungsschlag</t>
  </si>
  <si>
    <t>Binden</t>
  </si>
  <si>
    <t>Defensiver Kampfstil</t>
  </si>
  <si>
    <t>Doppelangriff</t>
  </si>
  <si>
    <t>Entwaffnen</t>
  </si>
  <si>
    <t>Entwaffnen (Meisterlich)</t>
  </si>
  <si>
    <t>Festnageln</t>
  </si>
  <si>
    <t>Finte</t>
  </si>
  <si>
    <t>Formation</t>
  </si>
  <si>
    <t>Formations-Parade</t>
  </si>
  <si>
    <t>Gegenhalten</t>
  </si>
  <si>
    <t>Gezielter Stich</t>
  </si>
  <si>
    <t>Halbschwert</t>
  </si>
  <si>
    <t>Hammerschlag</t>
  </si>
  <si>
    <t>Klingensturm</t>
  </si>
  <si>
    <t>Klingenwand</t>
  </si>
  <si>
    <t>Meisterparade</t>
  </si>
  <si>
    <t>Niederwerfen</t>
  </si>
  <si>
    <t>Offensiver Distanzklassenwechsel</t>
  </si>
  <si>
    <t>Offensiver Kampfstil</t>
  </si>
  <si>
    <t>Seitenwechsel</t>
  </si>
  <si>
    <t>Schildspalter</t>
  </si>
  <si>
    <t>Stumpfer Schlag</t>
  </si>
  <si>
    <t>Sturmangriff</t>
  </si>
  <si>
    <t>Todesstoß</t>
  </si>
  <si>
    <t>Umreißen</t>
  </si>
  <si>
    <t>Windmühle</t>
  </si>
  <si>
    <t>Wuchtschlag</t>
  </si>
  <si>
    <t>Auspendeln</t>
  </si>
  <si>
    <t>Beinarbeit</t>
  </si>
  <si>
    <t>Biss</t>
  </si>
  <si>
    <t>Block</t>
  </si>
  <si>
    <t>Doppelschlag</t>
  </si>
  <si>
    <t>Eisenarm</t>
  </si>
  <si>
    <t>Fußfeger</t>
  </si>
  <si>
    <t>Gerade</t>
  </si>
  <si>
    <t>Griff</t>
  </si>
  <si>
    <t>Handkante</t>
  </si>
  <si>
    <t>Halten</t>
  </si>
  <si>
    <t>Hoher Tritt</t>
  </si>
  <si>
    <t>Klammer</t>
  </si>
  <si>
    <t>Knaufschlag</t>
  </si>
  <si>
    <t>Knie</t>
  </si>
  <si>
    <t>Kopfstoß</t>
  </si>
  <si>
    <t>Kreuzblock</t>
  </si>
  <si>
    <t>Niederringen</t>
  </si>
  <si>
    <t>Schmetterschlag</t>
  </si>
  <si>
    <t>Schmutzige Tricks</t>
  </si>
  <si>
    <t>Schwinger</t>
  </si>
  <si>
    <t>Schwitzkasten</t>
  </si>
  <si>
    <t>Sprung</t>
  </si>
  <si>
    <t>Sprungtritt</t>
  </si>
  <si>
    <t>Tritt</t>
  </si>
  <si>
    <t>Versteckte Klinge</t>
  </si>
  <si>
    <t>Wurf</t>
  </si>
  <si>
    <t>Würgegriff</t>
  </si>
  <si>
    <t>Nahkampf</t>
  </si>
  <si>
    <t>Anderthalbhänder</t>
  </si>
  <si>
    <t>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t>
  </si>
  <si>
    <t>Bastardschwert</t>
  </si>
  <si>
    <t>Rondrakamm</t>
  </si>
  <si>
    <t>Nachtwind</t>
  </si>
  <si>
    <t>Ausfall, Befreiungsschlag, Betäubungsschlag, Binden, Seitenwechsel, Offensiver Distanzklassenwechsel, Defensiver Kampfstil, Offensiver Kampfstil, Entwaffnen, Finte, Gegenhalten, Gezielter Stich (nur bei Kenntnis von halbschwert), Halbschwert, Klingensturm, Klingenwand, Meisterparade, Niederwerfen, Stumpfer Schlag, Sturmangriff, Windmühle, Wuchtschlag,</t>
  </si>
  <si>
    <t>Tuzakmesser</t>
  </si>
  <si>
    <t>Basiliskenzunge</t>
  </si>
  <si>
    <t>Dolche</t>
  </si>
  <si>
    <t>Ausfall, Binden, Seitenwechsel, Offensiver Distanzklassenwechsel, Defensiver Kampfstil, Offensiver Kampfstil, Doppelangriff, Entwaffnen aus der Attacke, Finte, Gegenhalten, Gezielter Stich, Klingensturm, Klingenwand, Meisterparade, Todesstoß,</t>
  </si>
  <si>
    <t>Borndorn</t>
  </si>
  <si>
    <t>Eberfänger</t>
  </si>
  <si>
    <t>Kurzschwert</t>
  </si>
  <si>
    <t>Ogerfänger</t>
  </si>
  <si>
    <t>improvisiert: Wurfdolch,</t>
  </si>
  <si>
    <t>Wurfmesser</t>
  </si>
  <si>
    <t>Dolch</t>
  </si>
  <si>
    <t>Drachenzahn</t>
  </si>
  <si>
    <t>Hakendolch</t>
  </si>
  <si>
    <t>Jagdmesser</t>
  </si>
  <si>
    <t>Langdolch</t>
  </si>
  <si>
    <t>Linkhand</t>
  </si>
  <si>
    <t>Mengbilar</t>
  </si>
  <si>
    <t>Scheibendolch</t>
  </si>
  <si>
    <t>Schwerer Dolch</t>
  </si>
  <si>
    <t>Waqqif</t>
  </si>
  <si>
    <t>Vulkanglasdolch</t>
  </si>
  <si>
    <t>diverse Ess- und Arbeitsmesser</t>
  </si>
  <si>
    <t>Degen</t>
  </si>
  <si>
    <t>Fechtwaffen</t>
  </si>
  <si>
    <t>Ausfall, Binden, Seitenwechsel, Offensiver Distanzklassenwechsel, Defensiver Kampfstil, Offensiver Kampfstil, Doppelangriff, Entwaffnen, Finte, Gegenhalten, Gezielter Stich, Klingensturm, Klingenwand, Meisterparade, Todesstoß,</t>
  </si>
  <si>
    <t>Florett</t>
  </si>
  <si>
    <t>Rapier</t>
  </si>
  <si>
    <t>Wolfsmesser</t>
  </si>
  <si>
    <t>Magierdegen</t>
  </si>
  <si>
    <t>Panzerstecher</t>
  </si>
  <si>
    <t>Robbentöter</t>
  </si>
  <si>
    <t>Stockdegen</t>
  </si>
  <si>
    <t>Brabakbengel</t>
  </si>
  <si>
    <t>Hiebwaffen</t>
  </si>
  <si>
    <t>Befreiungsschlag, Betäubungsschlag, Defensiver Kampfstil, Offensiver Kampfstil, Doppelangriff, Finte, Gegenhalten, Hammerschlag, Meisterparade, Niederwerfen, Schildspalter, Stumpfer Schlag, Sturmangriff, Windmühle, Wuchtschlag,</t>
  </si>
  <si>
    <t>Byakka</t>
  </si>
  <si>
    <t>Gruufhai</t>
  </si>
  <si>
    <t>Keule</t>
  </si>
  <si>
    <t>Kriegsfächer</t>
  </si>
  <si>
    <t>Befreiungsschlag, Betäubungsschlag, Defensiver Kampfstil, Offensiver Kampfstil, Doppelangriff, Finte, Gegenhalten, Meisterparade, Stumpfer Schlag, Windmühle, Wuchtschlag,</t>
  </si>
  <si>
    <t>Lindwurmschläger</t>
  </si>
  <si>
    <t>Molokdeschnaja</t>
  </si>
  <si>
    <t xml:space="preserve">
Orknase</t>
  </si>
  <si>
    <t>Rabenschnabel</t>
  </si>
  <si>
    <t xml:space="preserve">
Schmiedehammer</t>
  </si>
  <si>
    <t>Schneidzahn</t>
  </si>
  <si>
    <t>Skraja</t>
  </si>
  <si>
    <t xml:space="preserve">
Sonnenszepter</t>
  </si>
  <si>
    <t>Streitaxt</t>
  </si>
  <si>
    <t>Streitkolben</t>
  </si>
  <si>
    <t>Zwergenskraja</t>
  </si>
  <si>
    <t>Beil</t>
  </si>
  <si>
    <t>Fackel</t>
  </si>
  <si>
    <t>Fleischerbeil</t>
  </si>
  <si>
    <t>Knüppel</t>
  </si>
  <si>
    <t>Sichel</t>
  </si>
  <si>
    <t xml:space="preserve">
Stuhlbein</t>
  </si>
  <si>
    <t>Wurfbeil</t>
  </si>
  <si>
    <t>Wurfkeule</t>
  </si>
  <si>
    <t>improvisiert: Ast</t>
  </si>
  <si>
    <t>Glefe</t>
  </si>
  <si>
    <t>Infanteriewaffen</t>
  </si>
  <si>
    <t>Ausfall, Befreiungsschlag, Binden, Seitenwechsel, Offensiver Distanzklassenwechsel, Defensiver Kampfstil, Offensiver Kampfstil, Entwaffnen, Finte, Formationsparade, Gegenhalten, Halbschwert, Hammerschlag, Klingensturm, Klingenwand,Meisterparade, Niederwerfen, Sturmangriff, Windmühle, Wuchtschlag,</t>
  </si>
  <si>
    <t>Hakenspieß</t>
  </si>
  <si>
    <t>Hellebarde</t>
  </si>
  <si>
    <t>Korspieß</t>
  </si>
  <si>
    <t xml:space="preserve">
Langaxt</t>
  </si>
  <si>
    <t>Pailos</t>
  </si>
  <si>
    <t>Partisane</t>
  </si>
  <si>
    <t>Schnitter</t>
  </si>
  <si>
    <t>Sturmsense</t>
  </si>
  <si>
    <t>Warunkerhammer</t>
  </si>
  <si>
    <t>Wurmspieß</t>
  </si>
  <si>
    <t>improvisiert: Sense</t>
  </si>
  <si>
    <t>Dreigliederstab</t>
  </si>
  <si>
    <t>Kettenstäbe</t>
  </si>
  <si>
    <t>Ausfall, Befreiungsschlag, Betäubungsschlag, Binden, Seitenwechsel, Offensiver Distanzklassenwechsel, Defensiver Kampfstil, Offensiver Kampfstil, Entwaffnen, Finte, Gegenhalten, Klingensturm, Klingenwand, Meisterparade, Niederwerfen, Stumpfer Schlag, Sturmangriff, Windmühle, Wuchtschlag,</t>
  </si>
  <si>
    <t>Kettenstab</t>
  </si>
  <si>
    <t>Geißel</t>
  </si>
  <si>
    <t>Kettenwaffen</t>
  </si>
  <si>
    <t>Befreiungsschlag, Hammerschlag, Niederwerfen, Schildspalter, Sturmangriff, Windmühle, Wuchtschlag,</t>
  </si>
  <si>
    <t>Kettenkugel</t>
  </si>
  <si>
    <t>Morgenstern</t>
  </si>
  <si>
    <t>Neunschwänzige</t>
  </si>
  <si>
    <t xml:space="preserve">
Ochsenherde</t>
  </si>
  <si>
    <t>Ogerschelle</t>
  </si>
  <si>
    <t>Dschadra</t>
  </si>
  <si>
    <t>Lanzenreiten</t>
  </si>
  <si>
    <t>angesagter Lanzenangriff,</t>
  </si>
  <si>
    <t>Kriegslanze</t>
  </si>
  <si>
    <t>Turnierlanze</t>
  </si>
  <si>
    <t>Peitsche</t>
  </si>
  <si>
    <t>Entwaffnen, Umreißen,</t>
  </si>
  <si>
    <t>Säbel</t>
  </si>
  <si>
    <t>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t>
  </si>
  <si>
    <t>Amazonensäbel</t>
  </si>
  <si>
    <t>Ausfall, Befreiungsschlag, Betäubungsschlag, Binden, Seitenwechsel, Offensiver Distanzklassenwechsel, Defensiver Kampfstil, Offensiver Kampfstil, Doppelangriff, Entwaffnen, Entwaffnen (Meisterlich), Entwaffnen (Meisterlich), Finte, Gegenhalten, Klingensturm, Klingenwand, Meisterparade, Stumpfer Schlag, Sturmangriff, Windmühle, Wuchtschlag,</t>
  </si>
  <si>
    <t>Binden+2, Betäubungsschlag+2,Entwaffnen+4</t>
  </si>
  <si>
    <t>Arbach</t>
  </si>
  <si>
    <t>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t>
  </si>
  <si>
    <t>Entermesser</t>
  </si>
  <si>
    <t>Haumesser</t>
  </si>
  <si>
    <t>Khunchomer</t>
  </si>
  <si>
    <t>Kuslikersäbel</t>
  </si>
  <si>
    <t>Sklaventod</t>
  </si>
  <si>
    <t xml:space="preserve">
Waqqif</t>
  </si>
  <si>
    <t>Schwerter</t>
  </si>
  <si>
    <t>Ausfall, Befreiungsschlag, Betäubungsschlag, Binden, Seitenwechsel, Offensiver Distanzklassenwechsel, Defensiver Kampfstil, Offensiver Kampfstil, Doppelangriff, Entwaffnen, Finte, Gegenhalten, Klingensturm, Klingenwand, Meisterparade, Stumpfer Schlag, Sturmangriff, Windmühle, Wuchtschlag,</t>
  </si>
  <si>
    <t>Ausfall, Befreiungsschlag, Betäubungsschlag, Binden, Seitenwechsel, Offensiver Distanzklassenwechsel, Defensiver Kampfstil, Offensiver Kampfstil, Doppelangriff, Entwaffnen, Finte, Gegenhalten, Klingensturm, Klingenwand, Meisterparade, Niederwerfen, Stumpfer Schlag, Sturmangriff, Todesstoß, Windmühle, Wuchtschlag,</t>
  </si>
  <si>
    <t>Barbarenschwert</t>
  </si>
  <si>
    <t>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t>
  </si>
  <si>
    <t xml:space="preserve">
Bastardschwert</t>
  </si>
  <si>
    <t>Breitschwert</t>
  </si>
  <si>
    <t>Ausfall, Betäubungsschlag, Binden, Seitenwechsel, Offensiver Distanzklassenwechsel, Defensiver Kampfstil, Offensiver Kampfstil, Doppelangriff, Entwaffnen, Finte, Gegenhalten, Gezielter Stich, Klingensturm, Klingenwand, Meisterparade, Niederwerfen, Stumpfer Schlag, Sturmangriff, Todesstoß , Windmühle, Wuchtschlag,</t>
  </si>
  <si>
    <t>Langschwert</t>
  </si>
  <si>
    <t>Ausfall, Befreiungsschlag, Betäubungsschlag, Binden, Seitenwechsel, Offensiver Distanzklassenwechsel, Defensiver Kampfstil, Offensiver Kampfstil, Doppelangriff, Entwaffnen, Finte, Gegenhalten, Gezielter Stich, Klingensturm, Klingenwand, Meisterparade, Stumpfer Schlag, Sturmangriff, Todesstoß, Windmühle, Wuchtschlag,</t>
  </si>
  <si>
    <t>Turnierschwert</t>
  </si>
  <si>
    <t xml:space="preserve">
Wolfsmesser</t>
  </si>
  <si>
    <t>Drachentöter (zweihändig)</t>
  </si>
  <si>
    <t>Speere</t>
  </si>
  <si>
    <t>Ausfall, Binden, Seitenwechsel, Offensiver Distanzklassenwechsel, Defensiver Kampfstil, Offensiver Kampfstil, Entwaffnen, Festnageln (nicht alle Speere), Finte, Formation, Gegenhalten, Gezielter Stich, Klingensturm, Klingenwand, Meisterparade, Todesstoß, Umreißen,</t>
  </si>
  <si>
    <t>Dreizack (einhändig)</t>
  </si>
  <si>
    <t>Dschadra (einhändig)</t>
  </si>
  <si>
    <t>Efferdbart (ein-/zweihändig)</t>
  </si>
  <si>
    <t>Holzspeer (einhändig)</t>
  </si>
  <si>
    <t>Jagdspieß( zweihändig)</t>
  </si>
  <si>
    <t>Partisane (zweihändig)</t>
  </si>
  <si>
    <t>Pike (zweihändig)</t>
  </si>
  <si>
    <t>Schnitter (ein-/zweihändig)</t>
  </si>
  <si>
    <t>Speer (einhändig)</t>
  </si>
  <si>
    <t>Stoßspeer (zweihändig)</t>
  </si>
  <si>
    <t>Wurmspieß (zweihändig)</t>
  </si>
  <si>
    <t xml:space="preserve">
Wurfspeer</t>
  </si>
  <si>
    <t xml:space="preserve">improvisiert: Turnierlanze </t>
  </si>
  <si>
    <t xml:space="preserve">improvisiert: Kriegslanze </t>
  </si>
  <si>
    <t>Kampfstab</t>
  </si>
  <si>
    <t>Stäbe</t>
  </si>
  <si>
    <t>Ausfall, Befreiungsschlag, Betäubungsschlag, Binden, Seitenwechsel, Offensiver Distanzklassenwechsel, Defensiver Kampfstil, Offensiver Kampfstil, Entwaffnen, Finte, Gegenhalten, Halbschwert, Klingensturm, Klingenwand, Meisterparade, Niederwerfen, Stumpfer Schlag, Sturmangriff, Umreißen, Windmühle, Wuchtschlag,</t>
  </si>
  <si>
    <t>Zweililien</t>
  </si>
  <si>
    <t>Magierstab</t>
  </si>
  <si>
    <t>Kriegsflegel</t>
  </si>
  <si>
    <t>Zweihandflegel</t>
  </si>
  <si>
    <t>improvisiert: Dreschflegel</t>
  </si>
  <si>
    <t>Barbarenstreitaxt</t>
  </si>
  <si>
    <t>Zweihand_Hiebwaffen</t>
  </si>
  <si>
    <t>Befreiungsschlag, Defensiver Kampfstil, Offensiver Kampfstil, Gegenhalten, Hammerschlag, Meisterparade, Niederwerfen, Schildspalter, Sturmangriff, Windmühle, Wuchtschlag,</t>
  </si>
  <si>
    <t>EchsischeAxt</t>
  </si>
  <si>
    <t>Felsspalter</t>
  </si>
  <si>
    <t xml:space="preserve">
Gruufhai</t>
  </si>
  <si>
    <t>Kriegshammer</t>
  </si>
  <si>
    <t>Langaxt</t>
  </si>
  <si>
    <t>Orknase</t>
  </si>
  <si>
    <t xml:space="preserve">
Pailos</t>
  </si>
  <si>
    <t>WarunkerHammer</t>
  </si>
  <si>
    <t>Zwergenschlägel</t>
  </si>
  <si>
    <t>Spitzhacke</t>
  </si>
  <si>
    <t>Vorschlaghammer</t>
  </si>
  <si>
    <t>improvisiert: Holzfälleraxt</t>
  </si>
  <si>
    <t>Andergaster</t>
  </si>
  <si>
    <t>Zweihandschwerter_Säbel</t>
  </si>
  <si>
    <t>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t>
  </si>
  <si>
    <t>Boronssichel</t>
  </si>
  <si>
    <t xml:space="preserve">
Doppelkhunchomer</t>
  </si>
  <si>
    <t>Großer Sklaventod</t>
  </si>
  <si>
    <t xml:space="preserve">
Rondrakamm</t>
  </si>
  <si>
    <t>Zweihänder</t>
  </si>
  <si>
    <t>improvisiert: Richtschwert</t>
  </si>
  <si>
    <t>Hände</t>
  </si>
  <si>
    <t>Raufen</t>
  </si>
  <si>
    <t>Auspendeln, Beinarbeit, Biss, Block, Doppelschlag, Eisenarm, Fußfeger, Gerade, Griff, Handkante, Halten, Hoher Tritt, Klammer, Knaufschlag, Knie, Kopfstoß, Kreuzblock, Niederringen, Schmetterschlag, Schmutzige Tricks, Schwinger, Schwitzkasten, Sprung, Sprungtritt, Tritt, Versteckte Klinge, Wurf, Würgegriff,</t>
  </si>
  <si>
    <t>Ringen</t>
  </si>
  <si>
    <t>Fernkampf</t>
  </si>
  <si>
    <t>Leichte Armbrust</t>
  </si>
  <si>
    <t>Armbrust</t>
  </si>
  <si>
    <t>Fernkampfangriff mit Ansage, Berittener Schütze, Gezielter Schuss, Meisterschütze, Scharfschütze, Schnellladen, Zielen</t>
  </si>
  <si>
    <t/>
  </si>
  <si>
    <t>Eisenwalder</t>
  </si>
  <si>
    <t>Balestrina</t>
  </si>
  <si>
    <t>Schwere Armbrust</t>
  </si>
  <si>
    <t>Balläster</t>
  </si>
  <si>
    <t>Arbalone</t>
  </si>
  <si>
    <t>Arbalette</t>
  </si>
  <si>
    <t>Balestra</t>
  </si>
  <si>
    <t>Ballistische Schleudergeräte (Onager, Zyklop)</t>
  </si>
  <si>
    <t>Belagerungswaffen</t>
  </si>
  <si>
    <t>Geschützmeister</t>
  </si>
  <si>
    <t>Hornisse</t>
  </si>
  <si>
    <t>Fernkampfangriff mit Ansage, Geschützmeister</t>
  </si>
  <si>
    <t>Torsionsschleudern (Aal, Rotze)</t>
  </si>
  <si>
    <t>Drachenmäuler und Belagerungs-Armbrüste</t>
  </si>
  <si>
    <t>Blasrohr</t>
  </si>
  <si>
    <t>Fernkampfangriff mit Ansage, Meisterschütze, Scharfschütze</t>
  </si>
  <si>
    <t xml:space="preserve">Kurzbogen </t>
  </si>
  <si>
    <t>Bogen</t>
  </si>
  <si>
    <t>Kompositbogen</t>
  </si>
  <si>
    <t>Elfenbogen</t>
  </si>
  <si>
    <t>Kriegsbogen</t>
  </si>
  <si>
    <t>Langbogen</t>
  </si>
  <si>
    <t>Orkischer Reiterbogen</t>
  </si>
  <si>
    <t>Diskus</t>
  </si>
  <si>
    <t>Fernkampfangriff mit Ansage, Schnellziehen</t>
  </si>
  <si>
    <t>Kampfdiskus</t>
  </si>
  <si>
    <t>Schleuder</t>
  </si>
  <si>
    <t>Fernkampfangriff mit Ansage, Scharfschütze, Meisterschütze</t>
  </si>
  <si>
    <t>Fledermaus</t>
  </si>
  <si>
    <t>Lasso</t>
  </si>
  <si>
    <t>Leichtes Wurfnetz</t>
  </si>
  <si>
    <t>Schweres Wurfnetz</t>
  </si>
  <si>
    <t>Wurfhaken</t>
  </si>
  <si>
    <t>Enterhaken</t>
  </si>
  <si>
    <t>improvisiert: Kleines Fischernetz</t>
  </si>
  <si>
    <t>Wurfbeile</t>
  </si>
  <si>
    <t>Fernkampfangriff mit Ansage, Berittener Schütze, Scharfschütze, Meisterschütze, Zielen, Gezielter Schuss</t>
  </si>
  <si>
    <t>improvisiert: Stein, Flasche</t>
  </si>
  <si>
    <t>Fernkampfangriff mit Ansage, Berittener Schütze, Scharfschütze, Meisterschütze, Eisenhagel, Zielen, Gezielter Schuss</t>
  </si>
  <si>
    <t>Wurfdolch</t>
  </si>
  <si>
    <t>Wurfpfeil</t>
  </si>
  <si>
    <t xml:space="preserve">
Wurfstern</t>
  </si>
  <si>
    <t>Wurfscheibe</t>
  </si>
  <si>
    <t>Wurfring</t>
  </si>
  <si>
    <t>improvisiert: verschiedene Messer und Dolche</t>
  </si>
  <si>
    <t>Efferdbart</t>
  </si>
  <si>
    <t>Wurfspeere</t>
  </si>
  <si>
    <t>Granatapfel</t>
  </si>
  <si>
    <t>Holzspeer</t>
  </si>
  <si>
    <t>Speer</t>
  </si>
  <si>
    <t xml:space="preserve">
Speerschleuder</t>
  </si>
  <si>
    <t>Stabschleuder</t>
  </si>
  <si>
    <t>Wurfspeer</t>
  </si>
  <si>
    <t>improvisiert: Dschadra</t>
  </si>
  <si>
    <t>Waffengattung</t>
  </si>
  <si>
    <t>Ersatzweise</t>
  </si>
  <si>
    <t>Komp.</t>
  </si>
  <si>
    <t>Verfügbare Manöver</t>
  </si>
  <si>
    <t>Max. TaW</t>
  </si>
  <si>
    <t>Schwerter, Zweihandschwerter,Zweihandsäbel</t>
  </si>
  <si>
    <t>Attacke-Basiswert:</t>
  </si>
  <si>
    <t>Parade-Basiswert:</t>
  </si>
  <si>
    <t>Fernkampf-Basiswert:</t>
  </si>
  <si>
    <t>Initative-Basiswert:</t>
  </si>
  <si>
    <t>Kannausgeblendetwerden</t>
  </si>
  <si>
    <t>Waffen &amp; Kampfwerte</t>
  </si>
  <si>
    <t>Axxeleratus</t>
  </si>
  <si>
    <t>Nein</t>
  </si>
  <si>
    <t>INI:</t>
  </si>
  <si>
    <t>Haupthand:</t>
  </si>
  <si>
    <t>TP</t>
  </si>
  <si>
    <t>Manöver</t>
  </si>
  <si>
    <t>INI MOD*</t>
  </si>
  <si>
    <t>AT MOD*</t>
  </si>
  <si>
    <t>PA MOD*</t>
  </si>
  <si>
    <t>Zweithand oder Paradehand</t>
  </si>
  <si>
    <t>Nahkampfwaffe</t>
  </si>
  <si>
    <t>Waffentalent</t>
  </si>
  <si>
    <t>Waffenart</t>
  </si>
  <si>
    <t>DK</t>
  </si>
  <si>
    <t>KK Basis</t>
  </si>
  <si>
    <t>Schwelle</t>
  </si>
  <si>
    <t>WM AT</t>
  </si>
  <si>
    <t>WM PA</t>
  </si>
  <si>
    <t>Würfel</t>
  </si>
  <si>
    <t>TP Wert</t>
  </si>
  <si>
    <t>BE Mod</t>
  </si>
  <si>
    <t>TP/KK</t>
  </si>
  <si>
    <t>GE Basis</t>
  </si>
  <si>
    <t>INI/GE</t>
  </si>
  <si>
    <t>INI PA Mod</t>
  </si>
  <si>
    <t>TP Kalk</t>
  </si>
  <si>
    <t>BF</t>
  </si>
  <si>
    <t>Rüstung</t>
  </si>
  <si>
    <t>RG-I</t>
  </si>
  <si>
    <t>RG-I*</t>
  </si>
  <si>
    <t>RS</t>
  </si>
  <si>
    <t>Rüstungsgewöhnung</t>
  </si>
  <si>
    <t>Waffenloser Kampf</t>
  </si>
  <si>
    <t>TP(A)</t>
  </si>
  <si>
    <t>H</t>
  </si>
  <si>
    <t>I</t>
  </si>
  <si>
    <t>II</t>
  </si>
  <si>
    <t>III</t>
  </si>
  <si>
    <t>IV</t>
  </si>
  <si>
    <t>RG-Wert</t>
  </si>
  <si>
    <t>10/3</t>
  </si>
  <si>
    <t>RS:</t>
  </si>
  <si>
    <t>BE:</t>
  </si>
  <si>
    <t>Waffenlose Sonderfertigkeiten / Manöver</t>
  </si>
  <si>
    <t>BE (Kampf):</t>
  </si>
  <si>
    <t>Nahkampf Sonderfertigkeiten</t>
  </si>
  <si>
    <t>Aufmerksamkeit</t>
  </si>
  <si>
    <t>Initiative</t>
  </si>
  <si>
    <t>INI-Basis</t>
  </si>
  <si>
    <t>Kampfreflexe</t>
  </si>
  <si>
    <t>Kampfgespür</t>
  </si>
  <si>
    <t>Klingentänzer</t>
  </si>
  <si>
    <t>Axxelaratus</t>
  </si>
  <si>
    <t>Parierwaffe</t>
  </si>
  <si>
    <t>Geführt mit</t>
  </si>
  <si>
    <t>PA Basis</t>
  </si>
  <si>
    <t>Ausweichen I</t>
  </si>
  <si>
    <t>Ausweichen II</t>
  </si>
  <si>
    <t>Ausweichen III</t>
  </si>
  <si>
    <t>Schild</t>
  </si>
  <si>
    <t>Flink</t>
  </si>
  <si>
    <t>Behäbig</t>
  </si>
  <si>
    <t>Schildkampf I</t>
  </si>
  <si>
    <t>Schildkampf II</t>
  </si>
  <si>
    <t>Ausweichen-Mod</t>
  </si>
  <si>
    <t>Parierwaffen I</t>
  </si>
  <si>
    <t>Parierwaffen II</t>
  </si>
  <si>
    <t>Ausweichen</t>
  </si>
  <si>
    <t>Gez. Ausweichen +4</t>
  </si>
  <si>
    <t>Maximum</t>
  </si>
  <si>
    <t>1/2</t>
  </si>
  <si>
    <t>1/3</t>
  </si>
  <si>
    <t>1/4</t>
  </si>
  <si>
    <t>Lebensenergie</t>
  </si>
  <si>
    <t>Ausdauer</t>
  </si>
  <si>
    <t>Karmalenergie</t>
  </si>
  <si>
    <t>Erschwernis</t>
  </si>
  <si>
    <t>Seite</t>
  </si>
  <si>
    <t>Erklärung</t>
  </si>
  <si>
    <t>Angriff +4</t>
  </si>
  <si>
    <t>S 59: Angreifer wechselt PA in AT um und zwingt Verteiger AT in PA umzuwandeln. Max. KO/2 Schläge</t>
  </si>
  <si>
    <t>+4 pro Gegner</t>
  </si>
  <si>
    <t>S 60: Angreifer zurückdrängen kann mit Finte oder Wuchtschlag ergänzt werden, keine weitere Aktion möglich. Bei treffer werden Gegner zurückgedrängt und verlieren 1W6 Ini</t>
  </si>
  <si>
    <t>S 61: Ziel soll betäubt werden, Angriff mit stumpfer Seite etc. auch mit Raufen möglich wenn TP(A) einen AU-Verlust generieren über KO/2 dann einfache KO-Probe für Opfer, bei AU-Verlust über KO dann Bewusstlos</t>
  </si>
  <si>
    <t>Abwehr +4</t>
  </si>
  <si>
    <t>S 67: Bei dem Angriff des Gegners seine Waffe binden und somit den darauf folgenden Angriff erleichtern und die gegnerische folgende Parade erschweren.
Mit Hauptwaffe binden - erschwert um min. 4 Punkte (oder Ansage Gegner) + Ansage
Mit Parierwaffe binden - erschwert um min. 4 Punkte (oder Ansage Gegner) 
Mit beidem binden - erschwert um min. 4 Punkte (oder Ansage Gegner) + Ansage +4</t>
  </si>
  <si>
    <t>S 67: Muss vorher angesagt werden, ermöglicht die nicht erschwerte und dauerhafte Umwandlung von Angriffen in Paraden</t>
  </si>
  <si>
    <t>Manöver +2</t>
  </si>
  <si>
    <t>S 61</t>
  </si>
  <si>
    <t>Manöver + 8 + Ansage</t>
  </si>
  <si>
    <t>S 61: Abwehr oder Angriffsaktion, erschwert um 8 Punkte + Ansage</t>
  </si>
  <si>
    <t>Angriff + Ansage</t>
  </si>
  <si>
    <t>S 62: Gegnerische Parade um Ansage erschwert</t>
  </si>
  <si>
    <t>S 68: In einer Abwehraktion kann der Verteidiger einen Angriff gegenhalten. Bei diesem Manöver würfen Angreifer und Verteidiger erneut eine Attacke, wobei die des Verteidigers um 4 Punkte erschwert ist. Mögliche INI-Differenzen werden dem schnelleren Kämpfer gutgeschrieben. Beide Attacken misslingen: es passiert nichts, eine gelingt: Schaden fällt für den anderen an, gelingen beide: der bessere Wurf erzeugt vollen, der schlechtere halben Schaden.</t>
  </si>
  <si>
    <t>S 63: Eine Attacke auf mehrere Genger aufteilen</t>
  </si>
  <si>
    <t>S 69: Eine Parade auf mehrere Gegner aufteilen</t>
  </si>
  <si>
    <t>Abwehr +Ansage</t>
  </si>
  <si>
    <t>Angriff +4 +Ansage</t>
  </si>
  <si>
    <t>S 63: Angriff zum Niederwerfen, KK-Probe erschwert von über KK liegenden TP und Ansage, Gelungen: 1W6 INI Verlust, Misslungen: 2W6 INI Verlust und auf dem Boden liegend</t>
  </si>
  <si>
    <t>Das Manöver baut auf einem ähnlichen Prinzip auf wie Binden oder Windmühle: Der Kämpfer leitet die Kraft eines gegnerischen Angriffs in eine ungefährliche Richtung um sich daraus einen Vorteil zu verschaffen. Dieser besteht in diesem Fall darin, dass er schnell an seinem Gegner vorbeischlüpfen kann um hinter ihm zu stehen was je nach Umgebung nutzlos bis lebensrettend sein kann. Das Manöver erfordert ein vorheriges Binden oder gezieltes Ausweichen um sich in eine günstige Position zu bringen und ist 4 Punkte erschwert. Die Anzahl der benötigten zusätzlichen Aktionen ist abhängig von der DK und der Größe des Gegners: ein Seitenwechsel in der DK H benötigt eine Freie Aktion, N benötigt 2 Freie Aktionen, S eine normale Aktion, P ist nicht möglich. Ein großer Gegner zählt automatisch als eine Kategorie weiter entfernt. Bei sehr großen Gegnern ist das Manöver nur mit Meisterzustimmung möglich. Verfügt man über die SF Beidhändiger Kampf II oder Tod von Links, so kann der Seitenwechsel noch mit einem Angriff aus der Zweithand kombiniert werden, was den Seitenwechsel um 4 weitere Punkte erschwert. Eine Parade gegen dieses Manöver ist nur zulässig, wenn die SF Kampfgespür erlernt, und eine Aktion aufgespart wurde. Das Manöver ist übrigens ebenfalls dazu geeignet einen Sturmangriff ins leere laufen zu lassen oder einen Ausfall zu stoppen. Das Manöver ist nur möglich wenn die INI des Anwenders über der seines Feindes liegt. Befindet sich neben dem Gegner ein weiterer Feind, dann steht diesem bei der Aktion unter Umständen ein Passierschlag zu.</t>
  </si>
  <si>
    <t>S 64: Waffe macht TP(A) schaden</t>
  </si>
  <si>
    <t>S 64: Min. 4 Meter Entfernung, AT + 4 + Ansage erschwert, TP+4+Ansage+ halbe Geschwindigkeit, Verbraucht Abwehrreaktion</t>
  </si>
  <si>
    <t>Abwehr + 8 oder mehr</t>
  </si>
  <si>
    <t>S 71: Abwehrreaktion, bei der der Verteidiger den Angriff auf diesen umleitet. Ist automatisch um mindestens 8 Punkte (oder Ansage Gegner) erschwert. Bei gelinger der Parade-Aktion muss der Angreifer eine Parade abzüglich seiner eigenen Attake-Modifikation parieren. Sollte dies misslingen erleidet er einen Wuchtschlag + Ansage aus Parade (mindestens 8)</t>
  </si>
  <si>
    <t>S 65: Erhöt TP um Ansage</t>
  </si>
  <si>
    <t>Waffenlose Manöver</t>
  </si>
  <si>
    <t>Amazonenrüstung</t>
  </si>
  <si>
    <t>unz.</t>
  </si>
  <si>
    <t>Helm</t>
  </si>
  <si>
    <t>Spezialisierung: Kunchomer; Amazonensäbel
Ausfall(S59), Finte(S62), Klingensturm(S63), Wuchtschlag(S63), Binden(S67), Sturmangriff(S64),
Meisterparade, Defensiver Kampfstil(S67), Entwaffnen(S61), Klingenwand(S69), meisterliches entwaffnen,
Linkhand(75), Parierwaffen I/II(S76) zusätzliche Parade!, Aufmerksamkeit, Schnellziehen, Klingentänzer</t>
  </si>
  <si>
    <t>Entfernungen</t>
  </si>
  <si>
    <t>TP/Entfernungen</t>
  </si>
  <si>
    <t>Fernkampfwaffe</t>
  </si>
  <si>
    <t>Munition</t>
  </si>
  <si>
    <t>Fernkampf Sonderfertigkeiten</t>
  </si>
  <si>
    <t>Schild / Parierwaffe</t>
  </si>
  <si>
    <t>WM</t>
  </si>
  <si>
    <t>+</t>
  </si>
  <si>
    <t>PA-Basis</t>
  </si>
  <si>
    <t>Modfikatoren</t>
  </si>
  <si>
    <t>Summe</t>
  </si>
  <si>
    <t>=</t>
  </si>
  <si>
    <t>Bonus</t>
  </si>
  <si>
    <t>W6</t>
  </si>
  <si>
    <t>Rahjaweihe</t>
  </si>
  <si>
    <t>Schützling suchen und bestimmen -&gt; jemand der eine Investition wert ist bzw. gute Idee hat
Einen Streit im Umland schlichten
Eigene Aufgabe suchen, um die Menschen über ihre Schränken hinweg zu vernetzen</t>
  </si>
  <si>
    <t>Ausrüstbare Waffen Hände</t>
  </si>
  <si>
    <t>Ausweichenrechner</t>
  </si>
  <si>
    <t>Akrobatikmodifikator</t>
  </si>
  <si>
    <t>Initativerechner</t>
  </si>
  <si>
    <t>A*</t>
  </si>
  <si>
    <t>G</t>
  </si>
  <si>
    <t>Anderthalbh.</t>
  </si>
  <si>
    <t>Fechtw.</t>
  </si>
  <si>
    <t>Hiebw.</t>
  </si>
  <si>
    <t>Infanteriew.</t>
  </si>
  <si>
    <t>Kettenst.</t>
  </si>
  <si>
    <t>Kettenw.</t>
  </si>
  <si>
    <t>ZH-Flegel</t>
  </si>
  <si>
    <t>ZH-Hiebw.</t>
  </si>
  <si>
    <t>ZH-Schwerter/-säbel</t>
  </si>
  <si>
    <t>X</t>
  </si>
  <si>
    <r>
      <t>X</t>
    </r>
    <r>
      <rPr>
        <vertAlign val="superscript"/>
        <sz val="7"/>
        <color rgb="FF001133"/>
        <rFont val="Arial"/>
        <family val="2"/>
      </rPr>
      <t>4</t>
    </r>
  </si>
  <si>
    <r>
      <t>X</t>
    </r>
    <r>
      <rPr>
        <vertAlign val="superscript"/>
        <sz val="7"/>
        <color rgb="FF001133"/>
        <rFont val="Arial"/>
        <family val="2"/>
      </rPr>
      <t>5</t>
    </r>
  </si>
  <si>
    <r>
      <t>X</t>
    </r>
    <r>
      <rPr>
        <vertAlign val="superscript"/>
        <sz val="7"/>
        <color rgb="FF001133"/>
        <rFont val="Arial"/>
        <family val="2"/>
      </rPr>
      <t>6</t>
    </r>
  </si>
  <si>
    <r>
      <t>X</t>
    </r>
    <r>
      <rPr>
        <vertAlign val="superscript"/>
        <sz val="7"/>
        <color rgb="FF001133"/>
        <rFont val="Arial"/>
        <family val="2"/>
      </rPr>
      <t>8</t>
    </r>
  </si>
  <si>
    <r>
      <t>X</t>
    </r>
    <r>
      <rPr>
        <vertAlign val="superscript"/>
        <sz val="7"/>
        <color rgb="FF001133"/>
        <rFont val="Arial"/>
        <family val="2"/>
      </rPr>
      <t>9</t>
    </r>
  </si>
  <si>
    <r>
      <t>X</t>
    </r>
    <r>
      <rPr>
        <vertAlign val="superscript"/>
        <sz val="7"/>
        <color rgb="FF001133"/>
        <rFont val="Arial"/>
        <family val="2"/>
      </rPr>
      <t>10</t>
    </r>
  </si>
  <si>
    <r>
      <t>X</t>
    </r>
    <r>
      <rPr>
        <vertAlign val="superscript"/>
        <sz val="7"/>
        <color rgb="FF001133"/>
        <rFont val="Arial"/>
        <family val="2"/>
      </rPr>
      <t>11</t>
    </r>
  </si>
  <si>
    <r>
      <t>X</t>
    </r>
    <r>
      <rPr>
        <vertAlign val="superscript"/>
        <sz val="7"/>
        <color rgb="FF001133"/>
        <rFont val="Arial"/>
        <family val="2"/>
      </rPr>
      <t>12</t>
    </r>
  </si>
  <si>
    <r>
      <t>X</t>
    </r>
    <r>
      <rPr>
        <vertAlign val="superscript"/>
        <sz val="7"/>
        <color rgb="FF001133"/>
        <rFont val="Arial"/>
        <family val="2"/>
      </rPr>
      <t>13</t>
    </r>
  </si>
  <si>
    <r>
      <t>X</t>
    </r>
    <r>
      <rPr>
        <vertAlign val="superscript"/>
        <sz val="7"/>
        <color rgb="FF001133"/>
        <rFont val="Arial"/>
        <family val="2"/>
      </rPr>
      <t>14</t>
    </r>
  </si>
  <si>
    <r>
      <t>?</t>
    </r>
    <r>
      <rPr>
        <vertAlign val="superscript"/>
        <sz val="7"/>
        <color rgb="FF001133"/>
        <rFont val="Arial"/>
        <family val="2"/>
      </rPr>
      <t>15</t>
    </r>
  </si>
  <si>
    <r>
      <t>X</t>
    </r>
    <r>
      <rPr>
        <vertAlign val="superscript"/>
        <sz val="7"/>
        <color rgb="FF001133"/>
        <rFont val="Arial"/>
        <family val="2"/>
      </rPr>
      <t>16</t>
    </r>
  </si>
  <si>
    <r>
      <t>X</t>
    </r>
    <r>
      <rPr>
        <vertAlign val="superscript"/>
        <sz val="7"/>
        <color rgb="FF001133"/>
        <rFont val="Arial"/>
        <family val="2"/>
      </rPr>
      <t>17</t>
    </r>
  </si>
  <si>
    <t>Verfügbarkeit</t>
  </si>
  <si>
    <t>Merkmale</t>
  </si>
  <si>
    <t>Lernkomplexität</t>
  </si>
  <si>
    <t>Überlauf Eigenschaften 1</t>
  </si>
  <si>
    <t>Überlauf Eigenschaften 2</t>
  </si>
  <si>
    <t>Überlauf Eigenschaften 3</t>
  </si>
  <si>
    <t>*</t>
  </si>
  <si>
    <t>Fecher</t>
  </si>
  <si>
    <t>Generierung</t>
  </si>
  <si>
    <t>Ein dreifarbiger Fecher in den Farben des Mittelreichs von einem Kobold</t>
  </si>
  <si>
    <t>Ledertunika</t>
  </si>
  <si>
    <t>Hex</t>
  </si>
  <si>
    <t>Mag7, Dru5, Geo5, Elf4, Hex4</t>
  </si>
  <si>
    <t>Reversalis Revidum</t>
  </si>
  <si>
    <t>Ach3, Mag3, Dru(Mag)2, Hex(Mag)2</t>
  </si>
  <si>
    <t>Ruhe Körper, ruhe Geist</t>
  </si>
  <si>
    <t>Elf5, Ach4, Mag4, Dru3, Hex3</t>
  </si>
  <si>
    <t>Salander Mutander</t>
  </si>
  <si>
    <t>Mag5, Ach3, Hex3, Dru2</t>
  </si>
  <si>
    <t>Sanftmut</t>
  </si>
  <si>
    <t>Geo6, Hex6, Dru4, Elf4, Ach2</t>
  </si>
  <si>
    <t>Sapefacta Zauberschwamm</t>
  </si>
  <si>
    <t>Telekinese, Elementar (Luft), Elementar (Wasser)</t>
  </si>
  <si>
    <t>Mag5, Srl4, Hex(Mag)2</t>
  </si>
  <si>
    <t>Satuarias Herrlichkeit</t>
  </si>
  <si>
    <t>Eigenschaften, Illusion</t>
  </si>
  <si>
    <t>Hex5</t>
  </si>
  <si>
    <t>Schabernack</t>
  </si>
  <si>
    <t>Schadenszauber bannen</t>
  </si>
  <si>
    <t>Antimagie, Schaden</t>
  </si>
  <si>
    <t>Mag3, Elf2</t>
  </si>
  <si>
    <t>Schelmenkleister</t>
  </si>
  <si>
    <t>IN/GE/FF</t>
  </si>
  <si>
    <t>Schelmenlaune</t>
  </si>
  <si>
    <t>Schelmenmaske</t>
  </si>
  <si>
    <t>Sch6, Mag(Sch)2, Srl(Sch)2</t>
  </si>
  <si>
    <t>Schelmenrausch</t>
  </si>
  <si>
    <t>Eigenschaften, Metamagie</t>
  </si>
  <si>
    <t>Hex6, Mag4, Bor2, Dru2</t>
  </si>
  <si>
    <t>Schwarz und Rot</t>
  </si>
  <si>
    <t>Eigenschaften, Schaden</t>
  </si>
  <si>
    <t>Bor4, Mag3, Hex(Mag)2</t>
  </si>
  <si>
    <t>Schwarzer Schrecken</t>
  </si>
  <si>
    <t>Bor6, Mag3</t>
  </si>
  <si>
    <t>Seelentier erkennen</t>
  </si>
  <si>
    <t>Hex3, Elf1</t>
  </si>
  <si>
    <t>Seelenwanderung</t>
  </si>
  <si>
    <t>Eigenschaften, Verständigung</t>
  </si>
  <si>
    <t>Ach2, Dru2, Geo2, Hex2, Mag1</t>
  </si>
  <si>
    <t>Seidenweich Schuppengleich</t>
  </si>
  <si>
    <t>IN/FF/FF</t>
  </si>
  <si>
    <t>Sch6, Srl2</t>
  </si>
  <si>
    <t>Seidenzunge Elfenwort</t>
  </si>
  <si>
    <t>Elf3, Sch2</t>
  </si>
  <si>
    <t>Sensattacco Meisterstreich</t>
  </si>
  <si>
    <t>Eigenschaften, Hellsicht</t>
  </si>
  <si>
    <t>Sensibar Empathicus</t>
  </si>
  <si>
    <t>Elf7, Mag6, Dru5, Hex5, Geo5, Ach4, Sch4, Srl4</t>
  </si>
  <si>
    <t>Serpentialis Schlangenleib</t>
  </si>
  <si>
    <t>Ach4, Hex2, Mag(Ach)2</t>
  </si>
  <si>
    <t>Silentium</t>
  </si>
  <si>
    <t>Elf7, Mag5, Sch5, Geo4, Srl4, Dru2, Hex2</t>
  </si>
  <si>
    <t>Sinesigil unerkannt</t>
  </si>
  <si>
    <t>Skelettarius</t>
  </si>
  <si>
    <t>Dämonisch (Thargunitoth)</t>
  </si>
  <si>
    <t>Mag4, Bor2</t>
  </si>
  <si>
    <t>Solidirid Weg aus Licht</t>
  </si>
  <si>
    <t>Elf4, Mag2, Mag(Elf)2</t>
  </si>
  <si>
    <t>Somnigravis tiefer Schlaf</t>
  </si>
  <si>
    <t>Elf6, Mag5, Ach3, Dru3, Geo3, Hex3, Sch3, Srl3</t>
  </si>
  <si>
    <t>Hex4, Ach3, Elf2</t>
  </si>
  <si>
    <t>Spurlos Trittlos</t>
  </si>
  <si>
    <t>IN/GE/GE</t>
  </si>
  <si>
    <t>Elf6, Dru3, Geo3, Hex2</t>
  </si>
  <si>
    <t>Standfest Katzengleich</t>
  </si>
  <si>
    <t>Ach2, Elf2</t>
  </si>
  <si>
    <t>Staub wandle!</t>
  </si>
  <si>
    <t>Elementar (Erz)</t>
  </si>
  <si>
    <t>Stein wandle!</t>
  </si>
  <si>
    <t>Stillstand</t>
  </si>
  <si>
    <t>Elementar (Eis), Umwelt</t>
  </si>
  <si>
    <t>Ach3, Geo2</t>
  </si>
  <si>
    <t>Sumus Elixiere</t>
  </si>
  <si>
    <t>Elementar (Humus)</t>
  </si>
  <si>
    <t>Geo5, Dru4, Hex3, Mag(Dru)2</t>
  </si>
  <si>
    <t>Tauschrausch</t>
  </si>
  <si>
    <t>IN/FF/KO</t>
  </si>
  <si>
    <t>Tempus Stasis</t>
  </si>
  <si>
    <t>Hex6, Dru2, Geo2, Elf(Hex)2</t>
  </si>
  <si>
    <t>Elf5, Geo5, Ach4, Dru4, Hex4, Mag3</t>
  </si>
  <si>
    <t>Tlalucs Odem Pestgestank</t>
  </si>
  <si>
    <t>Beschwörung, Dämonisch (allgemein), Schaden</t>
  </si>
  <si>
    <t>Mag3, Bor2, Dru2, Hex2</t>
  </si>
  <si>
    <t>Totes handle!</t>
  </si>
  <si>
    <t>Beschwörung, Dämonisch (Thargunitoth)</t>
  </si>
  <si>
    <t>Transformatio Formgestalt</t>
  </si>
  <si>
    <t>Objekt, Form</t>
  </si>
  <si>
    <t>Ach3, Geo1, Mag1</t>
  </si>
  <si>
    <t>Transmutare Körperform</t>
  </si>
  <si>
    <t>Transversalis Teleport</t>
  </si>
  <si>
    <t>Traumgestalt</t>
  </si>
  <si>
    <t>Hex5, Dru3, Elf3, Mag2</t>
  </si>
  <si>
    <t>Unberührt von Satinav</t>
  </si>
  <si>
    <t>Ach6, Mag4, Elf1</t>
  </si>
  <si>
    <t>Unitatio Geistesbund</t>
  </si>
  <si>
    <t>Verständigung, Kraft</t>
  </si>
  <si>
    <t>Elf7, Hex6, Mag6, Ach4, Dru4, Geo4</t>
  </si>
  <si>
    <t>Unsichtbarer Jäger</t>
  </si>
  <si>
    <t>Elf2, Hex(Elf)1</t>
  </si>
  <si>
    <t>Veränderung aufheben</t>
  </si>
  <si>
    <t>Antimagie, Umwelt</t>
  </si>
  <si>
    <t>Ach5, Geo5, Mag5, Dru4</t>
  </si>
  <si>
    <t>Verschwindibus</t>
  </si>
  <si>
    <t>Verständigung stören</t>
  </si>
  <si>
    <t>Antimagie, Verständigung</t>
  </si>
  <si>
    <t>Elf6, Ach5, Dru5, Mag5, Geo4, Hex3</t>
  </si>
  <si>
    <t>Verwandlung beenden</t>
  </si>
  <si>
    <t>Antimagie, Form</t>
  </si>
  <si>
    <t>Dru5, Hex5, Mag5, Geo4</t>
  </si>
  <si>
    <t>Vipernblick</t>
  </si>
  <si>
    <t>Visibili Vanitar</t>
  </si>
  <si>
    <t>Elf6, Mag5, Sch5, Srl3</t>
  </si>
  <si>
    <t>Vocolimbo hohler Klang</t>
  </si>
  <si>
    <t>Mag5, Srl5, Sch(Mag)2</t>
  </si>
  <si>
    <t>Vogelzwitschern Glockenspiel</t>
  </si>
  <si>
    <t>Mag5, Srl5, Sch3</t>
  </si>
  <si>
    <t>Wand aus Dornen</t>
  </si>
  <si>
    <t>Geo4, Dru3, Mag3</t>
  </si>
  <si>
    <t>Wand aus Flammen</t>
  </si>
  <si>
    <t>Elementar (Feuer)</t>
  </si>
  <si>
    <t>Geo4, Mag4, Dru4</t>
  </si>
  <si>
    <t>Wand aus Erz</t>
  </si>
  <si>
    <t>Wand aus Luft</t>
  </si>
  <si>
    <t>Elementar (Luft)</t>
  </si>
  <si>
    <t>Wand aus Wasser</t>
  </si>
  <si>
    <t>Elementar (Wasser)</t>
  </si>
  <si>
    <t>Warmes Blut</t>
  </si>
  <si>
    <t>MU/IN/IN</t>
  </si>
  <si>
    <t>Eigenschaften, Hellsicht, Elementar (Feuer)</t>
  </si>
  <si>
    <t>Ach7</t>
  </si>
  <si>
    <t>Wasseratem</t>
  </si>
  <si>
    <t>Elf6, Dru2, Geo2, Mag2</t>
  </si>
  <si>
    <t>Weiches erstarre!</t>
  </si>
  <si>
    <t>Elementar (Erz), Umwelt</t>
  </si>
  <si>
    <t>Weihrauchwolke Wohlgeruch</t>
  </si>
  <si>
    <t>Mag5, Srl5, Sch2</t>
  </si>
  <si>
    <t>Weisheit der Bäume</t>
  </si>
  <si>
    <t>Geo4, Dru4, Elf2, Mag(Dru)2, Hex(Geo)1</t>
  </si>
  <si>
    <t>Weiße Mähn und goldener Huf</t>
  </si>
  <si>
    <t>Elf5</t>
  </si>
  <si>
    <t>Wellenlauf</t>
  </si>
  <si>
    <t>MU/GE/GE</t>
  </si>
  <si>
    <t>Elementar (Wasser), Eigenschaften</t>
  </si>
  <si>
    <t>Elf5, Ach2, Dru2, Geo2, Mag(Dru)2</t>
  </si>
  <si>
    <t>Wettermeisterschaft</t>
  </si>
  <si>
    <t>Elementar (Luft), Umwelt</t>
  </si>
  <si>
    <t>Dru5, Geo4, Ach3, Hex2, Mag2</t>
  </si>
  <si>
    <t>Widerwille Ungemach</t>
  </si>
  <si>
    <t>Windhose</t>
  </si>
  <si>
    <t>Dru5, Geo4, Mag2</t>
  </si>
  <si>
    <t>Windstille</t>
  </si>
  <si>
    <t>Wipfellauf</t>
  </si>
  <si>
    <t>Elementar (Humus), Eigenschaften</t>
  </si>
  <si>
    <t>Elf4, Ach2, Geo2, Dru(Geo)2</t>
  </si>
  <si>
    <t>Xenographus Schriftenkunde</t>
  </si>
  <si>
    <t>Zagibu Ubigaz</t>
  </si>
  <si>
    <t>Objekt, Elementar (Erz)</t>
  </si>
  <si>
    <t>Sch7, Mag(Sch)2</t>
  </si>
  <si>
    <t>Zappenduster</t>
  </si>
  <si>
    <t>Zauberklinge Geisterspeer</t>
  </si>
  <si>
    <t>Objekt, Kraft</t>
  </si>
  <si>
    <t>Mag3, Elf2, Hex2, Geo2, Dru(Mag)2, Dru(Geo)2, Dru(Hex)2, Ach1</t>
  </si>
  <si>
    <t>Zaubernahrung Hungerbann</t>
  </si>
  <si>
    <t>Eigenschaften, Einfluss</t>
  </si>
  <si>
    <t>Zauberwesen der Natur</t>
  </si>
  <si>
    <t>Herbeirufung, Verständigung</t>
  </si>
  <si>
    <t>Dru3, Hex3, Sch3, Elf2</t>
  </si>
  <si>
    <t>Herrschaft, Schaden</t>
  </si>
  <si>
    <t>Hex5, Dru3, Geo3, Ach1, Mag1</t>
  </si>
  <si>
    <t>Zorn der Elemente</t>
  </si>
  <si>
    <t>Elementar (allgemein), Schaden</t>
  </si>
  <si>
    <t>Ach5, Dru5, Geo5</t>
  </si>
  <si>
    <t>Zunge lähmen</t>
  </si>
  <si>
    <t>MU/CH/FF</t>
  </si>
  <si>
    <t>Dru5, Geo4, Hex3, Sch3</t>
  </si>
  <si>
    <t>Zwingtanz</t>
  </si>
  <si>
    <t>Dru7, Geo6</t>
  </si>
  <si>
    <t>Bor5, Ach3, Mag3, Bor: Dämonisch (Agrimoth), Umwelt</t>
  </si>
  <si>
    <t>Lernbar</t>
  </si>
  <si>
    <t>Lernen</t>
  </si>
  <si>
    <t>Hexenei</t>
  </si>
  <si>
    <t>MR+2,AE+13,</t>
  </si>
  <si>
    <t>(MU+KL+KO)/5</t>
  </si>
  <si>
    <t>Gerajin Sirella von Tuzak</t>
  </si>
  <si>
    <t xml:space="preserve">CH+1,LE+12, </t>
  </si>
  <si>
    <t>CH steigern nach G</t>
  </si>
  <si>
    <t>Ritualkenntnis</t>
  </si>
  <si>
    <t>Zauber</t>
  </si>
  <si>
    <t>Zwiegespräch</t>
  </si>
  <si>
    <t>2 Aktionen</t>
  </si>
  <si>
    <t>2 AsP</t>
  </si>
  <si>
    <t>Talente</t>
  </si>
  <si>
    <t>Dauer</t>
  </si>
  <si>
    <t>Ziel</t>
  </si>
  <si>
    <t>Wirkungsdauer</t>
  </si>
  <si>
    <t>Hexe</t>
  </si>
  <si>
    <t>so lange Berührung andauert</t>
  </si>
  <si>
    <t>Gegenprobe</t>
  </si>
  <si>
    <t>9 AsP</t>
  </si>
  <si>
    <t>Wirkung</t>
  </si>
  <si>
    <t>GE,KO,KK -6 |  Jede Kraftanstrengung schmerz, besondere Kraftakte nicht möglich. Pro SR KO Probe auf RkP*+3 (pro Gelingen Erschwerniss -1)</t>
  </si>
  <si>
    <t>Dinge aufspüren</t>
  </si>
  <si>
    <t>7 Aktionen</t>
  </si>
  <si>
    <t>3 AsP</t>
  </si>
  <si>
    <t>Einzelobjekt</t>
  </si>
  <si>
    <t>RkW in Meilen</t>
  </si>
  <si>
    <t>RkP* SR</t>
  </si>
  <si>
    <t>Hexe finden</t>
  </si>
  <si>
    <t>5 Aktionen</t>
  </si>
  <si>
    <t>Tiersinne</t>
  </si>
  <si>
    <t>3 AsP + 2 AsP*SR</t>
  </si>
  <si>
    <t>max RkP*SR</t>
  </si>
  <si>
    <t>Ungesehener Beobachter</t>
  </si>
  <si>
    <t>7 AsP</t>
  </si>
  <si>
    <t>Sonnenauf- oder untergang</t>
  </si>
  <si>
    <t>Elfisch</t>
  </si>
  <si>
    <t>4 AsP</t>
  </si>
  <si>
    <t>1 KR</t>
  </si>
  <si>
    <t>3 Aktionen</t>
  </si>
  <si>
    <t>max. 1 SR (A)</t>
  </si>
  <si>
    <t>30 Aktionen</t>
  </si>
  <si>
    <t>min. 5 Akt - 1 SR</t>
  </si>
  <si>
    <t>1 AsP pro LeP</t>
  </si>
  <si>
    <t>3 Schrtitt</t>
  </si>
  <si>
    <t>1 Aktion</t>
  </si>
  <si>
    <t>6 AsP</t>
  </si>
  <si>
    <t>10 Aktionen</t>
  </si>
  <si>
    <t>1 AsP pro Person</t>
  </si>
  <si>
    <t>selbst, 3 Schritt</t>
  </si>
  <si>
    <t>ZfW AsP</t>
  </si>
  <si>
    <t>augenblicklich, Übelkeit ZfP* KR</t>
  </si>
  <si>
    <t>Achaisches Labor</t>
  </si>
  <si>
    <t>HN</t>
  </si>
  <si>
    <t>5 AsP + 1 AsP SR</t>
  </si>
  <si>
    <t>AsP Aufwand (A)</t>
  </si>
  <si>
    <t>Auftreten des Haares</t>
  </si>
  <si>
    <t>3 AsP + 1 AsP SR</t>
  </si>
  <si>
    <t>je nach AsP max. ZfP*/2 SR</t>
  </si>
  <si>
    <t>20 Aktionen</t>
  </si>
  <si>
    <t>1 AsP pro 3 SR</t>
  </si>
  <si>
    <t>11 AsP</t>
  </si>
  <si>
    <t>max Sonnenaufgang</t>
  </si>
  <si>
    <t>1 AsP pro 5 Stein (min 3)</t>
  </si>
  <si>
    <t>RS*RS-ZfP*/2 (min 4)</t>
  </si>
  <si>
    <t>Max 1 SR (A)</t>
  </si>
  <si>
    <t>4 AsP + 2 AsP pro Gegner</t>
  </si>
  <si>
    <t>5 AsP + 1 AsP KR</t>
  </si>
  <si>
    <t>AsP oder CH</t>
  </si>
  <si>
    <t>augenblicklich (1 Frage)</t>
  </si>
  <si>
    <t>2 AsP plus blockierte AsP</t>
  </si>
  <si>
    <t>Analysis Linse</t>
  </si>
  <si>
    <t>Der Pfad der Verirrten</t>
  </si>
  <si>
    <t>9 ZfP* - 3 Ladungen</t>
  </si>
  <si>
    <t>Ruf der Heroldin</t>
  </si>
  <si>
    <t>Ausrüstung</t>
  </si>
  <si>
    <t>3 AsP pro 10 Aktionen</t>
  </si>
  <si>
    <t>Tierkunde/Fallenstellen/Sinnesschärfe/Atletik (IN/GE/KO)</t>
  </si>
  <si>
    <t>Sinnesschärfe/Planzenkunde/Wildnisleben (MU/IN/FF)</t>
  </si>
  <si>
    <t xml:space="preserve">7 AsP </t>
  </si>
  <si>
    <t>7 AsP + 2 AsP SR</t>
  </si>
  <si>
    <t>50 Aktionen</t>
  </si>
  <si>
    <t>var*</t>
  </si>
  <si>
    <t>7 AsP pro SR</t>
  </si>
  <si>
    <t>Grunddauer 1 Minute (A)</t>
  </si>
  <si>
    <t>1 Stunde, 3 SR</t>
  </si>
  <si>
    <t>27 AsP</t>
  </si>
  <si>
    <t>bis Aufgabe/Bann gelöst</t>
  </si>
  <si>
    <t>Arroganz 6, Brünstigkeit 8, Eitelkeit 7, Feste Gewohnheit (Erdgebundenheit), Gesucht 1 (Praois Kirche auf Maraskan), Kälteempfindlich, Medium, Neugier 8, Rachsucht 9, Randgruppe, Voruteile Praios-Geweihte 8,</t>
  </si>
  <si>
    <t>Bedrolle</t>
  </si>
  <si>
    <t>0,5 Stein</t>
  </si>
  <si>
    <t>5 Stein</t>
  </si>
  <si>
    <t>Vierblättrige Einbeeren</t>
  </si>
  <si>
    <t>95%iger Alkohol</t>
  </si>
  <si>
    <t>400 ml</t>
  </si>
  <si>
    <t>Errechnete neue AP:</t>
  </si>
  <si>
    <t>Errechnete ausgegebene AP:</t>
  </si>
  <si>
    <t>21 (21. Ingrimm 1015 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</si>
</sst>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2"/>
      <color theme="1"/>
      <name val="Bahnschrift Light"/>
      <family val="2"/>
    </font>
    <font>
      <sz val="11"/>
      <color theme="1"/>
      <name val="Calibri"/>
      <family val="2"/>
      <scheme val="minor"/>
    </font>
    <font>
      <sz val="11"/>
      <color theme="1"/>
      <name val="Calibri"/>
      <family val="2"/>
      <scheme val="minor"/>
    </font>
    <font>
      <sz val="20"/>
      <color theme="1"/>
      <name val="Bahnschrift Light"/>
      <family val="2"/>
    </font>
    <font>
      <b/>
      <sz val="20"/>
      <color theme="1"/>
      <name val="Bahnschrift Light"/>
      <family val="2"/>
    </font>
    <font>
      <b/>
      <sz val="11"/>
      <color theme="1"/>
      <name val="Calibri"/>
      <family val="2"/>
      <scheme val="minor"/>
    </font>
    <font>
      <sz val="11"/>
      <color theme="0"/>
      <name val="Calibri"/>
      <family val="2"/>
      <scheme val="minor"/>
    </font>
    <font>
      <sz val="11"/>
      <color rgb="FFFA7D00"/>
      <name val="Calibri"/>
      <family val="2"/>
      <scheme val="minor"/>
    </font>
    <font>
      <u/>
      <sz val="11"/>
      <color theme="11"/>
      <name val="Calibri"/>
      <family val="2"/>
      <scheme val="minor"/>
    </font>
    <font>
      <sz val="8"/>
      <name val="Calibri"/>
      <family val="2"/>
      <scheme val="minor"/>
    </font>
    <font>
      <b/>
      <sz val="10"/>
      <color theme="1"/>
      <name val="Bahnschrift Light"/>
      <family val="2"/>
    </font>
    <font>
      <sz val="10"/>
      <color theme="1"/>
      <name val="Bahnschrift Light"/>
      <family val="2"/>
    </font>
    <font>
      <b/>
      <sz val="11"/>
      <color theme="1"/>
      <name val="Bahnschrift Light"/>
      <family val="2"/>
    </font>
    <font>
      <sz val="11"/>
      <color rgb="FF3F3F76"/>
      <name val="Calibri"/>
      <family val="2"/>
      <scheme val="minor"/>
    </font>
    <font>
      <sz val="14"/>
      <color theme="1"/>
      <name val="Bahnschrift Light"/>
      <family val="2"/>
    </font>
    <font>
      <b/>
      <sz val="14"/>
      <color theme="1"/>
      <name val="Bahnschrift Light"/>
      <family val="2"/>
    </font>
    <font>
      <sz val="14"/>
      <name val="Bahnenschrift"/>
    </font>
    <font>
      <b/>
      <sz val="12"/>
      <color rgb="FFFA7D00"/>
      <name val="Bahnenschrift"/>
    </font>
    <font>
      <sz val="16"/>
      <color theme="1"/>
      <name val="Bahnschrift Light"/>
      <family val="2"/>
    </font>
    <font>
      <sz val="16"/>
      <color theme="1"/>
      <name val="Bahnenschrift"/>
    </font>
    <font>
      <b/>
      <sz val="16"/>
      <color theme="1"/>
      <name val="Calibri"/>
      <family val="2"/>
      <scheme val="minor"/>
    </font>
    <font>
      <sz val="14"/>
      <name val="Bahnschrift"/>
      <family val="2"/>
    </font>
    <font>
      <sz val="14"/>
      <color theme="1"/>
      <name val="Bahnschrift"/>
      <family val="2"/>
    </font>
    <font>
      <b/>
      <sz val="14"/>
      <name val="Bahnschrift"/>
      <family val="2"/>
    </font>
    <font>
      <sz val="14"/>
      <color rgb="FFFA7D00"/>
      <name val="Bahnschrift"/>
      <family val="2"/>
    </font>
    <font>
      <sz val="14"/>
      <color theme="0"/>
      <name val="Bahnschrift"/>
      <family val="2"/>
    </font>
    <font>
      <sz val="8"/>
      <name val="Bahnenschrift"/>
    </font>
    <font>
      <b/>
      <sz val="12"/>
      <color theme="0"/>
      <name val="Bahnenschrift"/>
    </font>
    <font>
      <sz val="14"/>
      <color rgb="FF3F3F76"/>
      <name val="Calibri"/>
      <family val="2"/>
      <scheme val="minor"/>
    </font>
    <font>
      <sz val="14"/>
      <color theme="1"/>
      <name val="Bahnenschrift"/>
    </font>
    <font>
      <sz val="14"/>
      <color theme="0"/>
      <name val="Calibri"/>
      <family val="2"/>
      <scheme val="minor"/>
    </font>
    <font>
      <b/>
      <sz val="12"/>
      <color theme="1"/>
      <name val="Bahnschrift Light"/>
      <family val="2"/>
    </font>
    <font>
      <sz val="12"/>
      <name val="Bahnschrift Light"/>
      <family val="2"/>
    </font>
    <font>
      <sz val="12"/>
      <color rgb="FFFA7D00"/>
      <name val="Bahnschrift Light"/>
      <family val="2"/>
    </font>
    <font>
      <sz val="9"/>
      <color rgb="FF001133"/>
      <name val="Arial"/>
      <family val="2"/>
    </font>
    <font>
      <vertAlign val="superscript"/>
      <sz val="7"/>
      <color rgb="FF001133"/>
      <name val="Arial"/>
      <family val="2"/>
    </font>
    <font>
      <u/>
      <sz val="12"/>
      <color theme="10"/>
      <name val="Bahnschrift Light"/>
      <family val="2"/>
    </font>
    <font>
      <sz val="9"/>
      <name val="Times New Roman"/>
      <family val="1"/>
    </font>
    <font>
      <b/>
      <sz val="9"/>
      <color theme="0"/>
      <name val="Times New Roman"/>
      <family val="1"/>
    </font>
    <font>
      <b/>
      <sz val="9"/>
      <color theme="1"/>
      <name val="Times New Roman"/>
      <family val="1"/>
    </font>
    <font>
      <b/>
      <sz val="11"/>
      <color theme="0"/>
      <name val="Calibri"/>
      <family val="2"/>
      <scheme val="minor"/>
    </font>
    <font>
      <sz val="11"/>
      <color rgb="FF3F3F76"/>
      <name val="Calibri"/>
      <scheme val="minor"/>
    </font>
    <font>
      <sz val="11"/>
      <color theme="1"/>
      <name val="Calibri"/>
      <scheme val="minor"/>
    </font>
    <font>
      <sz val="11"/>
      <color theme="1"/>
      <name val="Bahnschrift"/>
      <family val="2"/>
    </font>
    <font>
      <b/>
      <sz val="11"/>
      <color theme="1"/>
      <name val="Bahnschrift"/>
      <family val="2"/>
    </font>
    <font>
      <sz val="12"/>
      <color theme="1"/>
      <name val="Bahnschrift"/>
      <family val="2"/>
    </font>
    <font>
      <b/>
      <sz val="9"/>
      <color theme="0"/>
      <name val="Bahnschrift"/>
      <family val="2"/>
    </font>
    <font>
      <b/>
      <sz val="11"/>
      <color theme="0"/>
      <name val="Calibri"/>
      <scheme val="minor"/>
    </font>
    <font>
      <b/>
      <sz val="12"/>
      <color rgb="FFFA7D00"/>
      <name val="Bahnschrift Light"/>
      <family val="2"/>
    </font>
    <font>
      <b/>
      <i/>
      <sz val="12"/>
      <color theme="1"/>
      <name val="Bahnschrift Light"/>
      <family val="2"/>
    </font>
  </fonts>
  <fills count="14">
    <fill>
      <patternFill patternType="none"/>
    </fill>
    <fill>
      <patternFill patternType="gray125"/>
    </fill>
    <fill>
      <patternFill patternType="solid">
        <fgColor theme="6"/>
      </patternFill>
    </fill>
    <fill>
      <patternFill patternType="solid">
        <fgColor rgb="FFFFFF00"/>
        <bgColor indexed="64"/>
      </patternFill>
    </fill>
    <fill>
      <patternFill patternType="solid">
        <fgColor theme="4" tint="0.59996337778862885"/>
        <bgColor indexed="64"/>
      </patternFill>
    </fill>
    <fill>
      <patternFill patternType="solid">
        <fgColor theme="2"/>
        <bgColor indexed="64"/>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FFF7A5"/>
        <bgColor indexed="64"/>
      </patternFill>
    </fill>
    <fill>
      <patternFill patternType="solid">
        <fgColor theme="6" tint="0.79998168889431442"/>
        <bgColor indexed="65"/>
      </patternFill>
    </fill>
    <fill>
      <patternFill patternType="solid">
        <fgColor theme="5" tint="0.39997558519241921"/>
        <bgColor indexed="64"/>
      </patternFill>
    </fill>
    <fill>
      <patternFill patternType="solid">
        <fgColor theme="4" tint="0.39997558519241921"/>
        <bgColor indexed="64"/>
      </patternFill>
    </fill>
  </fills>
  <borders count="123">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ck">
        <color indexed="64"/>
      </right>
      <top/>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diagonal/>
    </border>
    <border>
      <left/>
      <right style="thin">
        <color indexed="64"/>
      </right>
      <top/>
      <bottom style="thick">
        <color indexed="64"/>
      </bottom>
      <diagonal/>
    </border>
    <border>
      <left style="thin">
        <color indexed="64"/>
      </left>
      <right style="thin">
        <color indexed="64"/>
      </right>
      <top/>
      <bottom style="thin">
        <color indexed="64"/>
      </bottom>
      <diagonal/>
    </border>
    <border>
      <left/>
      <right style="thick">
        <color indexed="64"/>
      </right>
      <top style="medium">
        <color indexed="64"/>
      </top>
      <bottom style="thin">
        <color indexed="64"/>
      </bottom>
      <diagonal/>
    </border>
    <border>
      <left style="thick">
        <color indexed="64"/>
      </left>
      <right/>
      <top style="medium">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top style="thin">
        <color indexed="64"/>
      </top>
      <bottom/>
      <diagonal/>
    </border>
    <border>
      <left style="thick">
        <color indexed="64"/>
      </left>
      <right/>
      <top style="thin">
        <color indexed="64"/>
      </top>
      <bottom/>
      <diagonal/>
    </border>
    <border>
      <left/>
      <right style="thick">
        <color indexed="64"/>
      </right>
      <top style="thin">
        <color indexed="64"/>
      </top>
      <bottom/>
      <diagonal/>
    </border>
    <border>
      <left style="thin">
        <color indexed="64"/>
      </left>
      <right style="thin">
        <color indexed="64"/>
      </right>
      <top style="thin">
        <color indexed="64"/>
      </top>
      <bottom/>
      <diagonal/>
    </border>
    <border>
      <left style="thick">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ck">
        <color indexed="64"/>
      </bottom>
      <diagonal/>
    </border>
    <border>
      <left/>
      <right/>
      <top/>
      <bottom style="medium">
        <color indexed="64"/>
      </bottom>
      <diagonal/>
    </border>
    <border>
      <left style="thin">
        <color indexed="64"/>
      </left>
      <right/>
      <top style="thin">
        <color rgb="FF7F7F7F"/>
      </top>
      <bottom style="thin">
        <color indexed="64"/>
      </bottom>
      <diagonal/>
    </border>
    <border>
      <left/>
      <right/>
      <top style="thin">
        <color rgb="FF7F7F7F"/>
      </top>
      <bottom style="thin">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rgb="FF7F7F7F"/>
      </left>
      <right style="medium">
        <color indexed="64"/>
      </right>
      <top style="thin">
        <color rgb="FF7F7F7F"/>
      </top>
      <bottom style="medium">
        <color indexed="64"/>
      </bottom>
      <diagonal/>
    </border>
    <border>
      <left style="medium">
        <color indexed="64"/>
      </left>
      <right style="thin">
        <color rgb="FF7F7F7F"/>
      </right>
      <top style="thin">
        <color rgb="FF7F7F7F"/>
      </top>
      <bottom style="thin">
        <color rgb="FF7F7F7F"/>
      </bottom>
      <diagonal/>
    </border>
    <border>
      <left style="medium">
        <color indexed="64"/>
      </left>
      <right style="thin">
        <color rgb="FF7F7F7F"/>
      </right>
      <top style="thin">
        <color rgb="FF7F7F7F"/>
      </top>
      <bottom style="medium">
        <color indexed="64"/>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7F7F7F"/>
      </left>
      <right style="thin">
        <color rgb="FF7F7F7F"/>
      </right>
      <top/>
      <bottom style="medium">
        <color indexed="64"/>
      </bottom>
      <diagonal/>
    </border>
    <border>
      <left style="thin">
        <color rgb="FF7F7F7F"/>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thin">
        <color rgb="FF7F7F7F"/>
      </top>
      <bottom style="thin">
        <color rgb="FF7F7F7F"/>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rgb="FFEEEEEE"/>
      </left>
      <right style="medium">
        <color rgb="FFEEEEEE"/>
      </right>
      <top style="medium">
        <color rgb="FFEEEEEE"/>
      </top>
      <bottom style="medium">
        <color rgb="FFEEEEEE"/>
      </bottom>
      <diagonal/>
    </border>
    <border>
      <left style="medium">
        <color rgb="FFEEEEEE"/>
      </left>
      <right style="medium">
        <color rgb="FFEEEEEE"/>
      </right>
      <top style="medium">
        <color rgb="FFEEEEEE"/>
      </top>
      <bottom style="thick">
        <color rgb="FFEEEEEE"/>
      </bottom>
      <diagonal/>
    </border>
    <border>
      <left style="thin">
        <color rgb="FF7F7F7F"/>
      </left>
      <right/>
      <top/>
      <bottom/>
      <diagonal/>
    </border>
    <border>
      <left style="thin">
        <color rgb="FF7F7F7F"/>
      </left>
      <right style="thin">
        <color rgb="FF7F7F7F"/>
      </right>
      <top style="medium">
        <color indexed="64"/>
      </top>
      <bottom style="thin">
        <color rgb="FF7F7F7F"/>
      </bottom>
      <diagonal/>
    </border>
    <border>
      <left/>
      <right style="thin">
        <color rgb="FF7F7F7F"/>
      </right>
      <top style="thin">
        <color rgb="FF7F7F7F"/>
      </top>
      <bottom style="thin">
        <color rgb="FF7F7F7F"/>
      </bottom>
      <diagonal/>
    </border>
    <border>
      <left style="medium">
        <color indexed="64"/>
      </left>
      <right style="thin">
        <color rgb="FF7F7F7F"/>
      </right>
      <top style="medium">
        <color indexed="64"/>
      </top>
      <bottom style="thin">
        <color rgb="FF7F7F7F"/>
      </bottom>
      <diagonal/>
    </border>
    <border>
      <left style="thin">
        <color rgb="FF7F7F7F"/>
      </left>
      <right style="medium">
        <color indexed="64"/>
      </right>
      <top style="medium">
        <color indexed="64"/>
      </top>
      <bottom style="medium">
        <color indexed="64"/>
      </bottom>
      <diagonal/>
    </border>
    <border>
      <left/>
      <right style="medium">
        <color indexed="64"/>
      </right>
      <top style="thin">
        <color rgb="FF7F7F7F"/>
      </top>
      <bottom style="thin">
        <color rgb="FF7F7F7F"/>
      </bottom>
      <diagonal/>
    </border>
    <border>
      <left/>
      <right style="medium">
        <color indexed="64"/>
      </right>
      <top style="thin">
        <color rgb="FF7F7F7F"/>
      </top>
      <bottom style="thin">
        <color indexed="64"/>
      </bottom>
      <diagonal/>
    </border>
    <border>
      <left/>
      <right style="medium">
        <color indexed="64"/>
      </right>
      <top style="thin">
        <color indexed="64"/>
      </top>
      <bottom style="thin">
        <color indexed="64"/>
      </bottom>
      <diagonal/>
    </border>
    <border>
      <left style="thin">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thin">
        <color rgb="FF7F7F7F"/>
      </left>
      <right/>
      <top style="thin">
        <color rgb="FF7F7F7F"/>
      </top>
      <bottom style="thin">
        <color rgb="FF7F7F7F"/>
      </bottom>
      <diagonal/>
    </border>
    <border>
      <left style="medium">
        <color indexed="64"/>
      </left>
      <right style="medium">
        <color indexed="64"/>
      </right>
      <top style="medium">
        <color indexed="64"/>
      </top>
      <bottom style="thin">
        <color rgb="FF7F7F7F"/>
      </bottom>
      <diagonal/>
    </border>
    <border>
      <left style="thin">
        <color rgb="FF7F7F7F"/>
      </left>
      <right/>
      <top style="medium">
        <color indexed="64"/>
      </top>
      <bottom style="thin">
        <color rgb="FF7F7F7F"/>
      </bottom>
      <diagonal/>
    </border>
    <border>
      <left/>
      <right style="thin">
        <color rgb="FF7F7F7F"/>
      </right>
      <top style="medium">
        <color indexed="64"/>
      </top>
      <bottom style="thin">
        <color rgb="FF7F7F7F"/>
      </bottom>
      <diagonal/>
    </border>
    <border>
      <left style="thin">
        <color rgb="FF7F7F7F"/>
      </left>
      <right/>
      <top style="thin">
        <color rgb="FF7F7F7F"/>
      </top>
      <bottom style="medium">
        <color indexed="64"/>
      </bottom>
      <diagonal/>
    </border>
    <border>
      <left/>
      <right style="thin">
        <color rgb="FF7F7F7F"/>
      </right>
      <top style="thin">
        <color rgb="FF7F7F7F"/>
      </top>
      <bottom/>
      <diagonal/>
    </border>
    <border>
      <left style="medium">
        <color indexed="64"/>
      </left>
      <right/>
      <top style="thin">
        <color rgb="FF7F7F7F"/>
      </top>
      <bottom style="thin">
        <color rgb="FF7F7F7F"/>
      </bottom>
      <diagonal/>
    </border>
    <border>
      <left style="medium">
        <color indexed="64"/>
      </left>
      <right/>
      <top style="thin">
        <color rgb="FF7F7F7F"/>
      </top>
      <bottom style="medium">
        <color indexed="64"/>
      </bottom>
      <diagonal/>
    </border>
    <border>
      <left/>
      <right style="thin">
        <color rgb="FF7F7F7F"/>
      </right>
      <top style="thin">
        <color rgb="FF7F7F7F"/>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ck">
        <color indexed="64"/>
      </bottom>
      <diagonal/>
    </border>
    <border>
      <left style="thick">
        <color indexed="64"/>
      </left>
      <right style="thin">
        <color rgb="FF7F7F7F"/>
      </right>
      <top style="medium">
        <color indexed="64"/>
      </top>
      <bottom style="thick">
        <color indexed="64"/>
      </bottom>
      <diagonal/>
    </border>
    <border>
      <left style="thin">
        <color rgb="FF7F7F7F"/>
      </left>
      <right style="thick">
        <color indexed="64"/>
      </right>
      <top style="medium">
        <color indexed="64"/>
      </top>
      <bottom style="thick">
        <color indexed="64"/>
      </bottom>
      <diagonal/>
    </border>
    <border>
      <left style="thin">
        <color rgb="FF7F7F7F"/>
      </left>
      <right style="medium">
        <color indexed="64"/>
      </right>
      <top style="medium">
        <color indexed="64"/>
      </top>
      <bottom style="thick">
        <color indexed="64"/>
      </bottom>
      <diagonal/>
    </border>
    <border>
      <left style="thin">
        <color rgb="FF7F7F7F"/>
      </left>
      <right/>
      <top style="medium">
        <color indexed="64"/>
      </top>
      <bottom style="medium">
        <color indexed="64"/>
      </bottom>
      <diagonal/>
    </border>
    <border>
      <left style="thin">
        <color rgb="FF7F7F7F"/>
      </left>
      <right style="thin">
        <color rgb="FF7F7F7F"/>
      </right>
      <top/>
      <bottom/>
      <diagonal/>
    </border>
    <border>
      <left style="thin">
        <color theme="4" tint="0.39997558519241921"/>
      </left>
      <right/>
      <top style="thin">
        <color theme="4" tint="0.39997558519241921"/>
      </top>
      <bottom/>
      <diagonal/>
    </border>
    <border>
      <left style="medium">
        <color indexed="64"/>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thin">
        <color rgb="FF7F7F7F"/>
      </top>
      <bottom style="medium">
        <color indexed="64"/>
      </bottom>
      <diagonal/>
    </border>
    <border>
      <left style="medium">
        <color indexed="64"/>
      </left>
      <right style="thin">
        <color rgb="FF7F7F7F"/>
      </right>
      <top/>
      <bottom style="medium">
        <color indexed="64"/>
      </bottom>
      <diagonal/>
    </border>
  </borders>
  <cellStyleXfs count="10">
    <xf numFmtId="0" fontId="0" fillId="0" borderId="0"/>
    <xf numFmtId="0" fontId="32" fillId="4" borderId="51" applyNumberFormat="0" applyAlignment="0" applyProtection="0"/>
    <xf numFmtId="0" fontId="6" fillId="2" borderId="0" applyNumberFormat="0" applyBorder="0" applyAlignment="0" applyProtection="0"/>
    <xf numFmtId="0" fontId="33" fillId="5" borderId="51" applyNumberFormat="0" applyAlignment="0" applyProtection="0"/>
    <xf numFmtId="0" fontId="8" fillId="0" borderId="0" applyNumberFormat="0" applyFill="0" applyBorder="0" applyAlignment="0" applyProtection="0"/>
    <xf numFmtId="0" fontId="6" fillId="6" borderId="83" applyNumberFormat="0" applyAlignment="0"/>
    <xf numFmtId="0" fontId="31" fillId="0" borderId="0">
      <alignment horizontal="center"/>
    </xf>
    <xf numFmtId="0" fontId="36" fillId="0" borderId="0" applyNumberFormat="0" applyFill="0" applyBorder="0" applyAlignment="0" applyProtection="0"/>
    <xf numFmtId="0" fontId="1" fillId="11" borderId="0" applyNumberFormat="0" applyBorder="0" applyAlignment="0" applyProtection="0"/>
    <xf numFmtId="0" fontId="37" fillId="0" borderId="0"/>
  </cellStyleXfs>
  <cellXfs count="544">
    <xf numFmtId="0" fontId="0" fillId="0" borderId="0" xfId="0"/>
    <xf numFmtId="0" fontId="3" fillId="0" borderId="8" xfId="0" applyFont="1" applyBorder="1"/>
    <xf numFmtId="0" fontId="3" fillId="0" borderId="0" xfId="0" applyFont="1"/>
    <xf numFmtId="0" fontId="3" fillId="0" borderId="5" xfId="0" applyFont="1" applyBorder="1"/>
    <xf numFmtId="0" fontId="3" fillId="0" borderId="25" xfId="0" applyFont="1" applyBorder="1"/>
    <xf numFmtId="0" fontId="3" fillId="0" borderId="10" xfId="0" applyFont="1" applyBorder="1"/>
    <xf numFmtId="0" fontId="3" fillId="0" borderId="12" xfId="0" applyFont="1" applyBorder="1"/>
    <xf numFmtId="0" fontId="3" fillId="0" borderId="35" xfId="0" applyFont="1" applyBorder="1"/>
    <xf numFmtId="0" fontId="3" fillId="0" borderId="34" xfId="0" applyFont="1" applyBorder="1"/>
    <xf numFmtId="0" fontId="3" fillId="0" borderId="41" xfId="0" applyFont="1" applyBorder="1"/>
    <xf numFmtId="0" fontId="3" fillId="0" borderId="45" xfId="0" applyFont="1" applyBorder="1"/>
    <xf numFmtId="0" fontId="4" fillId="0" borderId="0" xfId="0" applyFont="1"/>
    <xf numFmtId="0" fontId="3" fillId="0" borderId="30" xfId="0" applyFont="1" applyBorder="1" applyAlignment="1">
      <alignment horizontal="center" vertical="center"/>
    </xf>
    <xf numFmtId="0" fontId="3" fillId="0" borderId="6" xfId="0" applyFont="1" applyBorder="1" applyAlignment="1">
      <alignment horizontal="center" vertical="center"/>
    </xf>
    <xf numFmtId="0" fontId="0" fillId="0" borderId="5" xfId="0" applyBorder="1"/>
    <xf numFmtId="0" fontId="0" fillId="0" borderId="26" xfId="0" applyBorder="1"/>
    <xf numFmtId="0" fontId="0" fillId="0" borderId="0" xfId="0" applyAlignment="1">
      <alignment wrapText="1"/>
    </xf>
    <xf numFmtId="0" fontId="10" fillId="0" borderId="37" xfId="0" applyFont="1" applyBorder="1" applyAlignment="1">
      <alignment horizontal="center" vertical="center"/>
    </xf>
    <xf numFmtId="0" fontId="11" fillId="0" borderId="37" xfId="0" applyFont="1" applyBorder="1" applyAlignment="1">
      <alignment horizontal="center" vertical="center"/>
    </xf>
    <xf numFmtId="0" fontId="8" fillId="0" borderId="37" xfId="4" applyBorder="1" applyAlignment="1">
      <alignment horizontal="center" vertical="center"/>
    </xf>
    <xf numFmtId="0" fontId="7" fillId="5" borderId="51" xfId="3" applyFont="1" applyAlignment="1">
      <alignment horizontal="center" vertical="center"/>
    </xf>
    <xf numFmtId="1" fontId="7" fillId="5" borderId="51" xfId="3" applyNumberFormat="1" applyFont="1" applyAlignment="1">
      <alignment horizontal="center" vertical="center"/>
    </xf>
    <xf numFmtId="1" fontId="33" fillId="5" borderId="51" xfId="3" applyNumberFormat="1" applyAlignment="1">
      <alignment horizontal="center" vertical="center"/>
    </xf>
    <xf numFmtId="0" fontId="8" fillId="0" borderId="10" xfId="4" applyBorder="1" applyAlignment="1">
      <alignment horizontal="center" vertical="center"/>
    </xf>
    <xf numFmtId="1" fontId="33" fillId="5" borderId="51" xfId="3" applyNumberFormat="1" applyAlignment="1">
      <alignment vertical="center"/>
    </xf>
    <xf numFmtId="0" fontId="8" fillId="0" borderId="10" xfId="4" applyBorder="1" applyAlignment="1">
      <alignment vertical="center"/>
    </xf>
    <xf numFmtId="0" fontId="3" fillId="3" borderId="8" xfId="0" applyFont="1" applyFill="1" applyBorder="1" applyAlignment="1">
      <alignment vertical="center"/>
    </xf>
    <xf numFmtId="0" fontId="3" fillId="3" borderId="7"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4" xfId="0" applyFont="1" applyFill="1" applyBorder="1" applyAlignment="1">
      <alignment vertical="center"/>
    </xf>
    <xf numFmtId="0" fontId="3" fillId="3" borderId="2" xfId="0" applyFont="1" applyFill="1" applyBorder="1" applyAlignment="1">
      <alignment vertical="center"/>
    </xf>
    <xf numFmtId="0" fontId="3" fillId="3" borderId="8" xfId="0" quotePrefix="1" applyFont="1" applyFill="1" applyBorder="1" applyAlignment="1">
      <alignment horizontal="center" vertical="center"/>
    </xf>
    <xf numFmtId="1" fontId="3" fillId="3" borderId="8" xfId="0" applyNumberFormat="1" applyFont="1" applyFill="1" applyBorder="1" applyAlignment="1">
      <alignment vertical="center"/>
    </xf>
    <xf numFmtId="0" fontId="3" fillId="3" borderId="7" xfId="0" applyFont="1" applyFill="1" applyBorder="1" applyAlignment="1">
      <alignment vertical="center"/>
    </xf>
    <xf numFmtId="0" fontId="3" fillId="3" borderId="10" xfId="0" applyFont="1" applyFill="1" applyBorder="1" applyAlignment="1">
      <alignment vertical="center"/>
    </xf>
    <xf numFmtId="1" fontId="3" fillId="0" borderId="36" xfId="0" applyNumberFormat="1" applyFont="1" applyBorder="1" applyAlignment="1">
      <alignment horizontal="left"/>
    </xf>
    <xf numFmtId="0" fontId="6" fillId="2" borderId="0" xfId="2" applyBorder="1" applyAlignment="1">
      <alignment horizontal="center" vertical="center"/>
    </xf>
    <xf numFmtId="0" fontId="3" fillId="0" borderId="41" xfId="0" applyFont="1" applyBorder="1" applyAlignment="1">
      <alignment vertical="center"/>
    </xf>
    <xf numFmtId="0" fontId="3" fillId="0" borderId="8" xfId="0" applyFont="1" applyBorder="1" applyAlignment="1">
      <alignment vertical="center"/>
    </xf>
    <xf numFmtId="0" fontId="4" fillId="0" borderId="37" xfId="0" applyFont="1" applyBorder="1" applyAlignment="1">
      <alignment vertical="center"/>
    </xf>
    <xf numFmtId="0" fontId="0" fillId="0" borderId="64" xfId="0" applyBorder="1"/>
    <xf numFmtId="0" fontId="0" fillId="0" borderId="61" xfId="0" applyBorder="1" applyAlignment="1">
      <alignment horizontal="center"/>
    </xf>
    <xf numFmtId="0" fontId="0" fillId="0" borderId="63" xfId="0" applyBorder="1" applyAlignment="1">
      <alignment horizontal="center"/>
    </xf>
    <xf numFmtId="0" fontId="0" fillId="0" borderId="65" xfId="0" applyBorder="1" applyAlignment="1">
      <alignment horizontal="center"/>
    </xf>
    <xf numFmtId="0" fontId="0" fillId="0" borderId="66" xfId="0" applyBorder="1" applyAlignment="1">
      <alignment horizontal="center"/>
    </xf>
    <xf numFmtId="0" fontId="0" fillId="0" borderId="0" xfId="0" applyAlignment="1">
      <alignment horizontal="right"/>
    </xf>
    <xf numFmtId="0" fontId="33" fillId="5" borderId="51" xfId="3" applyAlignment="1">
      <alignment horizontal="center"/>
    </xf>
    <xf numFmtId="0" fontId="0" fillId="0" borderId="67" xfId="0" applyBorder="1"/>
    <xf numFmtId="0" fontId="0" fillId="0" borderId="68" xfId="0" applyBorder="1"/>
    <xf numFmtId="0" fontId="0" fillId="0" borderId="69" xfId="0" applyBorder="1"/>
    <xf numFmtId="0" fontId="5" fillId="0" borderId="0" xfId="0" applyFont="1"/>
    <xf numFmtId="0" fontId="14" fillId="0" borderId="0" xfId="0" applyFont="1"/>
    <xf numFmtId="0" fontId="5" fillId="0" borderId="62" xfId="0" applyFont="1" applyBorder="1" applyAlignment="1">
      <alignment horizontal="center"/>
    </xf>
    <xf numFmtId="0" fontId="6" fillId="2" borderId="39" xfId="2" applyBorder="1" applyAlignment="1">
      <alignment horizontal="center" vertical="center"/>
    </xf>
    <xf numFmtId="1" fontId="33" fillId="5" borderId="71" xfId="3" applyNumberFormat="1" applyBorder="1" applyAlignment="1">
      <alignment horizontal="center"/>
    </xf>
    <xf numFmtId="0" fontId="33" fillId="5" borderId="72" xfId="3" applyBorder="1" applyAlignment="1">
      <alignment horizontal="center"/>
    </xf>
    <xf numFmtId="1" fontId="33" fillId="5" borderId="72" xfId="3" applyNumberFormat="1" applyBorder="1" applyAlignment="1">
      <alignment horizontal="center"/>
    </xf>
    <xf numFmtId="0" fontId="32" fillId="4" borderId="51" xfId="1" applyAlignment="1">
      <alignment horizontal="center"/>
    </xf>
    <xf numFmtId="1" fontId="33" fillId="5" borderId="73" xfId="3" applyNumberFormat="1" applyBorder="1" applyAlignment="1">
      <alignment horizontal="center"/>
    </xf>
    <xf numFmtId="0" fontId="6" fillId="2" borderId="53" xfId="2" applyBorder="1" applyAlignment="1">
      <alignment horizontal="center" vertical="center"/>
    </xf>
    <xf numFmtId="0" fontId="13" fillId="4" borderId="74" xfId="1" applyFont="1" applyBorder="1"/>
    <xf numFmtId="0" fontId="13" fillId="4" borderId="51" xfId="1" applyFont="1" applyAlignment="1">
      <alignment horizontal="center"/>
    </xf>
    <xf numFmtId="0" fontId="13" fillId="4" borderId="72" xfId="1" applyFont="1" applyBorder="1" applyAlignment="1">
      <alignment horizontal="center"/>
    </xf>
    <xf numFmtId="0" fontId="13" fillId="4" borderId="75" xfId="1" applyFont="1" applyBorder="1"/>
    <xf numFmtId="0" fontId="13" fillId="4" borderId="70" xfId="1" applyFont="1" applyBorder="1" applyAlignment="1">
      <alignment horizontal="center"/>
    </xf>
    <xf numFmtId="0" fontId="13" fillId="4" borderId="73" xfId="1" applyFont="1" applyBorder="1" applyAlignment="1">
      <alignment horizontal="center"/>
    </xf>
    <xf numFmtId="0" fontId="5" fillId="0" borderId="58" xfId="0" applyFont="1" applyBorder="1"/>
    <xf numFmtId="0" fontId="5" fillId="0" borderId="0" xfId="0" applyFont="1" applyAlignment="1">
      <alignment horizontal="center"/>
    </xf>
    <xf numFmtId="0" fontId="5" fillId="0" borderId="61" xfId="0" applyFont="1" applyBorder="1" applyAlignment="1">
      <alignment horizontal="center"/>
    </xf>
    <xf numFmtId="0" fontId="5" fillId="0" borderId="60" xfId="0" applyFont="1" applyBorder="1" applyAlignment="1">
      <alignment horizontal="center"/>
    </xf>
    <xf numFmtId="0" fontId="5" fillId="0" borderId="62" xfId="0" applyFont="1" applyBorder="1"/>
    <xf numFmtId="0" fontId="5" fillId="0" borderId="58" xfId="0" applyFont="1" applyBorder="1" applyAlignment="1">
      <alignment horizontal="center" vertical="center"/>
    </xf>
    <xf numFmtId="0" fontId="5" fillId="0" borderId="39" xfId="0" applyFont="1" applyBorder="1" applyAlignment="1">
      <alignment horizontal="center" vertical="center"/>
    </xf>
    <xf numFmtId="0" fontId="5" fillId="0" borderId="62" xfId="0" applyFont="1" applyBorder="1" applyAlignment="1">
      <alignment horizontal="center" vertical="center"/>
    </xf>
    <xf numFmtId="0" fontId="5" fillId="0" borderId="53" xfId="0" applyFont="1" applyBorder="1" applyAlignment="1">
      <alignment horizontal="center" vertical="center"/>
    </xf>
    <xf numFmtId="0" fontId="6" fillId="2" borderId="61" xfId="2" applyBorder="1" applyAlignment="1">
      <alignment horizontal="center" vertical="center"/>
    </xf>
    <xf numFmtId="0" fontId="6" fillId="2" borderId="63" xfId="2" applyBorder="1" applyAlignment="1">
      <alignment horizontal="center" vertical="center"/>
    </xf>
    <xf numFmtId="0" fontId="33" fillId="5" borderId="73" xfId="3" applyBorder="1" applyAlignment="1">
      <alignment horizontal="center"/>
    </xf>
    <xf numFmtId="0" fontId="33" fillId="5" borderId="76" xfId="3" applyBorder="1" applyAlignment="1">
      <alignment horizontal="center"/>
    </xf>
    <xf numFmtId="0" fontId="33" fillId="5" borderId="77" xfId="3" applyBorder="1" applyAlignment="1">
      <alignment horizontal="center"/>
    </xf>
    <xf numFmtId="0" fontId="32" fillId="4" borderId="8" xfId="1" applyBorder="1" applyAlignment="1">
      <alignment horizontal="center"/>
    </xf>
    <xf numFmtId="0" fontId="0" fillId="0" borderId="78" xfId="0" applyBorder="1" applyAlignment="1">
      <alignment horizontal="center"/>
    </xf>
    <xf numFmtId="1" fontId="33" fillId="5" borderId="79" xfId="3" applyNumberFormat="1" applyBorder="1" applyAlignment="1">
      <alignment horizontal="center"/>
    </xf>
    <xf numFmtId="1" fontId="33" fillId="5" borderId="80" xfId="3" applyNumberFormat="1" applyBorder="1" applyAlignment="1">
      <alignment horizontal="center"/>
    </xf>
    <xf numFmtId="0" fontId="12" fillId="0" borderId="53" xfId="0" applyFont="1" applyBorder="1"/>
    <xf numFmtId="0" fontId="32" fillId="4" borderId="81" xfId="1" applyBorder="1" applyAlignment="1">
      <alignment horizontal="center"/>
    </xf>
    <xf numFmtId="0" fontId="32" fillId="4" borderId="82" xfId="1" applyBorder="1" applyAlignment="1">
      <alignment horizontal="center"/>
    </xf>
    <xf numFmtId="1" fontId="17" fillId="5" borderId="51" xfId="3" applyNumberFormat="1" applyFont="1" applyAlignment="1">
      <alignment horizontal="center" vertical="center"/>
    </xf>
    <xf numFmtId="0" fontId="18" fillId="0" borderId="0" xfId="0" applyFont="1"/>
    <xf numFmtId="0" fontId="19" fillId="0" borderId="0" xfId="0" applyFont="1"/>
    <xf numFmtId="0" fontId="20" fillId="0" borderId="0" xfId="0" applyFont="1" applyAlignment="1">
      <alignment horizontal="center"/>
    </xf>
    <xf numFmtId="0" fontId="20" fillId="0" borderId="0" xfId="0" applyFont="1"/>
    <xf numFmtId="0" fontId="19" fillId="0" borderId="1" xfId="0" applyFont="1" applyBorder="1" applyAlignment="1">
      <alignment horizontal="center"/>
    </xf>
    <xf numFmtId="0" fontId="19" fillId="0" borderId="0" xfId="0" applyFont="1" applyAlignment="1">
      <alignment horizontal="center"/>
    </xf>
    <xf numFmtId="0" fontId="22" fillId="0" borderId="0" xfId="0" applyFont="1"/>
    <xf numFmtId="0" fontId="22" fillId="0" borderId="0" xfId="0" applyFont="1" applyAlignment="1">
      <alignment vertical="center"/>
    </xf>
    <xf numFmtId="0" fontId="22" fillId="0" borderId="46" xfId="0" applyFont="1" applyBorder="1" applyAlignment="1">
      <alignment vertical="center"/>
    </xf>
    <xf numFmtId="0" fontId="22" fillId="0" borderId="1" xfId="0" applyFont="1" applyBorder="1" applyAlignment="1">
      <alignment vertical="center"/>
    </xf>
    <xf numFmtId="0" fontId="23" fillId="0" borderId="0" xfId="0" applyFont="1" applyAlignment="1">
      <alignment horizontal="center" vertical="center"/>
    </xf>
    <xf numFmtId="0" fontId="22" fillId="0" borderId="3" xfId="0" applyFont="1" applyBorder="1" applyAlignment="1">
      <alignment vertical="center"/>
    </xf>
    <xf numFmtId="0" fontId="22" fillId="0" borderId="4" xfId="0" applyFont="1" applyBorder="1" applyAlignment="1">
      <alignment vertical="center"/>
    </xf>
    <xf numFmtId="0" fontId="22" fillId="0" borderId="0" xfId="0" applyFont="1" applyAlignment="1">
      <alignment horizontal="left" vertical="center"/>
    </xf>
    <xf numFmtId="0" fontId="0" fillId="8" borderId="85" xfId="0" applyFill="1" applyBorder="1"/>
    <xf numFmtId="0" fontId="0" fillId="0" borderId="85" xfId="0" applyBorder="1"/>
    <xf numFmtId="0" fontId="0" fillId="8" borderId="85" xfId="0" applyFill="1" applyBorder="1" applyAlignment="1">
      <alignment wrapText="1"/>
    </xf>
    <xf numFmtId="0" fontId="0" fillId="8" borderId="85" xfId="0" applyFill="1" applyBorder="1" applyAlignment="1">
      <alignment horizontal="center" vertical="center" wrapText="1"/>
    </xf>
    <xf numFmtId="0" fontId="0" fillId="0" borderId="85" xfId="0" applyBorder="1" applyAlignment="1">
      <alignment wrapText="1"/>
    </xf>
    <xf numFmtId="0" fontId="0" fillId="0" borderId="85" xfId="0" applyBorder="1" applyAlignment="1">
      <alignment horizontal="center" vertical="center" wrapText="1"/>
    </xf>
    <xf numFmtId="0" fontId="27" fillId="7" borderId="86" xfId="0" applyFont="1" applyFill="1" applyBorder="1"/>
    <xf numFmtId="0" fontId="0" fillId="8" borderId="87" xfId="0" applyFill="1" applyBorder="1"/>
    <xf numFmtId="0" fontId="0" fillId="8" borderId="87" xfId="0" applyFill="1" applyBorder="1" applyAlignment="1">
      <alignment wrapText="1"/>
    </xf>
    <xf numFmtId="0" fontId="0" fillId="8" borderId="87" xfId="0" applyFill="1" applyBorder="1" applyAlignment="1">
      <alignment horizontal="center" vertical="center" wrapText="1"/>
    </xf>
    <xf numFmtId="0" fontId="14" fillId="0" borderId="0" xfId="0" applyFont="1" applyAlignment="1">
      <alignment wrapText="1"/>
    </xf>
    <xf numFmtId="0" fontId="15" fillId="0" borderId="18" xfId="0" applyFont="1" applyBorder="1" applyAlignment="1">
      <alignment horizontal="left" vertical="center"/>
    </xf>
    <xf numFmtId="0" fontId="15" fillId="0" borderId="19" xfId="0" applyFont="1" applyBorder="1" applyAlignment="1">
      <alignment horizontal="left" vertical="center"/>
    </xf>
    <xf numFmtId="0" fontId="14" fillId="0" borderId="37" xfId="0" applyFont="1" applyBorder="1" applyAlignment="1">
      <alignment horizontal="center" vertical="center"/>
    </xf>
    <xf numFmtId="0" fontId="14" fillId="0" borderId="20" xfId="0" applyFont="1" applyBorder="1" applyAlignment="1">
      <alignment horizontal="center" vertical="center"/>
    </xf>
    <xf numFmtId="0" fontId="14" fillId="0" borderId="37" xfId="0" applyFont="1" applyBorder="1" applyAlignment="1">
      <alignment horizontal="center" vertical="center" wrapText="1"/>
    </xf>
    <xf numFmtId="0" fontId="14" fillId="0" borderId="21" xfId="0" applyFont="1" applyBorder="1" applyAlignment="1">
      <alignment horizontal="center" vertical="center"/>
    </xf>
    <xf numFmtId="0" fontId="14" fillId="0" borderId="23" xfId="0" applyFont="1" applyBorder="1" applyAlignment="1">
      <alignment vertical="center"/>
    </xf>
    <xf numFmtId="0" fontId="14" fillId="0" borderId="4" xfId="0" applyFont="1" applyBorder="1" applyAlignment="1">
      <alignment vertical="center" wrapText="1"/>
    </xf>
    <xf numFmtId="0" fontId="28" fillId="4" borderId="51" xfId="1" applyFont="1" applyAlignment="1">
      <alignment horizontal="center" vertical="center"/>
    </xf>
    <xf numFmtId="0" fontId="14" fillId="0" borderId="4" xfId="0" applyFont="1" applyBorder="1" applyAlignment="1">
      <alignment horizontal="center" vertical="center"/>
    </xf>
    <xf numFmtId="0" fontId="14" fillId="0" borderId="8" xfId="0" applyFont="1" applyBorder="1" applyAlignment="1">
      <alignment horizontal="center" vertical="center"/>
    </xf>
    <xf numFmtId="0" fontId="28" fillId="4" borderId="51" xfId="1" applyFont="1" applyAlignment="1">
      <alignment horizontal="center" vertical="center" wrapText="1"/>
    </xf>
    <xf numFmtId="0" fontId="14" fillId="0" borderId="0" xfId="0" applyFont="1" applyAlignment="1">
      <alignment horizontal="center" vertical="center"/>
    </xf>
    <xf numFmtId="0" fontId="15" fillId="0" borderId="23" xfId="0" applyFont="1" applyBorder="1" applyAlignment="1">
      <alignment vertical="center"/>
    </xf>
    <xf numFmtId="0" fontId="15" fillId="0" borderId="1" xfId="0" applyFont="1" applyBorder="1" applyAlignment="1">
      <alignment vertical="center"/>
    </xf>
    <xf numFmtId="0" fontId="14" fillId="0" borderId="4" xfId="0" applyFont="1" applyBorder="1" applyAlignment="1">
      <alignment vertical="center"/>
    </xf>
    <xf numFmtId="0" fontId="14" fillId="0" borderId="29" xfId="0" applyFont="1" applyBorder="1" applyAlignment="1">
      <alignment horizontal="center" vertical="center"/>
    </xf>
    <xf numFmtId="0" fontId="29" fillId="0" borderId="0" xfId="0" applyFont="1"/>
    <xf numFmtId="0" fontId="29" fillId="0" borderId="0" xfId="0" applyFont="1" applyAlignment="1">
      <alignment horizontal="center" vertical="center"/>
    </xf>
    <xf numFmtId="0" fontId="29" fillId="0" borderId="0" xfId="0" applyFont="1" applyAlignment="1">
      <alignment wrapText="1"/>
    </xf>
    <xf numFmtId="0" fontId="15" fillId="0" borderId="19" xfId="0" applyFont="1" applyBorder="1" applyAlignment="1">
      <alignment horizontal="center" vertical="center"/>
    </xf>
    <xf numFmtId="0" fontId="30" fillId="2" borderId="12" xfId="2" applyFont="1" applyBorder="1" applyAlignment="1">
      <alignment horizontal="center" vertical="center"/>
    </xf>
    <xf numFmtId="0" fontId="30" fillId="2" borderId="12" xfId="2" applyFont="1" applyBorder="1" applyAlignment="1">
      <alignment horizontal="center" vertical="center" wrapText="1"/>
    </xf>
    <xf numFmtId="0" fontId="14" fillId="0" borderId="12" xfId="0" applyFont="1" applyBorder="1"/>
    <xf numFmtId="0" fontId="14" fillId="0" borderId="43" xfId="0" applyFont="1" applyBorder="1" applyAlignment="1">
      <alignment horizontal="center" vertical="center"/>
    </xf>
    <xf numFmtId="0" fontId="16" fillId="4" borderId="51" xfId="1" applyFont="1" applyAlignment="1">
      <alignment horizontal="center" vertical="center"/>
    </xf>
    <xf numFmtId="0" fontId="30" fillId="2" borderId="0" xfId="2" applyFont="1" applyBorder="1" applyAlignment="1">
      <alignment horizontal="center" vertical="center"/>
    </xf>
    <xf numFmtId="0" fontId="30" fillId="2" borderId="0" xfId="2" applyFont="1" applyBorder="1" applyAlignment="1">
      <alignment horizontal="center" vertical="center" wrapText="1"/>
    </xf>
    <xf numFmtId="0" fontId="16" fillId="4" borderId="51" xfId="1" applyFont="1" applyAlignment="1">
      <alignment horizontal="center" vertical="center" wrapText="1"/>
    </xf>
    <xf numFmtId="0" fontId="14" fillId="0" borderId="5" xfId="0" applyFont="1" applyBorder="1" applyAlignment="1">
      <alignment horizontal="center" vertical="center"/>
    </xf>
    <xf numFmtId="0" fontId="14" fillId="0" borderId="32" xfId="0" applyFont="1" applyBorder="1" applyAlignment="1">
      <alignment vertical="center"/>
    </xf>
    <xf numFmtId="0" fontId="14" fillId="0" borderId="33" xfId="0" applyFont="1" applyBorder="1" applyAlignment="1">
      <alignment vertical="center" wrapText="1"/>
    </xf>
    <xf numFmtId="0" fontId="14" fillId="0" borderId="33" xfId="0" applyFont="1" applyBorder="1" applyAlignment="1">
      <alignment vertical="center"/>
    </xf>
    <xf numFmtId="0" fontId="16" fillId="4" borderId="52" xfId="1" applyFont="1" applyBorder="1" applyAlignment="1">
      <alignment horizontal="center" vertical="center"/>
    </xf>
    <xf numFmtId="0" fontId="14" fillId="0" borderId="33" xfId="0" applyFont="1" applyBorder="1" applyAlignment="1">
      <alignment horizontal="center" vertical="center"/>
    </xf>
    <xf numFmtId="0" fontId="14" fillId="0" borderId="38" xfId="0" applyFont="1" applyBorder="1" applyAlignment="1">
      <alignment horizontal="center" vertical="center"/>
    </xf>
    <xf numFmtId="0" fontId="30" fillId="2" borderId="25" xfId="2" applyFont="1" applyBorder="1" applyAlignment="1">
      <alignment horizontal="center" vertical="center"/>
    </xf>
    <xf numFmtId="0" fontId="30" fillId="2" borderId="25" xfId="2" applyFont="1" applyBorder="1" applyAlignment="1">
      <alignment horizontal="center" vertical="center" wrapText="1"/>
    </xf>
    <xf numFmtId="0" fontId="14" fillId="0" borderId="25" xfId="0" applyFont="1" applyBorder="1" applyAlignment="1">
      <alignment horizontal="center" vertical="center"/>
    </xf>
    <xf numFmtId="0" fontId="16" fillId="4" borderId="52" xfId="1" applyFont="1" applyBorder="1" applyAlignment="1">
      <alignment horizontal="center" vertical="center" wrapText="1"/>
    </xf>
    <xf numFmtId="0" fontId="33" fillId="5" borderId="51" xfId="3" applyAlignment="1">
      <alignment horizontal="center" vertical="center" wrapText="1"/>
    </xf>
    <xf numFmtId="0" fontId="32" fillId="4" borderId="51" xfId="1"/>
    <xf numFmtId="0" fontId="31" fillId="0" borderId="0" xfId="6">
      <alignment horizontal="center"/>
    </xf>
    <xf numFmtId="0" fontId="18" fillId="0" borderId="0" xfId="0" applyFont="1" applyAlignment="1">
      <alignment horizontal="center"/>
    </xf>
    <xf numFmtId="0" fontId="34" fillId="9" borderId="88" xfId="0" applyFont="1" applyFill="1" applyBorder="1" applyAlignment="1">
      <alignment vertical="center" wrapText="1"/>
    </xf>
    <xf numFmtId="0" fontId="36" fillId="9" borderId="88" xfId="7" applyFill="1" applyBorder="1" applyAlignment="1">
      <alignment vertical="center" wrapText="1"/>
    </xf>
    <xf numFmtId="0" fontId="36" fillId="10" borderId="88" xfId="7" applyFill="1" applyBorder="1" applyAlignment="1">
      <alignment horizontal="center" vertical="center" wrapText="1"/>
    </xf>
    <xf numFmtId="0" fontId="34" fillId="10" borderId="88" xfId="0" applyFont="1" applyFill="1" applyBorder="1" applyAlignment="1">
      <alignment horizontal="center" vertical="center" wrapText="1"/>
    </xf>
    <xf numFmtId="0" fontId="36" fillId="9" borderId="88" xfId="7" applyFill="1" applyBorder="1" applyAlignment="1">
      <alignment horizontal="center" vertical="center" wrapText="1"/>
    </xf>
    <xf numFmtId="0" fontId="34" fillId="9" borderId="88" xfId="0" applyFont="1" applyFill="1" applyBorder="1" applyAlignment="1">
      <alignment horizontal="center" vertical="center" wrapText="1"/>
    </xf>
    <xf numFmtId="0" fontId="36" fillId="9" borderId="89" xfId="7" applyFill="1" applyBorder="1" applyAlignment="1">
      <alignment horizontal="center" vertical="center" wrapText="1"/>
    </xf>
    <xf numFmtId="0" fontId="34" fillId="9" borderId="89" xfId="0" applyFont="1" applyFill="1" applyBorder="1" applyAlignment="1">
      <alignment horizontal="center" vertical="center" wrapText="1"/>
    </xf>
    <xf numFmtId="0" fontId="33" fillId="5" borderId="51" xfId="3"/>
    <xf numFmtId="0" fontId="31" fillId="0" borderId="0" xfId="6" applyAlignment="1">
      <alignment horizontal="left"/>
    </xf>
    <xf numFmtId="0" fontId="32" fillId="4" borderId="51" xfId="1" applyAlignment="1">
      <alignment wrapText="1"/>
    </xf>
    <xf numFmtId="0" fontId="33" fillId="5" borderId="51" xfId="3" applyAlignment="1">
      <alignment wrapText="1"/>
    </xf>
    <xf numFmtId="0" fontId="33" fillId="5" borderId="0" xfId="3" applyBorder="1" applyAlignment="1">
      <alignment wrapText="1"/>
    </xf>
    <xf numFmtId="0" fontId="33" fillId="5" borderId="51" xfId="3" applyAlignment="1">
      <alignment vertical="center"/>
    </xf>
    <xf numFmtId="0" fontId="33" fillId="5" borderId="51" xfId="3" applyAlignment="1">
      <alignment horizontal="left" vertical="center"/>
    </xf>
    <xf numFmtId="0" fontId="33" fillId="5" borderId="90" xfId="3" applyBorder="1" applyAlignment="1">
      <alignment vertical="center" wrapText="1"/>
    </xf>
    <xf numFmtId="0" fontId="33" fillId="5" borderId="0" xfId="3" applyBorder="1" applyAlignment="1">
      <alignment vertical="center" wrapText="1"/>
    </xf>
    <xf numFmtId="0" fontId="32" fillId="4" borderId="71" xfId="1" applyBorder="1" applyAlignment="1">
      <alignment horizontal="center" vertical="center"/>
    </xf>
    <xf numFmtId="0" fontId="3" fillId="0" borderId="39" xfId="0" applyFont="1" applyBorder="1"/>
    <xf numFmtId="0" fontId="32" fillId="4" borderId="51" xfId="1" applyAlignment="1"/>
    <xf numFmtId="0" fontId="33" fillId="5" borderId="51" xfId="3" applyAlignment="1">
      <alignment horizontal="center" vertical="center"/>
    </xf>
    <xf numFmtId="0" fontId="32" fillId="4" borderId="72" xfId="1" applyBorder="1"/>
    <xf numFmtId="0" fontId="32" fillId="4" borderId="70" xfId="1" applyBorder="1"/>
    <xf numFmtId="0" fontId="32" fillId="4" borderId="70" xfId="1" applyBorder="1" applyAlignment="1"/>
    <xf numFmtId="0" fontId="3" fillId="0" borderId="53" xfId="0" applyFont="1" applyBorder="1"/>
    <xf numFmtId="0" fontId="33" fillId="5" borderId="70" xfId="3" applyBorder="1" applyAlignment="1">
      <alignment horizontal="center" vertical="center"/>
    </xf>
    <xf numFmtId="1" fontId="33" fillId="5" borderId="70" xfId="3" applyNumberFormat="1" applyBorder="1" applyAlignment="1">
      <alignment horizontal="center" vertical="center"/>
    </xf>
    <xf numFmtId="0" fontId="32" fillId="4" borderId="73" xfId="1" applyBorder="1"/>
    <xf numFmtId="0" fontId="33" fillId="5" borderId="92" xfId="3" applyBorder="1" applyAlignment="1">
      <alignment horizontal="center" vertical="center" wrapText="1"/>
    </xf>
    <xf numFmtId="0" fontId="32" fillId="4" borderId="72" xfId="1" applyBorder="1" applyAlignment="1">
      <alignment vertical="center"/>
    </xf>
    <xf numFmtId="0" fontId="32" fillId="4" borderId="73" xfId="1" applyBorder="1" applyAlignment="1">
      <alignment vertical="center"/>
    </xf>
    <xf numFmtId="0" fontId="7" fillId="5" borderId="91" xfId="3" applyFont="1" applyBorder="1" applyAlignment="1">
      <alignment horizontal="center" vertical="center"/>
    </xf>
    <xf numFmtId="1" fontId="7" fillId="5" borderId="91" xfId="3" applyNumberFormat="1" applyFont="1" applyBorder="1" applyAlignment="1">
      <alignment horizontal="center" vertical="center"/>
    </xf>
    <xf numFmtId="1" fontId="17" fillId="5" borderId="91" xfId="3" applyNumberFormat="1" applyFont="1" applyBorder="1" applyAlignment="1">
      <alignment horizontal="center" vertical="center"/>
    </xf>
    <xf numFmtId="1" fontId="7" fillId="5" borderId="70" xfId="3" applyNumberFormat="1" applyFont="1" applyBorder="1" applyAlignment="1">
      <alignment horizontal="center" vertical="center"/>
    </xf>
    <xf numFmtId="1" fontId="17" fillId="5" borderId="70" xfId="3" applyNumberFormat="1" applyFont="1" applyBorder="1" applyAlignment="1">
      <alignment horizontal="center" vertical="center"/>
    </xf>
    <xf numFmtId="0" fontId="14" fillId="0" borderId="64" xfId="0" applyFont="1" applyBorder="1"/>
    <xf numFmtId="0" fontId="22" fillId="0" borderId="97" xfId="0" applyFont="1" applyBorder="1" applyAlignment="1">
      <alignment vertical="center"/>
    </xf>
    <xf numFmtId="0" fontId="22" fillId="0" borderId="64" xfId="0" applyFont="1" applyBorder="1"/>
    <xf numFmtId="0" fontId="22" fillId="0" borderId="65" xfId="0" applyFont="1" applyBorder="1"/>
    <xf numFmtId="0" fontId="22" fillId="0" borderId="66" xfId="0" applyFont="1" applyBorder="1"/>
    <xf numFmtId="0" fontId="24" fillId="5" borderId="51" xfId="3" applyFont="1" applyAlignment="1">
      <alignment horizontal="center"/>
    </xf>
    <xf numFmtId="0" fontId="22" fillId="0" borderId="53" xfId="0" applyFont="1" applyBorder="1" applyAlignment="1">
      <alignment vertical="center"/>
    </xf>
    <xf numFmtId="0" fontId="24" fillId="5" borderId="70" xfId="3" applyFont="1" applyBorder="1" applyAlignment="1">
      <alignment horizontal="center"/>
    </xf>
    <xf numFmtId="0" fontId="25" fillId="2" borderId="61" xfId="2" applyFont="1" applyBorder="1" applyAlignment="1">
      <alignment horizontal="center" vertical="center"/>
    </xf>
    <xf numFmtId="0" fontId="22" fillId="0" borderId="53" xfId="0" applyFont="1" applyBorder="1"/>
    <xf numFmtId="0" fontId="22" fillId="0" borderId="63" xfId="0" applyFont="1" applyBorder="1"/>
    <xf numFmtId="0" fontId="33" fillId="5" borderId="101" xfId="3" applyBorder="1" applyAlignment="1">
      <alignment horizontal="center" vertical="center"/>
    </xf>
    <xf numFmtId="0" fontId="32" fillId="4" borderId="92" xfId="1" applyBorder="1" applyAlignment="1">
      <alignment horizontal="center" vertical="center"/>
    </xf>
    <xf numFmtId="1" fontId="33" fillId="5" borderId="102" xfId="3" applyNumberFormat="1" applyBorder="1" applyAlignment="1">
      <alignment horizontal="center" vertical="center"/>
    </xf>
    <xf numFmtId="1" fontId="33" fillId="5" borderId="84" xfId="3" applyNumberFormat="1" applyBorder="1" applyAlignment="1">
      <alignment horizontal="center" vertical="center"/>
    </xf>
    <xf numFmtId="1" fontId="33" fillId="5" borderId="84" xfId="3" applyNumberFormat="1" applyBorder="1" applyAlignment="1">
      <alignment horizontal="center"/>
    </xf>
    <xf numFmtId="0" fontId="33" fillId="5" borderId="93" xfId="3" applyBorder="1" applyAlignment="1">
      <alignment horizontal="center" vertical="center"/>
    </xf>
    <xf numFmtId="0" fontId="33" fillId="5" borderId="103" xfId="3" applyBorder="1" applyAlignment="1">
      <alignment horizontal="center" vertical="center"/>
    </xf>
    <xf numFmtId="0" fontId="32" fillId="4" borderId="104" xfId="1" applyBorder="1" applyAlignment="1">
      <alignment horizontal="center" vertical="center"/>
    </xf>
    <xf numFmtId="0" fontId="33" fillId="5" borderId="74" xfId="3" applyBorder="1" applyAlignment="1">
      <alignment horizontal="center" vertical="center"/>
    </xf>
    <xf numFmtId="0" fontId="33" fillId="5" borderId="75" xfId="3" applyBorder="1" applyAlignment="1">
      <alignment horizontal="center" vertical="center"/>
    </xf>
    <xf numFmtId="0" fontId="33" fillId="5" borderId="105" xfId="3" applyBorder="1" applyAlignment="1">
      <alignment horizontal="center" vertical="center"/>
    </xf>
    <xf numFmtId="0" fontId="25" fillId="2" borderId="63" xfId="2" applyFont="1" applyBorder="1" applyAlignment="1">
      <alignment horizontal="center" vertical="center"/>
    </xf>
    <xf numFmtId="0" fontId="32" fillId="4" borderId="106" xfId="1" applyBorder="1" applyAlignment="1">
      <alignment horizontal="center" vertical="center"/>
    </xf>
    <xf numFmtId="0" fontId="25" fillId="2" borderId="58" xfId="2" applyFont="1" applyBorder="1" applyAlignment="1">
      <alignment horizontal="center" vertical="center"/>
    </xf>
    <xf numFmtId="0" fontId="25" fillId="2" borderId="59" xfId="2" applyFont="1" applyBorder="1" applyAlignment="1">
      <alignment horizontal="center" vertical="center"/>
    </xf>
    <xf numFmtId="0" fontId="25" fillId="2" borderId="60" xfId="2" applyFont="1" applyBorder="1" applyAlignment="1">
      <alignment horizontal="center" vertical="center"/>
    </xf>
    <xf numFmtId="0" fontId="25" fillId="2" borderId="62" xfId="2" applyFont="1" applyBorder="1" applyAlignment="1">
      <alignment horizontal="center" vertical="center"/>
    </xf>
    <xf numFmtId="1" fontId="33" fillId="5" borderId="107" xfId="3" applyNumberFormat="1" applyBorder="1" applyAlignment="1">
      <alignment horizontal="center" vertical="center"/>
    </xf>
    <xf numFmtId="1" fontId="33" fillId="5" borderId="108" xfId="3" applyNumberFormat="1" applyBorder="1" applyAlignment="1">
      <alignment horizontal="center" vertical="center"/>
    </xf>
    <xf numFmtId="0" fontId="32" fillId="4" borderId="101" xfId="1" applyBorder="1" applyAlignment="1">
      <alignment horizontal="center"/>
    </xf>
    <xf numFmtId="0" fontId="32" fillId="4" borderId="105" xfId="1" applyBorder="1" applyAlignment="1">
      <alignment horizontal="center"/>
    </xf>
    <xf numFmtId="0" fontId="33" fillId="5" borderId="92" xfId="3" applyBorder="1" applyAlignment="1">
      <alignment horizontal="center"/>
    </xf>
    <xf numFmtId="0" fontId="33" fillId="5" borderId="109" xfId="3" applyBorder="1" applyAlignment="1">
      <alignment horizontal="center"/>
    </xf>
    <xf numFmtId="0" fontId="31" fillId="0" borderId="67" xfId="6" applyBorder="1">
      <alignment horizontal="center"/>
    </xf>
    <xf numFmtId="0" fontId="22" fillId="0" borderId="110" xfId="0" applyFont="1" applyBorder="1" applyAlignment="1">
      <alignment vertical="center"/>
    </xf>
    <xf numFmtId="0" fontId="23" fillId="0" borderId="58" xfId="0" applyFont="1" applyBorder="1" applyAlignment="1">
      <alignment vertical="center"/>
    </xf>
    <xf numFmtId="0" fontId="23" fillId="0" borderId="39" xfId="0" applyFont="1" applyBorder="1" applyAlignment="1">
      <alignment vertical="center"/>
    </xf>
    <xf numFmtId="0" fontId="2" fillId="0" borderId="0" xfId="0" applyFont="1"/>
    <xf numFmtId="0" fontId="32" fillId="4" borderId="111" xfId="1" applyBorder="1" applyAlignment="1">
      <alignment horizontal="center"/>
    </xf>
    <xf numFmtId="0" fontId="22" fillId="0" borderId="112" xfId="0" applyFont="1" applyBorder="1" applyAlignment="1">
      <alignment horizontal="center"/>
    </xf>
    <xf numFmtId="0" fontId="22" fillId="0" borderId="60" xfId="0" applyFont="1" applyBorder="1"/>
    <xf numFmtId="0" fontId="22" fillId="0" borderId="61" xfId="0" applyFont="1" applyBorder="1"/>
    <xf numFmtId="0" fontId="23" fillId="0" borderId="60" xfId="0" applyFont="1" applyBorder="1" applyAlignment="1">
      <alignment horizontal="center" vertical="center"/>
    </xf>
    <xf numFmtId="0" fontId="23" fillId="0" borderId="61" xfId="0" applyFont="1" applyBorder="1" applyAlignment="1">
      <alignment horizontal="center" vertical="center"/>
    </xf>
    <xf numFmtId="0" fontId="31" fillId="12" borderId="0" xfId="6" applyFill="1">
      <alignment horizontal="center"/>
    </xf>
    <xf numFmtId="0" fontId="31" fillId="13" borderId="0" xfId="6" applyFill="1">
      <alignment horizontal="center"/>
    </xf>
    <xf numFmtId="0" fontId="33" fillId="5" borderId="51" xfId="3" quotePrefix="1" applyAlignment="1">
      <alignment horizontal="center"/>
    </xf>
    <xf numFmtId="0" fontId="1" fillId="11" borderId="0" xfId="8"/>
    <xf numFmtId="0" fontId="38" fillId="7" borderId="85" xfId="9" applyFont="1" applyFill="1" applyBorder="1" applyAlignment="1">
      <alignment horizontal="center"/>
    </xf>
    <xf numFmtId="0" fontId="38" fillId="7" borderId="85" xfId="9" applyFont="1" applyFill="1" applyBorder="1" applyAlignment="1">
      <alignment horizontal="center" vertical="center"/>
    </xf>
    <xf numFmtId="0" fontId="39" fillId="0" borderId="0" xfId="9" applyFont="1" applyAlignment="1">
      <alignment horizontal="center" vertical="center"/>
    </xf>
    <xf numFmtId="0" fontId="1" fillId="0" borderId="0" xfId="0" applyFont="1" applyAlignment="1">
      <alignment horizontal="left"/>
    </xf>
    <xf numFmtId="0" fontId="1" fillId="0" borderId="0" xfId="0" applyFont="1"/>
    <xf numFmtId="0" fontId="1" fillId="0" borderId="0" xfId="0" applyFont="1" applyAlignment="1">
      <alignment wrapText="1"/>
    </xf>
    <xf numFmtId="0" fontId="7" fillId="5" borderId="70" xfId="3" applyFont="1" applyBorder="1" applyAlignment="1">
      <alignment horizontal="center" vertical="center"/>
    </xf>
    <xf numFmtId="0" fontId="31" fillId="0" borderId="39" xfId="6" applyBorder="1">
      <alignment horizontal="center"/>
    </xf>
    <xf numFmtId="0" fontId="31" fillId="0" borderId="58" xfId="6" applyBorder="1">
      <alignment horizontal="center"/>
    </xf>
    <xf numFmtId="0" fontId="31" fillId="0" borderId="59" xfId="6" applyBorder="1">
      <alignment horizontal="center"/>
    </xf>
    <xf numFmtId="0" fontId="32" fillId="4" borderId="51" xfId="1" applyAlignment="1">
      <alignment horizontal="center" vertical="center"/>
    </xf>
    <xf numFmtId="0" fontId="31" fillId="0" borderId="60" xfId="6" applyBorder="1">
      <alignment horizontal="center"/>
    </xf>
    <xf numFmtId="0" fontId="32" fillId="4" borderId="70" xfId="1" applyBorder="1" applyAlignment="1">
      <alignment horizontal="center" vertical="center"/>
    </xf>
    <xf numFmtId="0" fontId="32" fillId="4" borderId="51" xfId="1" applyAlignment="1">
      <alignment horizontal="center" vertical="center" wrapText="1"/>
    </xf>
    <xf numFmtId="0" fontId="32" fillId="4" borderId="72" xfId="1" applyBorder="1" applyAlignment="1">
      <alignment horizontal="center" vertical="center"/>
    </xf>
    <xf numFmtId="0" fontId="14" fillId="0" borderId="0" xfId="0" applyFont="1" applyAlignment="1">
      <alignment horizontal="center"/>
    </xf>
    <xf numFmtId="0" fontId="0" fillId="0" borderId="60" xfId="0" applyBorder="1"/>
    <xf numFmtId="0" fontId="0" fillId="0" borderId="62" xfId="0" applyBorder="1"/>
    <xf numFmtId="0" fontId="0" fillId="0" borderId="58" xfId="0" applyBorder="1"/>
    <xf numFmtId="0" fontId="0" fillId="0" borderId="39" xfId="0" applyBorder="1"/>
    <xf numFmtId="0" fontId="0" fillId="0" borderId="0" xfId="0" applyAlignment="1">
      <alignment horizontal="center"/>
    </xf>
    <xf numFmtId="0" fontId="0" fillId="0" borderId="53" xfId="0" applyBorder="1" applyAlignment="1">
      <alignment horizontal="center"/>
    </xf>
    <xf numFmtId="0" fontId="0" fillId="0" borderId="39" xfId="0" applyBorder="1" applyAlignment="1">
      <alignment horizontal="center"/>
    </xf>
    <xf numFmtId="0" fontId="0" fillId="0" borderId="59" xfId="0" applyBorder="1" applyAlignment="1">
      <alignment horizontal="center"/>
    </xf>
    <xf numFmtId="0" fontId="4" fillId="0" borderId="0" xfId="0" applyFont="1" applyAlignment="1">
      <alignment horizontal="center"/>
    </xf>
    <xf numFmtId="0" fontId="31" fillId="0" borderId="65" xfId="6" applyBorder="1">
      <alignment horizontal="center"/>
    </xf>
    <xf numFmtId="0" fontId="3" fillId="0" borderId="0" xfId="0" applyFont="1" applyAlignment="1">
      <alignment horizontal="center"/>
    </xf>
    <xf numFmtId="0" fontId="31" fillId="0" borderId="62" xfId="6" applyBorder="1">
      <alignment horizontal="center"/>
    </xf>
    <xf numFmtId="0" fontId="32" fillId="4" borderId="91" xfId="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5" fillId="0" borderId="39" xfId="0" applyFont="1" applyBorder="1" applyAlignment="1">
      <alignment horizontal="center"/>
    </xf>
    <xf numFmtId="0" fontId="5" fillId="0" borderId="59" xfId="0" applyFont="1" applyBorder="1" applyAlignment="1">
      <alignment horizontal="center"/>
    </xf>
    <xf numFmtId="0" fontId="0" fillId="0" borderId="58" xfId="0" applyBorder="1" applyAlignment="1">
      <alignment horizontal="center"/>
    </xf>
    <xf numFmtId="0" fontId="0" fillId="0" borderId="60" xfId="0" applyBorder="1" applyAlignment="1">
      <alignment horizontal="center"/>
    </xf>
    <xf numFmtId="0" fontId="31" fillId="0" borderId="66" xfId="6" applyBorder="1">
      <alignment horizontal="center"/>
    </xf>
    <xf numFmtId="0" fontId="0" fillId="0" borderId="62" xfId="0" applyBorder="1" applyAlignment="1">
      <alignment horizontal="center"/>
    </xf>
    <xf numFmtId="0" fontId="4" fillId="0" borderId="37" xfId="0" applyFont="1" applyBorder="1" applyAlignment="1">
      <alignment horizontal="center" vertical="center"/>
    </xf>
    <xf numFmtId="0" fontId="3" fillId="3" borderId="8" xfId="0" applyFont="1" applyFill="1" applyBorder="1" applyAlignment="1">
      <alignment horizontal="center" vertical="center"/>
    </xf>
    <xf numFmtId="0" fontId="3" fillId="0" borderId="8" xfId="0" applyFont="1" applyBorder="1" applyAlignment="1">
      <alignment horizontal="center" vertical="center"/>
    </xf>
    <xf numFmtId="0" fontId="4" fillId="0" borderId="0" xfId="0" applyFont="1" applyAlignment="1">
      <alignment horizontal="center" vertical="center"/>
    </xf>
    <xf numFmtId="0" fontId="3" fillId="0" borderId="28" xfId="0" applyFont="1" applyBorder="1" applyAlignment="1">
      <alignment horizontal="center" vertical="center"/>
    </xf>
    <xf numFmtId="0" fontId="3" fillId="0" borderId="12" xfId="0" applyFont="1" applyBorder="1" applyAlignment="1">
      <alignment horizontal="center" vertical="center"/>
    </xf>
    <xf numFmtId="1" fontId="3" fillId="0" borderId="16" xfId="0" applyNumberFormat="1" applyFont="1" applyBorder="1" applyAlignment="1">
      <alignment horizontal="center"/>
    </xf>
    <xf numFmtId="0" fontId="3" fillId="0" borderId="37" xfId="0" applyFont="1" applyBorder="1" applyAlignment="1">
      <alignment horizontal="center" vertical="center"/>
    </xf>
    <xf numFmtId="0" fontId="3" fillId="0" borderId="43" xfId="0" applyFont="1" applyBorder="1" applyAlignment="1">
      <alignment horizontal="center" vertical="center"/>
    </xf>
    <xf numFmtId="1" fontId="3" fillId="0" borderId="8" xfId="0" applyNumberFormat="1" applyFont="1" applyBorder="1" applyAlignment="1">
      <alignment horizontal="center"/>
    </xf>
    <xf numFmtId="49" fontId="3" fillId="0" borderId="37" xfId="0" applyNumberFormat="1" applyFont="1" applyBorder="1" applyAlignment="1">
      <alignment horizontal="center" vertical="center"/>
    </xf>
    <xf numFmtId="0" fontId="38" fillId="7" borderId="87" xfId="9" applyFont="1" applyFill="1" applyBorder="1" applyAlignment="1">
      <alignment horizontal="center"/>
    </xf>
    <xf numFmtId="0" fontId="38" fillId="7" borderId="87" xfId="9" applyFont="1" applyFill="1" applyBorder="1" applyAlignment="1">
      <alignment horizontal="left"/>
    </xf>
    <xf numFmtId="0" fontId="38" fillId="7" borderId="87" xfId="9" applyFont="1" applyFill="1" applyBorder="1" applyAlignment="1">
      <alignment wrapText="1"/>
    </xf>
    <xf numFmtId="0" fontId="33" fillId="5" borderId="51" xfId="3" applyAlignment="1">
      <alignment horizontal="left"/>
    </xf>
    <xf numFmtId="0" fontId="37" fillId="0" borderId="0" xfId="9" applyAlignment="1">
      <alignment horizontal="center"/>
    </xf>
    <xf numFmtId="0" fontId="40" fillId="7" borderId="119" xfId="0" applyFont="1" applyFill="1" applyBorder="1" applyAlignment="1">
      <alignment horizontal="center"/>
    </xf>
    <xf numFmtId="0" fontId="1" fillId="8" borderId="87" xfId="0" applyFont="1" applyFill="1" applyBorder="1" applyAlignment="1">
      <alignment horizontal="center"/>
    </xf>
    <xf numFmtId="1" fontId="0" fillId="0" borderId="0" xfId="0" applyNumberFormat="1"/>
    <xf numFmtId="1" fontId="0" fillId="0" borderId="53" xfId="0" applyNumberFormat="1" applyBorder="1"/>
    <xf numFmtId="0" fontId="0" fillId="0" borderId="59" xfId="0" applyBorder="1"/>
    <xf numFmtId="0" fontId="0" fillId="0" borderId="61" xfId="0" applyBorder="1"/>
    <xf numFmtId="0" fontId="22" fillId="0" borderId="39" xfId="0" applyFont="1" applyBorder="1"/>
    <xf numFmtId="0" fontId="22" fillId="0" borderId="58" xfId="0" applyFont="1" applyBorder="1"/>
    <xf numFmtId="0" fontId="22" fillId="0" borderId="62" xfId="0" applyFont="1" applyBorder="1"/>
    <xf numFmtId="0" fontId="0" fillId="0" borderId="53" xfId="0" quotePrefix="1" applyBorder="1"/>
    <xf numFmtId="0" fontId="0" fillId="0" borderId="63" xfId="0" quotePrefix="1" applyBorder="1"/>
    <xf numFmtId="0" fontId="0" fillId="0" borderId="0" xfId="0">
      <extLst>
        <ext xmlns:xfpb="http://schemas.microsoft.com/office/spreadsheetml/2022/featurepropertybag" uri="{C7286773-470A-42A8-94C5-96B5CB345126}">
          <xfpb:xfComplement i="0"/>
        </ext>
      </extLst>
    </xf>
    <xf numFmtId="0" fontId="32" fillId="4" borderId="94" xfId="1" applyBorder="1" applyAlignment="1">
      <alignment horizontal="center"/>
      <extLst>
        <ext xmlns:xfpb="http://schemas.microsoft.com/office/spreadsheetml/2022/featurepropertybag" uri="{C7286773-470A-42A8-94C5-96B5CB345126}">
          <xfpb:xfComplement i="0"/>
        </ext>
      </extLst>
    </xf>
    <xf numFmtId="0" fontId="32" fillId="4" borderId="51" xfId="1" applyAlignment="1">
      <alignment horizontal="center"/>
      <extLst>
        <ext xmlns:xfpb="http://schemas.microsoft.com/office/spreadsheetml/2022/featurepropertybag" uri="{C7286773-470A-42A8-94C5-96B5CB345126}">
          <xfpb:xfComplement i="0"/>
        </ext>
      </extLst>
    </xf>
    <xf numFmtId="0" fontId="13" fillId="4" borderId="75" xfId="1" applyFont="1" applyBorder="1" applyAlignment="1">
      <alignment horizontal="center"/>
      <extLst>
        <ext xmlns:xfpb="http://schemas.microsoft.com/office/spreadsheetml/2022/featurepropertybag" uri="{C7286773-470A-42A8-94C5-96B5CB345126}">
          <xfpb:xfComplement i="0"/>
        </ext>
      </extLst>
    </xf>
    <xf numFmtId="0" fontId="41" fillId="4" borderId="70" xfId="1" applyFont="1" applyBorder="1" applyAlignment="1">
      <alignment horizontal="center"/>
      <extLst>
        <ext xmlns:xfpb="http://schemas.microsoft.com/office/spreadsheetml/2022/featurepropertybag" uri="{C7286773-470A-42A8-94C5-96B5CB345126}">
          <xfpb:xfComplement i="0"/>
        </ext>
      </extLst>
    </xf>
    <xf numFmtId="0" fontId="13" fillId="4" borderId="51" xfId="1" applyFont="1" applyAlignment="1">
      <alignment horizontal="center"/>
      <extLst>
        <ext xmlns:xfpb="http://schemas.microsoft.com/office/spreadsheetml/2022/featurepropertybag" uri="{C7286773-470A-42A8-94C5-96B5CB345126}">
          <xfpb:xfComplement i="0"/>
        </ext>
      </extLst>
    </xf>
    <xf numFmtId="0" fontId="13" fillId="4" borderId="70" xfId="1" applyFont="1" applyBorder="1" applyAlignment="1">
      <alignment horizontal="center"/>
      <extLst>
        <ext xmlns:xfpb="http://schemas.microsoft.com/office/spreadsheetml/2022/featurepropertybag" uri="{C7286773-470A-42A8-94C5-96B5CB345126}">
          <xfpb:xfComplement i="0"/>
        </ext>
      </extLst>
    </xf>
    <xf numFmtId="0" fontId="28" fillId="4" borderId="51" xfId="1" applyFont="1" applyAlignment="1">
      <alignment horizontal="center" vertical="center"/>
      <extLst>
        <ext xmlns:xfpb="http://schemas.microsoft.com/office/spreadsheetml/2022/featurepropertybag" uri="{C7286773-470A-42A8-94C5-96B5CB345126}">
          <xfpb:xfComplement i="0"/>
        </ext>
      </extLst>
    </xf>
    <xf numFmtId="0" fontId="32" fillId="4" borderId="71" xfId="1" applyBorder="1" applyAlignment="1">
      <alignment horizontal="center" vertical="center"/>
      <extLst>
        <ext xmlns:xfpb="http://schemas.microsoft.com/office/spreadsheetml/2022/featurepropertybag" uri="{C7286773-470A-42A8-94C5-96B5CB345126}">
          <xfpb:xfComplement i="0"/>
        </ext>
      </extLst>
    </xf>
    <xf numFmtId="0" fontId="32" fillId="4" borderId="73" xfId="1" applyBorder="1" applyAlignment="1">
      <alignment horizontal="center" vertical="center"/>
      <extLst>
        <ext xmlns:xfpb="http://schemas.microsoft.com/office/spreadsheetml/2022/featurepropertybag" uri="{C7286773-470A-42A8-94C5-96B5CB345126}">
          <xfpb:xfComplement i="0"/>
        </ext>
      </extLst>
    </xf>
    <xf numFmtId="0" fontId="32" fillId="4" borderId="91" xfId="1" applyBorder="1" applyAlignment="1">
      <alignment horizontal="center" vertical="center"/>
      <extLst>
        <ext xmlns:xfpb="http://schemas.microsoft.com/office/spreadsheetml/2022/featurepropertybag" uri="{C7286773-470A-42A8-94C5-96B5CB345126}">
          <xfpb:xfComplement i="0"/>
        </ext>
      </extLst>
    </xf>
    <xf numFmtId="0" fontId="32" fillId="4" borderId="70" xfId="1" applyBorder="1" applyAlignment="1">
      <alignment horizontal="center" vertical="center"/>
      <extLst>
        <ext xmlns:xfpb="http://schemas.microsoft.com/office/spreadsheetml/2022/featurepropertybag" uri="{C7286773-470A-42A8-94C5-96B5CB345126}">
          <xfpb:xfComplement i="0"/>
        </ext>
      </extLst>
    </xf>
    <xf numFmtId="0" fontId="32" fillId="4" borderId="95" xfId="1" applyBorder="1">
      <extLst>
        <ext xmlns:xfpb="http://schemas.microsoft.com/office/spreadsheetml/2022/featurepropertybag" uri="{C7286773-470A-42A8-94C5-96B5CB345126}">
          <xfpb:xfComplement i="0"/>
        </ext>
      </extLst>
    </xf>
    <xf numFmtId="0" fontId="32" fillId="4" borderId="71" xfId="1" applyBorder="1">
      <extLst>
        <ext xmlns:xfpb="http://schemas.microsoft.com/office/spreadsheetml/2022/featurepropertybag" uri="{C7286773-470A-42A8-94C5-96B5CB345126}">
          <xfpb:xfComplement i="0"/>
        </ext>
      </extLst>
    </xf>
    <xf numFmtId="0" fontId="32" fillId="4" borderId="72" xfId="1" applyBorder="1">
      <extLst>
        <ext xmlns:xfpb="http://schemas.microsoft.com/office/spreadsheetml/2022/featurepropertybag" uri="{C7286773-470A-42A8-94C5-96B5CB345126}">
          <xfpb:xfComplement i="0"/>
        </ext>
      </extLst>
    </xf>
    <xf numFmtId="0" fontId="32" fillId="4" borderId="73" xfId="1" applyBorder="1">
      <extLst>
        <ext xmlns:xfpb="http://schemas.microsoft.com/office/spreadsheetml/2022/featurepropertybag" uri="{C7286773-470A-42A8-94C5-96B5CB345126}">
          <xfpb:xfComplement i="0"/>
        </ext>
      </extLst>
    </xf>
    <xf numFmtId="0" fontId="42" fillId="0" borderId="0" xfId="0" applyFont="1" applyAlignment="1">
      <alignment horizontal="left"/>
    </xf>
    <xf numFmtId="0" fontId="42" fillId="8" borderId="87" xfId="0" applyFont="1" applyFill="1" applyBorder="1" applyAlignment="1">
      <alignment horizontal="center"/>
    </xf>
    <xf numFmtId="0" fontId="43" fillId="0" borderId="0" xfId="0" applyFont="1" applyAlignment="1">
      <alignment horizontal="left"/>
    </xf>
    <xf numFmtId="0" fontId="44" fillId="0" borderId="0" xfId="0" applyFont="1" applyAlignment="1">
      <alignment horizontal="left"/>
    </xf>
    <xf numFmtId="0" fontId="43" fillId="0" borderId="58" xfId="0"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5" fillId="0" borderId="0" xfId="0" applyFont="1"/>
    <xf numFmtId="0" fontId="46" fillId="7" borderId="118" xfId="9" applyFont="1" applyFill="1" applyBorder="1" applyAlignment="1">
      <alignment horizontal="left"/>
    </xf>
    <xf numFmtId="0" fontId="38" fillId="7" borderId="120" xfId="9" applyFont="1" applyFill="1" applyBorder="1" applyAlignment="1">
      <alignment horizontal="center"/>
    </xf>
    <xf numFmtId="0" fontId="47" fillId="7" borderId="58" xfId="0" applyFont="1" applyFill="1" applyBorder="1" applyAlignment="1">
      <alignment horizontal="center"/>
    </xf>
    <xf numFmtId="0" fontId="0" fillId="0" borderId="0" xfId="0" quotePrefix="1"/>
    <xf numFmtId="0" fontId="0" fillId="0" borderId="63" xfId="0" applyBorder="1"/>
    <xf numFmtId="0" fontId="31" fillId="0" borderId="0" xfId="0" applyFont="1"/>
    <xf numFmtId="0" fontId="48" fillId="5" borderId="51" xfId="3" applyFont="1" applyAlignment="1">
      <alignment horizontal="left"/>
    </xf>
    <xf numFmtId="0" fontId="32" fillId="4" borderId="84" xfId="1" applyBorder="1" applyAlignment="1">
      <alignment horizontal="center"/>
    </xf>
    <xf numFmtId="0" fontId="32" fillId="4" borderId="121" xfId="1" applyBorder="1" applyAlignment="1">
      <alignment horizontal="center"/>
    </xf>
    <xf numFmtId="0" fontId="31" fillId="0" borderId="64" xfId="6" applyBorder="1">
      <alignment horizontal="center"/>
    </xf>
    <xf numFmtId="0" fontId="49" fillId="0" borderId="0" xfId="6" applyFont="1">
      <alignment horizontal="center"/>
    </xf>
    <xf numFmtId="0" fontId="1" fillId="8" borderId="0" xfId="0" applyFont="1" applyFill="1" applyAlignment="1">
      <alignment horizontal="center"/>
    </xf>
    <xf numFmtId="0" fontId="39" fillId="0" borderId="87" xfId="9" applyFont="1" applyBorder="1" applyAlignment="1">
      <alignment horizontal="center" vertical="center"/>
    </xf>
    <xf numFmtId="0" fontId="42" fillId="8" borderId="0" xfId="0" applyFont="1" applyFill="1" applyAlignment="1">
      <alignment horizontal="center"/>
    </xf>
    <xf numFmtId="0" fontId="22" fillId="0" borderId="65" xfId="0" applyFont="1" applyBorder="1" applyAlignment="1">
      <alignment horizontal="left"/>
    </xf>
    <xf numFmtId="1" fontId="0" fillId="0" borderId="0" xfId="0" applyNumberFormat="1"/>
    <xf numFmtId="0" fontId="0" fillId="0" borderId="0" xfId="0"/>
    <xf numFmtId="0" fontId="32" fillId="4" borderId="122" xfId="1" applyBorder="1" applyAlignment="1">
      <alignment horizontal="center"/>
    </xf>
    <xf numFmtId="0" fontId="32" fillId="4" borderId="53" xfId="1" applyBorder="1" applyAlignment="1">
      <alignment horizontal="center"/>
    </xf>
    <xf numFmtId="0" fontId="32" fillId="4" borderId="82" xfId="1" applyBorder="1" applyAlignment="1">
      <alignment horizontal="center"/>
    </xf>
    <xf numFmtId="0" fontId="24" fillId="5" borderId="116" xfId="3" applyFont="1" applyBorder="1" applyAlignment="1">
      <alignment horizontal="center"/>
    </xf>
    <xf numFmtId="0" fontId="24" fillId="5" borderId="65" xfId="3" applyFont="1" applyBorder="1" applyAlignment="1">
      <alignment horizontal="center"/>
    </xf>
    <xf numFmtId="0" fontId="24" fillId="5" borderId="66" xfId="3" applyFont="1" applyBorder="1" applyAlignment="1">
      <alignment horizontal="center"/>
    </xf>
    <xf numFmtId="0" fontId="31" fillId="0" borderId="0" xfId="6">
      <alignment horizontal="center"/>
    </xf>
    <xf numFmtId="0" fontId="31" fillId="0" borderId="53" xfId="6" applyBorder="1">
      <alignment horizontal="center"/>
    </xf>
    <xf numFmtId="0" fontId="32" fillId="4" borderId="75" xfId="1" applyBorder="1" applyAlignment="1">
      <alignment horizontal="center" wrapText="1"/>
    </xf>
    <xf numFmtId="0" fontId="32" fillId="4" borderId="70" xfId="1" applyBorder="1" applyAlignment="1">
      <alignment horizontal="center" wrapText="1"/>
    </xf>
    <xf numFmtId="0" fontId="32" fillId="4" borderId="73" xfId="1" applyBorder="1" applyAlignment="1">
      <alignment horizontal="center" wrapText="1"/>
    </xf>
    <xf numFmtId="0" fontId="31" fillId="0" borderId="0" xfId="6" applyAlignment="1">
      <alignment horizontal="center" vertical="center"/>
    </xf>
    <xf numFmtId="0" fontId="32" fillId="4" borderId="64" xfId="1" applyBorder="1" applyAlignment="1">
      <alignment horizontal="center"/>
    </xf>
    <xf numFmtId="0" fontId="32" fillId="4" borderId="65" xfId="1" applyBorder="1" applyAlignment="1">
      <alignment horizontal="center"/>
    </xf>
    <xf numFmtId="0" fontId="32" fillId="4" borderId="66" xfId="1" applyBorder="1" applyAlignment="1">
      <alignment horizontal="center"/>
    </xf>
    <xf numFmtId="0" fontId="31" fillId="0" borderId="39" xfId="6" applyBorder="1">
      <alignment horizontal="center"/>
    </xf>
    <xf numFmtId="0" fontId="33" fillId="5" borderId="113" xfId="3" applyBorder="1" applyAlignment="1">
      <alignment horizontal="center"/>
    </xf>
    <xf numFmtId="0" fontId="33" fillId="5" borderId="114" xfId="3" applyBorder="1" applyAlignment="1">
      <alignment horizontal="center"/>
    </xf>
    <xf numFmtId="0" fontId="33" fillId="5" borderId="115" xfId="3" applyBorder="1" applyAlignment="1">
      <alignment horizontal="center"/>
    </xf>
    <xf numFmtId="0" fontId="31" fillId="0" borderId="58" xfId="6" applyBorder="1">
      <alignment horizontal="center"/>
    </xf>
    <xf numFmtId="0" fontId="31" fillId="0" borderId="59" xfId="6" applyBorder="1">
      <alignment horizontal="center"/>
    </xf>
    <xf numFmtId="0" fontId="32" fillId="4" borderId="51" xfId="1" applyAlignment="1">
      <alignment horizontal="center" vertical="center"/>
    </xf>
    <xf numFmtId="0" fontId="32" fillId="4" borderId="72" xfId="1" applyBorder="1" applyAlignment="1">
      <alignment horizontal="center" vertical="center"/>
    </xf>
    <xf numFmtId="0" fontId="31" fillId="0" borderId="60" xfId="6" applyBorder="1">
      <alignment horizontal="center"/>
    </xf>
    <xf numFmtId="0" fontId="31" fillId="0" borderId="61" xfId="6" applyBorder="1">
      <alignment horizontal="center"/>
    </xf>
    <xf numFmtId="0" fontId="32" fillId="4" borderId="75" xfId="1" applyBorder="1" applyAlignment="1">
      <alignment horizontal="center" vertical="center"/>
    </xf>
    <xf numFmtId="0" fontId="32" fillId="4" borderId="70" xfId="1" applyBorder="1" applyAlignment="1">
      <alignment horizontal="center" vertical="center"/>
    </xf>
    <xf numFmtId="0" fontId="32" fillId="4" borderId="73" xfId="1" applyBorder="1" applyAlignment="1">
      <alignment horizontal="center" vertical="center"/>
    </xf>
    <xf numFmtId="0" fontId="32" fillId="4" borderId="92" xfId="1" applyBorder="1" applyAlignment="1">
      <alignment horizontal="center" vertical="center" wrapText="1"/>
    </xf>
    <xf numFmtId="0" fontId="32" fillId="4" borderId="92" xfId="1" applyBorder="1" applyAlignment="1">
      <alignment horizontal="center" vertical="center"/>
    </xf>
    <xf numFmtId="0" fontId="32" fillId="4" borderId="109" xfId="1" applyBorder="1" applyAlignment="1">
      <alignment horizontal="center" vertical="center"/>
    </xf>
    <xf numFmtId="0" fontId="32" fillId="4" borderId="91" xfId="1" applyBorder="1" applyAlignment="1">
      <alignment horizontal="center" vertical="center"/>
    </xf>
    <xf numFmtId="0" fontId="32" fillId="4" borderId="71" xfId="1" applyBorder="1" applyAlignment="1">
      <alignment horizontal="center" vertical="center"/>
    </xf>
    <xf numFmtId="0" fontId="31" fillId="0" borderId="58" xfId="6" applyBorder="1" applyAlignment="1">
      <alignment horizontal="center" vertical="center"/>
    </xf>
    <xf numFmtId="0" fontId="31" fillId="0" borderId="39" xfId="6" applyBorder="1" applyAlignment="1">
      <alignment horizontal="center" vertical="center"/>
    </xf>
    <xf numFmtId="0" fontId="31" fillId="0" borderId="59" xfId="6" applyBorder="1" applyAlignment="1">
      <alignment horizontal="center" vertical="center"/>
    </xf>
    <xf numFmtId="0" fontId="21" fillId="4" borderId="98" xfId="1" applyFont="1" applyBorder="1" applyAlignment="1">
      <alignment horizontal="center" vertical="center"/>
    </xf>
    <xf numFmtId="0" fontId="21" fillId="4" borderId="99" xfId="1" applyFont="1" applyBorder="1" applyAlignment="1">
      <alignment horizontal="center" vertical="center"/>
    </xf>
    <xf numFmtId="0" fontId="21" fillId="4" borderId="100" xfId="1" applyFont="1" applyBorder="1" applyAlignment="1">
      <alignment horizontal="center" vertical="center"/>
    </xf>
    <xf numFmtId="0" fontId="21" fillId="4" borderId="56" xfId="1" applyFont="1" applyBorder="1" applyAlignment="1">
      <alignment horizontal="center" vertical="center"/>
    </xf>
    <xf numFmtId="0" fontId="21" fillId="4" borderId="57" xfId="1" applyFont="1" applyBorder="1" applyAlignment="1">
      <alignment horizontal="center" vertical="center"/>
    </xf>
    <xf numFmtId="0" fontId="21" fillId="4" borderId="95" xfId="1" applyFont="1" applyBorder="1" applyAlignment="1">
      <alignment horizontal="center" vertical="center"/>
    </xf>
    <xf numFmtId="0" fontId="21" fillId="4" borderId="54" xfId="1" applyFont="1" applyBorder="1" applyAlignment="1">
      <alignment horizontal="center" vertical="center"/>
    </xf>
    <xf numFmtId="0" fontId="21" fillId="4" borderId="55" xfId="1" applyFont="1" applyBorder="1" applyAlignment="1">
      <alignment horizontal="center" vertical="center"/>
    </xf>
    <xf numFmtId="0" fontId="21" fillId="4" borderId="96" xfId="1" applyFont="1" applyBorder="1" applyAlignment="1">
      <alignment horizontal="center" vertical="center"/>
    </xf>
    <xf numFmtId="0" fontId="32" fillId="4" borderId="51" xfId="1" applyAlignment="1">
      <alignment horizontal="center" vertical="center" wrapText="1"/>
    </xf>
    <xf numFmtId="0" fontId="32" fillId="4" borderId="72" xfId="1" applyBorder="1" applyAlignment="1">
      <alignment horizontal="center" vertical="center" wrapText="1"/>
    </xf>
    <xf numFmtId="0" fontId="32" fillId="4" borderId="76" xfId="1" applyBorder="1" applyAlignment="1">
      <alignment horizontal="center" vertical="center" wrapText="1"/>
    </xf>
    <xf numFmtId="0" fontId="32" fillId="4" borderId="77" xfId="1" applyBorder="1" applyAlignment="1">
      <alignment horizontal="center" vertical="center" wrapText="1"/>
    </xf>
    <xf numFmtId="0" fontId="32" fillId="4" borderId="76" xfId="1" applyBorder="1" applyAlignment="1">
      <alignment horizontal="center" vertical="center"/>
    </xf>
    <xf numFmtId="0" fontId="32" fillId="4" borderId="117" xfId="1" applyBorder="1" applyAlignment="1">
      <alignment horizontal="center" vertical="center"/>
    </xf>
    <xf numFmtId="0" fontId="14" fillId="0" borderId="25" xfId="0" applyFont="1" applyBorder="1" applyAlignment="1">
      <alignment horizontal="center"/>
    </xf>
    <xf numFmtId="0" fontId="14" fillId="0" borderId="0" xfId="0" applyFont="1" applyAlignment="1">
      <alignment horizontal="center"/>
    </xf>
    <xf numFmtId="0" fontId="3" fillId="0" borderId="23"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2" fillId="4" borderId="74" xfId="1" applyBorder="1" applyAlignment="1">
      <alignment horizontal="left" vertical="center"/>
    </xf>
    <xf numFmtId="0" fontId="32" fillId="4" borderId="51" xfId="1" applyAlignment="1">
      <alignment horizontal="left" vertical="center"/>
    </xf>
    <xf numFmtId="0" fontId="3" fillId="0" borderId="36" xfId="0" applyFont="1" applyBorder="1" applyAlignment="1">
      <alignment horizontal="center"/>
    </xf>
    <xf numFmtId="0" fontId="3" fillId="0" borderId="36" xfId="0" applyFont="1" applyBorder="1" applyAlignment="1">
      <alignment horizontal="right"/>
    </xf>
    <xf numFmtId="0" fontId="4" fillId="0" borderId="0" xfId="0" applyFont="1" applyAlignment="1">
      <alignment horizontal="center"/>
    </xf>
    <xf numFmtId="0" fontId="32" fillId="4" borderId="93" xfId="1" applyBorder="1" applyAlignment="1">
      <alignment horizontal="left" vertical="center"/>
    </xf>
    <xf numFmtId="0" fontId="32" fillId="4" borderId="91" xfId="1" applyBorder="1" applyAlignment="1">
      <alignment horizontal="left" vertical="center"/>
    </xf>
    <xf numFmtId="0" fontId="31" fillId="0" borderId="64" xfId="6" applyBorder="1">
      <alignment horizontal="center"/>
    </xf>
    <xf numFmtId="0" fontId="31" fillId="0" borderId="65" xfId="6" applyBorder="1">
      <alignment horizontal="center"/>
    </xf>
    <xf numFmtId="0" fontId="33" fillId="5" borderId="90" xfId="3" applyBorder="1" applyAlignment="1">
      <alignment horizontal="center" wrapText="1"/>
    </xf>
    <xf numFmtId="0" fontId="33" fillId="5" borderId="0" xfId="3" applyBorder="1" applyAlignment="1">
      <alignment horizontal="center" wrapText="1"/>
    </xf>
    <xf numFmtId="0" fontId="3" fillId="0" borderId="0" xfId="0" applyFont="1" applyAlignment="1">
      <alignment horizontal="center"/>
    </xf>
    <xf numFmtId="0" fontId="4" fillId="0" borderId="21" xfId="0" applyFont="1" applyBorder="1" applyAlignment="1">
      <alignment horizontal="center" vertical="center"/>
    </xf>
    <xf numFmtId="0" fontId="4" fillId="0" borderId="20" xfId="0" applyFont="1" applyBorder="1" applyAlignment="1">
      <alignment horizontal="center" vertical="center"/>
    </xf>
    <xf numFmtId="0" fontId="32" fillId="4" borderId="74" xfId="1" applyBorder="1" applyAlignment="1">
      <alignment horizontal="center" vertical="center"/>
    </xf>
    <xf numFmtId="0" fontId="3" fillId="0" borderId="47" xfId="0" applyFont="1" applyBorder="1" applyAlignment="1">
      <alignment horizontal="center" vertical="center"/>
    </xf>
    <xf numFmtId="0" fontId="3" fillId="0" borderId="46" xfId="0" applyFont="1" applyBorder="1" applyAlignment="1">
      <alignment horizontal="center" vertical="center"/>
    </xf>
    <xf numFmtId="0" fontId="3" fillId="0" borderId="48" xfId="0" applyFont="1" applyBorder="1" applyAlignment="1">
      <alignment horizontal="center" vertical="center"/>
    </xf>
    <xf numFmtId="0" fontId="3" fillId="0" borderId="27"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49" fontId="3" fillId="0" borderId="7"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32" fillId="4" borderId="75" xfId="1" applyBorder="1" applyAlignment="1">
      <alignment horizontal="left" vertical="center"/>
    </xf>
    <xf numFmtId="0" fontId="32" fillId="4" borderId="70" xfId="1" applyBorder="1" applyAlignment="1">
      <alignment horizontal="left" vertical="center"/>
    </xf>
    <xf numFmtId="0" fontId="4" fillId="0" borderId="22" xfId="0" applyFont="1" applyBorder="1" applyAlignment="1">
      <alignment horizontal="center" vertical="center"/>
    </xf>
    <xf numFmtId="0" fontId="3" fillId="0" borderId="7" xfId="0" applyFont="1" applyBorder="1" applyAlignment="1">
      <alignment horizontal="center" vertical="center"/>
    </xf>
    <xf numFmtId="0" fontId="3" fillId="0" borderId="14" xfId="0" applyFont="1" applyBorder="1" applyAlignment="1">
      <alignment horizontal="center" vertical="center"/>
    </xf>
    <xf numFmtId="0" fontId="5" fillId="0" borderId="58" xfId="0" applyFont="1" applyBorder="1" applyAlignment="1">
      <alignment horizontal="center"/>
    </xf>
    <xf numFmtId="0" fontId="5" fillId="0" borderId="39" xfId="0" applyFont="1" applyBorder="1" applyAlignment="1">
      <alignment horizontal="center"/>
    </xf>
    <xf numFmtId="0" fontId="5" fillId="0" borderId="59" xfId="0" applyFont="1" applyBorder="1" applyAlignment="1">
      <alignment horizontal="center"/>
    </xf>
    <xf numFmtId="0" fontId="4" fillId="0" borderId="18" xfId="0" applyFont="1" applyBorder="1" applyAlignment="1">
      <alignment horizontal="left"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32" fillId="4" borderId="74" xfId="1" applyBorder="1" applyAlignment="1">
      <alignment horizontal="center" vertical="center" wrapText="1"/>
    </xf>
    <xf numFmtId="0" fontId="4" fillId="0" borderId="23" xfId="0" applyFont="1" applyBorder="1" applyAlignment="1">
      <alignment horizontal="center" vertical="center"/>
    </xf>
    <xf numFmtId="0" fontId="4" fillId="0" borderId="4" xfId="0" applyFont="1" applyBorder="1" applyAlignment="1">
      <alignment horizontal="center" vertical="center"/>
    </xf>
    <xf numFmtId="0" fontId="4" fillId="0" borderId="14" xfId="0" applyFont="1"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center" vertical="center" wrapText="1"/>
    </xf>
    <xf numFmtId="0" fontId="0" fillId="0" borderId="58" xfId="0" applyBorder="1" applyAlignment="1">
      <alignment horizontal="center"/>
    </xf>
    <xf numFmtId="0" fontId="0" fillId="0" borderId="39" xfId="0" applyBorder="1" applyAlignment="1">
      <alignment horizontal="center"/>
    </xf>
    <xf numFmtId="0" fontId="0" fillId="0" borderId="60" xfId="0" applyBorder="1" applyAlignment="1">
      <alignment horizontal="center"/>
    </xf>
    <xf numFmtId="0" fontId="0" fillId="0" borderId="0" xfId="0" applyAlignment="1">
      <alignment horizontal="center"/>
    </xf>
    <xf numFmtId="0" fontId="0" fillId="0" borderId="39" xfId="0" applyBorder="1" applyAlignment="1">
      <alignment horizontal="center" wrapText="1"/>
    </xf>
    <xf numFmtId="0" fontId="0" fillId="0" borderId="59" xfId="0" applyBorder="1" applyAlignment="1">
      <alignment horizontal="center" wrapText="1"/>
    </xf>
    <xf numFmtId="0" fontId="31" fillId="0" borderId="62" xfId="6" applyBorder="1">
      <alignment horizontal="center"/>
    </xf>
    <xf numFmtId="0" fontId="32" fillId="4" borderId="91" xfId="1" applyBorder="1" applyAlignment="1">
      <alignment horizontal="center" vertical="center"/>
      <extLst>
        <ext xmlns:xfpb="http://schemas.microsoft.com/office/spreadsheetml/2022/featurepropertybag" uri="{C7286773-470A-42A8-94C5-96B5CB345126}">
          <xfpb:xfComplement i="0"/>
        </ext>
      </extLst>
    </xf>
    <xf numFmtId="0" fontId="32" fillId="4" borderId="70" xfId="1" applyBorder="1" applyAlignment="1">
      <alignment horizontal="center" vertical="center"/>
      <extLst>
        <ext xmlns:xfpb="http://schemas.microsoft.com/office/spreadsheetml/2022/featurepropertybag" uri="{C7286773-470A-42A8-94C5-96B5CB345126}">
          <xfpb:xfComplement i="0"/>
        </ext>
      </extLst>
    </xf>
    <xf numFmtId="0" fontId="31" fillId="0" borderId="66" xfId="6" applyBorder="1">
      <alignment horizontal="center"/>
    </xf>
    <xf numFmtId="0" fontId="0" fillId="0" borderId="62" xfId="0" applyBorder="1" applyAlignment="1">
      <alignment horizontal="center"/>
    </xf>
    <xf numFmtId="0" fontId="0" fillId="0" borderId="53" xfId="0" applyBorder="1" applyAlignment="1">
      <alignment horizontal="center"/>
    </xf>
    <xf numFmtId="0" fontId="0" fillId="0" borderId="53" xfId="0" applyBorder="1" applyAlignment="1">
      <alignment horizontal="center" vertical="center" wrapText="1"/>
    </xf>
    <xf numFmtId="0" fontId="0" fillId="0" borderId="63" xfId="0" applyBorder="1" applyAlignment="1">
      <alignment horizontal="center" vertical="center" wrapText="1"/>
    </xf>
    <xf numFmtId="0" fontId="4" fillId="0" borderId="42" xfId="0" applyFont="1" applyBorder="1" applyAlignment="1">
      <alignment horizontal="center" vertical="center"/>
    </xf>
    <xf numFmtId="0" fontId="4" fillId="0" borderId="37" xfId="0" applyFont="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xf>
    <xf numFmtId="0" fontId="4" fillId="0" borderId="31" xfId="0" applyFont="1" applyBorder="1" applyAlignment="1">
      <alignment horizontal="center" vertical="center"/>
    </xf>
    <xf numFmtId="0" fontId="4" fillId="0" borderId="3" xfId="0" applyFont="1" applyBorder="1" applyAlignment="1">
      <alignment horizontal="center" vertical="center"/>
    </xf>
    <xf numFmtId="0" fontId="4" fillId="0" borderId="30" xfId="0" applyFont="1" applyBorder="1" applyAlignment="1">
      <alignment horizontal="center" vertical="center"/>
    </xf>
    <xf numFmtId="0" fontId="3" fillId="0" borderId="47" xfId="0" applyFont="1" applyBorder="1" applyAlignment="1">
      <alignment horizontal="center" vertical="center" wrapText="1"/>
    </xf>
    <xf numFmtId="0" fontId="4" fillId="0" borderId="19" xfId="0" applyFont="1" applyBorder="1" applyAlignment="1">
      <alignment horizontal="center" vertical="center"/>
    </xf>
    <xf numFmtId="0" fontId="4" fillId="0" borderId="43" xfId="0" applyFont="1" applyBorder="1" applyAlignment="1">
      <alignment horizontal="center" vertical="center"/>
    </xf>
    <xf numFmtId="0" fontId="0" fillId="0" borderId="59" xfId="0" applyBorder="1" applyAlignment="1">
      <alignment horizont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49" fontId="3" fillId="0" borderId="8" xfId="0" applyNumberFormat="1" applyFont="1" applyBorder="1" applyAlignment="1">
      <alignment horizontal="center" vertical="center"/>
    </xf>
    <xf numFmtId="0" fontId="3" fillId="0" borderId="10" xfId="0" applyFont="1" applyBorder="1" applyAlignment="1">
      <alignment horizontal="center" vertical="center"/>
    </xf>
    <xf numFmtId="0" fontId="4" fillId="0" borderId="31" xfId="0" applyFont="1" applyBorder="1" applyAlignment="1">
      <alignment horizontal="center"/>
    </xf>
    <xf numFmtId="0" fontId="4" fillId="0" borderId="3" xfId="0" applyFont="1" applyBorder="1" applyAlignment="1">
      <alignment horizontal="center"/>
    </xf>
    <xf numFmtId="0" fontId="4" fillId="0" borderId="30" xfId="0" applyFont="1" applyBorder="1" applyAlignment="1">
      <alignment horizontal="center"/>
    </xf>
    <xf numFmtId="0" fontId="3" fillId="0" borderId="47" xfId="0" applyFont="1" applyBorder="1" applyAlignment="1">
      <alignment horizontal="center"/>
    </xf>
    <xf numFmtId="0" fontId="3" fillId="0" borderId="46" xfId="0" applyFont="1" applyBorder="1" applyAlignment="1">
      <alignment horizontal="center"/>
    </xf>
    <xf numFmtId="0" fontId="3" fillId="0" borderId="48" xfId="0" applyFont="1" applyBorder="1" applyAlignment="1">
      <alignment horizontal="center"/>
    </xf>
    <xf numFmtId="0" fontId="3" fillId="0" borderId="27" xfId="0" applyFont="1" applyBorder="1" applyAlignment="1">
      <alignment horizontal="center"/>
    </xf>
    <xf numFmtId="0" fontId="3" fillId="0" borderId="5" xfId="0" applyFont="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49" fontId="3" fillId="0" borderId="41" xfId="0" applyNumberFormat="1" applyFont="1" applyBorder="1" applyAlignment="1">
      <alignment horizontal="center" vertical="center"/>
    </xf>
    <xf numFmtId="0" fontId="3" fillId="0" borderId="45" xfId="0" applyFont="1" applyBorder="1" applyAlignment="1">
      <alignment horizontal="center" vertical="center"/>
    </xf>
    <xf numFmtId="0" fontId="3" fillId="0" borderId="23" xfId="0" applyFont="1" applyBorder="1" applyAlignment="1">
      <alignment horizontal="center"/>
    </xf>
    <xf numFmtId="0" fontId="3" fillId="0" borderId="4" xfId="0" applyFont="1" applyBorder="1" applyAlignment="1">
      <alignment horizontal="center"/>
    </xf>
    <xf numFmtId="0" fontId="3" fillId="0" borderId="2" xfId="0" applyFont="1" applyBorder="1" applyAlignment="1">
      <alignment horizontal="center"/>
    </xf>
    <xf numFmtId="0" fontId="3" fillId="0" borderId="7"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3" fillId="0" borderId="33" xfId="0" applyFont="1" applyBorder="1" applyAlignment="1">
      <alignment horizontal="center" vertical="center"/>
    </xf>
    <xf numFmtId="0" fontId="4" fillId="0" borderId="0" xfId="0" applyFont="1" applyAlignment="1">
      <alignment horizontal="center" vertical="center"/>
    </xf>
    <xf numFmtId="0" fontId="3" fillId="0" borderId="50" xfId="0" applyFont="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28" xfId="0" applyFont="1" applyBorder="1" applyAlignment="1">
      <alignment horizontal="center" vertical="center"/>
    </xf>
    <xf numFmtId="0" fontId="3" fillId="0" borderId="3"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1" fontId="3" fillId="0" borderId="27" xfId="0" applyNumberFormat="1" applyFont="1" applyBorder="1" applyAlignment="1">
      <alignment horizontal="center" vertical="center"/>
    </xf>
    <xf numFmtId="1" fontId="3" fillId="0" borderId="0" xfId="0" applyNumberFormat="1" applyFont="1" applyAlignment="1">
      <alignment horizontal="center" vertical="center"/>
    </xf>
    <xf numFmtId="1" fontId="3" fillId="0" borderId="24" xfId="0" applyNumberFormat="1" applyFont="1" applyBorder="1" applyAlignment="1">
      <alignment horizontal="center" vertical="center"/>
    </xf>
    <xf numFmtId="1" fontId="3" fillId="0" borderId="25" xfId="0" applyNumberFormat="1" applyFont="1" applyBorder="1" applyAlignment="1">
      <alignment horizontal="center" vertical="center"/>
    </xf>
    <xf numFmtId="1" fontId="3" fillId="0" borderId="24" xfId="0" applyNumberFormat="1" applyFont="1" applyBorder="1" applyAlignment="1">
      <alignment horizontal="center"/>
    </xf>
    <xf numFmtId="1" fontId="3" fillId="0" borderId="25" xfId="0" applyNumberFormat="1" applyFont="1" applyBorder="1" applyAlignment="1">
      <alignment horizontal="center"/>
    </xf>
    <xf numFmtId="1" fontId="3" fillId="0" borderId="26" xfId="0" applyNumberFormat="1" applyFont="1" applyBorder="1" applyAlignment="1">
      <alignment horizontal="center"/>
    </xf>
    <xf numFmtId="1" fontId="3" fillId="0" borderId="5" xfId="0" applyNumberFormat="1" applyFont="1" applyBorder="1" applyAlignment="1">
      <alignment horizontal="center" vertical="center"/>
    </xf>
    <xf numFmtId="1" fontId="3" fillId="0" borderId="26" xfId="0" applyNumberFormat="1"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1" fontId="3" fillId="0" borderId="16" xfId="0" applyNumberFormat="1" applyFont="1" applyBorder="1" applyAlignment="1">
      <alignment horizontal="center"/>
    </xf>
    <xf numFmtId="1" fontId="3" fillId="0" borderId="16" xfId="0" applyNumberFormat="1" applyFont="1" applyBorder="1" applyAlignment="1">
      <alignment horizontal="center" vertical="center"/>
    </xf>
    <xf numFmtId="1" fontId="3" fillId="0" borderId="17" xfId="0" applyNumberFormat="1" applyFont="1" applyBorder="1" applyAlignment="1">
      <alignment horizontal="center" vertical="center"/>
    </xf>
    <xf numFmtId="0" fontId="3" fillId="0" borderId="49" xfId="0" applyFont="1" applyBorder="1" applyAlignment="1">
      <alignment horizontal="center" vertical="center"/>
    </xf>
    <xf numFmtId="1" fontId="3" fillId="0" borderId="49" xfId="0" applyNumberFormat="1" applyFont="1" applyBorder="1" applyAlignment="1">
      <alignment horizontal="center" vertical="center"/>
    </xf>
    <xf numFmtId="1" fontId="3" fillId="0" borderId="49" xfId="0" applyNumberFormat="1" applyFont="1" applyBorder="1" applyAlignment="1">
      <alignment horizontal="center"/>
    </xf>
    <xf numFmtId="1" fontId="3" fillId="0" borderId="17" xfId="0" applyNumberFormat="1" applyFont="1" applyBorder="1" applyAlignment="1">
      <alignment horizontal="center"/>
    </xf>
    <xf numFmtId="0" fontId="3" fillId="0" borderId="37" xfId="0" applyFont="1" applyBorder="1" applyAlignment="1">
      <alignment horizontal="center" vertical="center"/>
    </xf>
    <xf numFmtId="0" fontId="3" fillId="0" borderId="43" xfId="0" applyFont="1" applyBorder="1" applyAlignment="1">
      <alignment horizontal="center" vertical="center"/>
    </xf>
    <xf numFmtId="1" fontId="3" fillId="0" borderId="8" xfId="0" applyNumberFormat="1" applyFont="1" applyBorder="1" applyAlignment="1">
      <alignment horizontal="center"/>
    </xf>
    <xf numFmtId="1" fontId="3" fillId="0" borderId="10" xfId="0" applyNumberFormat="1" applyFont="1" applyBorder="1" applyAlignment="1">
      <alignment horizontal="center"/>
    </xf>
    <xf numFmtId="1" fontId="3" fillId="0" borderId="8" xfId="0" applyNumberFormat="1" applyFont="1" applyBorder="1" applyAlignment="1">
      <alignment horizontal="center" vertical="center"/>
    </xf>
    <xf numFmtId="0" fontId="3" fillId="0" borderId="42" xfId="0" applyFont="1" applyBorder="1" applyAlignment="1">
      <alignment horizontal="center"/>
    </xf>
    <xf numFmtId="0" fontId="3" fillId="0" borderId="37" xfId="0" applyFont="1" applyBorder="1" applyAlignment="1">
      <alignment horizontal="center"/>
    </xf>
    <xf numFmtId="49" fontId="3" fillId="0" borderId="37" xfId="0" applyNumberFormat="1" applyFont="1" applyBorder="1" applyAlignment="1">
      <alignment horizontal="center" vertical="center"/>
    </xf>
    <xf numFmtId="49" fontId="3" fillId="0" borderId="43" xfId="0" applyNumberFormat="1" applyFont="1" applyBorder="1" applyAlignment="1">
      <alignment horizontal="center" vertical="center"/>
    </xf>
    <xf numFmtId="0" fontId="0" fillId="0" borderId="24" xfId="0" applyBorder="1" applyAlignment="1">
      <alignment horizontal="center"/>
    </xf>
    <xf numFmtId="0" fontId="0" fillId="0" borderId="25" xfId="0"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0" fillId="0" borderId="27" xfId="0" applyBorder="1" applyAlignment="1">
      <alignment horizontal="center"/>
    </xf>
  </cellXfs>
  <cellStyles count="10">
    <cellStyle name="20 % - Akzent3" xfId="8" builtinId="38"/>
    <cellStyle name="Akzent3" xfId="2" builtinId="37"/>
    <cellStyle name="Berechnung" xfId="3" builtinId="22" customBuiltin="1"/>
    <cellStyle name="Besuchter Hyperlink" xfId="4" builtinId="9"/>
    <cellStyle name="Eingabe" xfId="1" builtinId="20" customBuiltin="1"/>
    <cellStyle name="Link" xfId="7" builtinId="8"/>
    <cellStyle name="Standard" xfId="0" builtinId="0" customBuiltin="1"/>
    <cellStyle name="Standard 2" xfId="9" xr:uid="{C5CEEA43-F7F3-4C14-85AF-9FD8F03A0653}"/>
    <cellStyle name="Überschrift Manuell" xfId="6" xr:uid="{2B04B019-4804-4D7F-9E94-7DEFC832DE36}"/>
    <cellStyle name="Zelle überprüfen" xfId="5" builtinId="23" customBuiltin="1"/>
  </cellStyles>
  <dxfs count="91">
    <dxf>
      <font>
        <strike/>
      </font>
      <fill>
        <patternFill>
          <bgColor theme="0" tint="-0.24994659260841701"/>
        </patternFill>
      </fill>
    </dxf>
    <dxf>
      <font>
        <strike/>
      </font>
      <fill>
        <patternFill>
          <bgColor theme="0" tint="-0.24994659260841701"/>
        </patternFill>
      </fill>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Bahnenschrift"/>
        <scheme val="none"/>
      </font>
      <fill>
        <patternFill patternType="solid">
          <fgColor theme="4" tint="0.79998168889431442"/>
          <bgColor theme="4" tint="0.79998168889431442"/>
        </patternFill>
      </fill>
      <alignment horizontal="general" vertical="bottom"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Bahnenschrift"/>
        <scheme val="none"/>
      </font>
      <fill>
        <patternFill patternType="solid">
          <fgColor theme="4"/>
          <bgColor theme="4"/>
        </patternFill>
      </fil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ennis Adamski" id="{BE0027D8-07B6-43E5-A3B3-E58AD77C47DF}" userId="6123b6d7adaf152b"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CA2590-8613-475A-AA35-249DCCDC3D0C}" name="Tabelle3" displayName="Tabelle3" ref="A1:I26" totalsRowShown="0" headerRowCellStyle="Standard" dataCellStyle="Standard">
  <autoFilter ref="A1:I26" xr:uid="{15CA2590-8613-475A-AA35-249DCCDC3D0C}"/>
  <sortState xmlns:xlrd2="http://schemas.microsoft.com/office/spreadsheetml/2017/richdata2" ref="A2:I26">
    <sortCondition descending="1" ref="E1:E26"/>
  </sortState>
  <tableColumns count="9">
    <tableColumn id="1" xr3:uid="{CD872414-3E4D-4B77-BAE1-A1C118E3C448}" name="Zaubername:" dataCellStyle="Standard"/>
    <tableColumn id="2" xr3:uid="{7459F785-FA04-4FD4-B2B4-A8BB97B3E2C9}" name="Hauszauber" dataCellStyle="Standard"/>
    <tableColumn id="3" xr3:uid="{B1591C66-2FFF-42B8-9860-F4B2724A6838}" name="Lernen nach" dataCellStyle="Standard"/>
    <tableColumn id="4" xr3:uid="{DFE0B2BA-63C4-4EC1-90F8-B91E9509BE95}" name="Probe" dataCellStyle="Standard"/>
    <tableColumn id="5" xr3:uid="{CF7D3E93-6FE1-4626-A0D1-88BFE014A7CE}" name="ZfW" dataCellStyle="Standard"/>
    <tableColumn id="6" xr3:uid="{5A2A7821-C4E6-433D-8A75-3BEB8634481B}" name="ZD" dataCellStyle="Standard"/>
    <tableColumn id="7" xr3:uid="{F53C2D26-4B65-4FA7-AC46-A52E64FCBC60}" name="Kosten" dataCellStyle="Standard"/>
    <tableColumn id="8" xr3:uid="{5F6ABA13-891D-47F6-859B-4D40CFEAC015}" name="Reichweite" dataCellStyle="Standard"/>
    <tableColumn id="9" xr3:uid="{4FCC811B-A533-4D63-A78B-A7C5C279A648}" name="WD" dataCellStyle="Stand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A12B7D-91C6-4156-8490-0CB814FF05CE}" name="Nahkampfwaffen" displayName="Nahkampfwaffen" ref="A3:BW157" totalsRowShown="0" headerRowCellStyle="Überschrift Manuell">
  <autoFilter ref="A3:BW157" xr:uid="{64A12B7D-91C6-4156-8490-0CB814FF05CE}">
    <filterColumn colId="2">
      <filters>
        <filter val="Säbel"/>
      </filters>
    </filterColumn>
  </autoFilter>
  <tableColumns count="75">
    <tableColumn id="1" xr3:uid="{F2AC8A8F-7211-4E5E-980F-4D1A0EA455E5}" name="Typ" dataCellStyle="Berechnung"/>
    <tableColumn id="2" xr3:uid="{9EDA953A-053A-40AE-8EF9-71C1EBD71019}" name="Waffe" dataCellStyle="Berechnung"/>
    <tableColumn id="3" xr3:uid="{DC177DE6-E05D-4997-96F6-B4891521A971}" name="Talent" dataCellStyle="Berechnung"/>
    <tableColumn id="43" xr3:uid="{FB2D67E9-805F-4BC6-987D-8BF80D026571}" name="Mögliche Manöver" dataDxfId="90" dataCellStyle="Berechnung"/>
    <tableColumn id="4" xr3:uid="{158CC123-E9D9-4EEC-BE7E-F95CA41FB8CF}" name="Manöver mit Waffenmeister" dataDxfId="89" dataCellStyle="Berechnung">
      <calculatedColumnFormula>IF(ISTEXT(Nahkampfwaffen[[#This Row],[Waffenmeister: Manöver]]),_xlfn.CONCAT(Nahkampfwaffen[[#This Row],[Mögliche Manöver]]," ",Nahkampfwaffen[[#This Row],[Waffenmeister: Manöver]],","),Nahkampfwaffen[[#This Row],[Mögliche Manöver]])</calculatedColumnFormula>
    </tableColumn>
    <tableColumn id="42" xr3:uid="{B301367C-06D9-4EB7-AE17-A5A9417CB88D}" name="Aktivierte Manöver" dataDxfId="88" dataCellStyle="Berechnung">
      <calculatedColumnFormula>_xlfn.TEXTJOIN("; ",TRUE,Nahkampfwaffen[[#This Row],[Ausfall]:[Wuchtschlag]])</calculatedColumnFormula>
    </tableColumn>
    <tableColumn id="5" xr3:uid="{8521C738-9F40-4954-887E-3554C4FFCE81}" name="Komplexität" dataDxfId="87" dataCellStyle="Eingabe"/>
    <tableColumn id="6" xr3:uid="{DAF4E3E2-8E58-46BF-9592-3A8EFAB9311D}" name="Waffenmeister: AT" dataDxfId="86" dataCellStyle="Eingabe"/>
    <tableColumn id="7" xr3:uid="{FE5B11B3-B761-4819-A368-DE1C00FA183B}" name="Waffenmeister: PA" dataDxfId="85" dataCellStyle="Eingabe"/>
    <tableColumn id="8" xr3:uid="{18A6A459-E978-4D17-9488-2E6CFD578F36}" name="Waffenmeister: INI" dataDxfId="84" dataCellStyle="Eingabe"/>
    <tableColumn id="10" xr3:uid="{9136FF2B-C4D4-4FDE-9293-0D219F83256D}" name="Waffenmeister: TP/KK / INI/GE" dataDxfId="83" dataCellStyle="Eingabe"/>
    <tableColumn id="13" xr3:uid="{3A634484-2885-47AF-A622-BADB2BCD4106}" name="Waffenmeister:TP" dataDxfId="82" dataCellStyle="Eingabe">
      <calculatedColumnFormula>IF(Nahkampfwaffen[[#This Row],[Waffenmeister: TP/KK / INI/GE]]="TP/KK",1,0)</calculatedColumnFormula>
    </tableColumn>
    <tableColumn id="15" xr3:uid="{345299E0-3F7E-4ABF-A4D4-4446AAFD505D}" name="Waffenmeister:INI" dataDxfId="81" dataCellStyle="Eingabe">
      <calculatedColumnFormula>IF(Nahkampfwaffen[[#This Row],[Waffenmeister: TP/KK / INI/GE]]="INI/GE",1,0)</calculatedColumnFormula>
    </tableColumn>
    <tableColumn id="11" xr3:uid="{8DC2ECAC-C5CE-44FC-B95C-0E1FC44A2729}" name="Waffenmeister: Manöver" dataDxfId="80" dataCellStyle="Eingabe"/>
    <tableColumn id="9" xr3:uid="{B8115375-210C-4E0E-96C9-040D2373F4BE}" name="Waffenmeister: Manöver Erleichterungen" dataDxfId="79" dataCellStyle="Eingabe"/>
    <tableColumn id="14" xr3:uid="{4F63F2A7-96A7-4180-8665-881709FF6983}" name="Calc:Erleichterung" dataDxfId="78"/>
    <tableColumn id="12" xr3:uid="{51B69707-1FA5-4014-AF86-8205F51E1165}" name="Waffenmeister: Berechnung" dataDxfId="77">
      <calculatedColumnFormula>15-5*(Nahkampfwaffen[[#This Row],[Waffenmeister: AT]]+Nahkampfwaffen[[#This Row],[Waffenmeister: PA]])-3*(Nahkampfwaffen[[#This Row],[Waffenmeister: INI]])-IF(Nahkampfwaffen[[#This Row],[Waffenmeister: TP/KK / INI/GE]]="TP/KK",2,0)</calculatedColumnFormula>
    </tableColumn>
    <tableColumn id="16" xr3:uid="{D6A57B3C-6FDA-4D5D-94FB-3687E5C3EB87}" name="Ausfall" dataDxfId="76">
      <calculatedColumnFormula>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calculatedColumnFormula>
    </tableColumn>
    <tableColumn id="17" xr3:uid="{B2DDA637-0508-442A-A46F-6A407A1D1F69}" name="Befreiungsschlag" dataDxfId="75">
      <calculatedColumnFormula>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calculatedColumnFormula>
    </tableColumn>
    <tableColumn id="18" xr3:uid="{5B37A50A-767D-4C99-879A-80B0C71A480B}" name="Betäubungsschlag" dataDxfId="74">
      <calculatedColumnFormula>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calculatedColumnFormula>
    </tableColumn>
    <tableColumn id="19" xr3:uid="{CDB150E7-A4F2-4446-AFE0-F2D4BA95936A}" name="Binden" dataDxfId="73">
      <calculatedColumnFormula>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calculatedColumnFormula>
    </tableColumn>
    <tableColumn id="20" xr3:uid="{145BB8AE-7A02-4FAC-A2D4-A1E7379CFE8E}" name="Defensiver Kampfstil" dataDxfId="72">
      <calculatedColumnFormula>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calculatedColumnFormula>
    </tableColumn>
    <tableColumn id="21" xr3:uid="{2E16B436-7A54-49F9-AC87-FFA7DD7D8416}" name="Doppelangriff" dataDxfId="71">
      <calculatedColumnFormula>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calculatedColumnFormula>
    </tableColumn>
    <tableColumn id="22" xr3:uid="{794F22AB-3D07-48F8-927F-E95AD85D867A}" name="Entwaffnen" dataDxfId="70">
      <calculatedColumnFormula>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calculatedColumnFormula>
    </tableColumn>
    <tableColumn id="44" xr3:uid="{8380E84C-C61C-46FE-BF5C-44825B06AE51}" name="Entwaffnen (Meisterlich)" dataDxfId="69">
      <calculatedColumnFormula>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calculatedColumnFormula>
    </tableColumn>
    <tableColumn id="23" xr3:uid="{AC015B01-533E-49EA-A7A8-AC388B1796F0}" name="Festnageln" dataDxfId="68">
      <calculatedColumnFormula>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calculatedColumnFormula>
    </tableColumn>
    <tableColumn id="24" xr3:uid="{8A1CC53B-5C52-4CAD-A056-4C3A85E27FCB}" name="Finte" dataDxfId="67">
      <calculatedColumnFormula>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calculatedColumnFormula>
    </tableColumn>
    <tableColumn id="25" xr3:uid="{48A98476-5655-4BA2-AC37-21ACE6BF9174}" name="Formation" dataDxfId="66">
      <calculatedColumnFormula>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calculatedColumnFormula>
    </tableColumn>
    <tableColumn id="26" xr3:uid="{AC106238-66AB-4611-9467-8108D4C63060}" name="Formations-Parade" dataDxfId="65">
      <calculatedColumnFormula>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calculatedColumnFormula>
    </tableColumn>
    <tableColumn id="27" xr3:uid="{8907F0C8-9A95-4CDF-B3C1-9A87A70E5AF9}" name="Gegenhalten" dataDxfId="64">
      <calculatedColumnFormula>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calculatedColumnFormula>
    </tableColumn>
    <tableColumn id="28" xr3:uid="{EFDBE30D-F647-4203-A86B-63915C142B57}" name="Gezielter Stich" dataDxfId="63">
      <calculatedColumnFormula>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calculatedColumnFormula>
    </tableColumn>
    <tableColumn id="29" xr3:uid="{50AA42FD-0F69-4480-B979-C91D9D8B0875}" name="Halbschwert" dataDxfId="62">
      <calculatedColumnFormula>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calculatedColumnFormula>
    </tableColumn>
    <tableColumn id="30" xr3:uid="{FD5C0ED6-1C38-4775-8AB7-4DD4D34BB231}" name="Hammerschlag" dataDxfId="61">
      <calculatedColumnFormula>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calculatedColumnFormula>
    </tableColumn>
    <tableColumn id="31" xr3:uid="{FBFEA42C-CED3-40D8-A4FB-9C03D55F5517}" name="Klingensturm" dataDxfId="60">
      <calculatedColumnFormula>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calculatedColumnFormula>
    </tableColumn>
    <tableColumn id="32" xr3:uid="{7514F665-B9B6-4F65-AC94-EFDBB0DE5C06}" name="Klingenwand" dataDxfId="59">
      <calculatedColumnFormula>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calculatedColumnFormula>
    </tableColumn>
    <tableColumn id="33" xr3:uid="{5FC790EA-6EF3-47FA-8114-F0A3237CFB40}" name="Meisterparade" dataDxfId="58">
      <calculatedColumnFormula>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calculatedColumnFormula>
    </tableColumn>
    <tableColumn id="34" xr3:uid="{4E248D60-32B5-4C89-B069-FCE7B843670C}" name="Niederwerfen" dataDxfId="57">
      <calculatedColumnFormula>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calculatedColumnFormula>
    </tableColumn>
    <tableColumn id="47" xr3:uid="{8BAE220D-061C-4193-9F16-7C4DBDA853C1}" name="Offensiver Distanzklassenwechsel" dataDxfId="56">
      <calculatedColumnFormula>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calculatedColumnFormula>
    </tableColumn>
    <tableColumn id="46" xr3:uid="{C4731346-1342-4ADE-B910-5E56E62FD313}" name="Offensiver Kampfstil" dataDxfId="55">
      <calculatedColumnFormula>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calculatedColumnFormula>
    </tableColumn>
    <tableColumn id="45" xr3:uid="{2D70BCA1-1CB2-4BDF-A2A0-A794488F82B0}" name="Seitenwechsel" dataDxfId="54">
      <calculatedColumnFormula>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calculatedColumnFormula>
    </tableColumn>
    <tableColumn id="35" xr3:uid="{284FC2FA-DE66-489B-B367-ACF1C6BF1427}" name="Schildspalter" dataDxfId="53">
      <calculatedColumnFormula>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calculatedColumnFormula>
    </tableColumn>
    <tableColumn id="36" xr3:uid="{F89FB839-6E81-42CA-AB55-8F183B50D46C}" name="Stumpfer Schlag" dataDxfId="52">
      <calculatedColumnFormula>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calculatedColumnFormula>
    </tableColumn>
    <tableColumn id="37" xr3:uid="{F3DD3A9C-F510-4B71-98D6-B61D987B4D76}" name="Sturmangriff" dataDxfId="51">
      <calculatedColumnFormula>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calculatedColumnFormula>
    </tableColumn>
    <tableColumn id="38" xr3:uid="{53D464B4-B7B4-4A93-AF45-3B62526C4CA2}" name="Todesstoß" dataDxfId="50">
      <calculatedColumnFormula>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calculatedColumnFormula>
    </tableColumn>
    <tableColumn id="39" xr3:uid="{49C2209D-D1B3-48B7-9BC0-F24A98EEF5B0}" name="Umreißen" dataDxfId="49">
      <calculatedColumnFormula>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calculatedColumnFormula>
    </tableColumn>
    <tableColumn id="40" xr3:uid="{5CD683C0-41CD-4F79-99EF-B05A0E698C8D}" name="Windmühle" dataDxfId="48">
      <calculatedColumnFormula>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calculatedColumnFormula>
    </tableColumn>
    <tableColumn id="41" xr3:uid="{03F4A42D-0F04-49D0-B74A-5D02B77B662C}" name="Wuchtschlag" dataDxfId="47">
      <calculatedColumnFormula>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calculatedColumnFormula>
    </tableColumn>
    <tableColumn id="48" xr3:uid="{031F1B8D-3B3B-4FFF-8133-8E99606C28FC}" name="Auspendeln" dataDxfId="46">
      <calculatedColumnFormula>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calculatedColumnFormula>
    </tableColumn>
    <tableColumn id="49" xr3:uid="{3B76AAC6-C830-4E02-AA4D-77916689A11F}" name="Beinarbeit" dataDxfId="45"/>
    <tableColumn id="50" xr3:uid="{45C13405-8985-4C4F-A555-6AFC0E890342}" name="Biss" dataDxfId="44"/>
    <tableColumn id="51" xr3:uid="{0023A67E-9AC5-4C9F-8B52-C9C0E8B2FAAD}" name="Block" dataDxfId="43"/>
    <tableColumn id="52" xr3:uid="{188B480A-9B20-42F6-A9CA-0BB978F755E5}" name="Doppelschlag" dataDxfId="42"/>
    <tableColumn id="53" xr3:uid="{BA0CE448-CB1E-4B62-8069-B02F64D03152}" name="Eisenarm" dataDxfId="41"/>
    <tableColumn id="54" xr3:uid="{3A8C2406-D64C-4236-8091-0B68648DFDFC}" name="Fußfeger" dataDxfId="40"/>
    <tableColumn id="55" xr3:uid="{B22AEE52-D29B-486C-B13D-BA5309DF9152}" name="Gerade" dataDxfId="39"/>
    <tableColumn id="56" xr3:uid="{814D16F2-27BB-43F0-A93B-70F486E74C3B}" name="Griff" dataDxfId="38"/>
    <tableColumn id="57" xr3:uid="{461F0563-3B6F-44F2-AFF4-420D99A8C9D9}" name="Handkante" dataDxfId="37"/>
    <tableColumn id="58" xr3:uid="{67A9F690-FE37-4F16-BF8C-B9E743215253}" name="Halten" dataDxfId="36"/>
    <tableColumn id="59" xr3:uid="{6249D510-7840-4E61-BBE7-049715CD9800}" name="Hoher Tritt" dataDxfId="35"/>
    <tableColumn id="60" xr3:uid="{1871656A-9892-4487-8091-054014ADB618}" name="Klammer" dataDxfId="34"/>
    <tableColumn id="61" xr3:uid="{18887B29-1F7E-48AC-8F48-81776974CB02}" name="Knaufschlag" dataDxfId="33"/>
    <tableColumn id="62" xr3:uid="{33FAB1DB-986C-4200-B960-E01587ECF69E}" name="Knie" dataDxfId="32"/>
    <tableColumn id="63" xr3:uid="{C851221A-21C9-4954-8C28-9D859FD08737}" name="Kopfstoß" dataDxfId="31"/>
    <tableColumn id="64" xr3:uid="{BD5A745F-7750-455F-9E50-456EBE8C391A}" name="Kreuzblock" dataDxfId="30"/>
    <tableColumn id="65" xr3:uid="{CA5044DF-F6C0-475D-87AB-AAE2B1EA2832}" name="Niederringen" dataDxfId="29"/>
    <tableColumn id="66" xr3:uid="{B816CB32-C67A-4AD4-9DCA-C2E95CF95A8B}" name="Schmetterschlag" dataDxfId="28"/>
    <tableColumn id="67" xr3:uid="{68BD96D2-71A3-4492-B983-EF03E978DD6F}" name="Schmutzige Tricks" dataDxfId="27"/>
    <tableColumn id="68" xr3:uid="{CEF42F03-A6FE-4E4A-8788-4450964AF87D}" name="Schwinger" dataDxfId="26"/>
    <tableColumn id="69" xr3:uid="{2BD607FC-F379-4B39-9095-57D5E7AA06D2}" name="Schwitzkasten" dataDxfId="25"/>
    <tableColumn id="70" xr3:uid="{5162D9ED-1C93-41A6-8A54-E79D9D51A69B}" name="Sprung" dataDxfId="24">
      <calculatedColumnFormula>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calculatedColumnFormula>
    </tableColumn>
    <tableColumn id="71" xr3:uid="{1E16AC53-ED57-4CCC-A738-C2B6AA6B5AD1}" name="Sprungtritt" dataDxfId="23"/>
    <tableColumn id="72" xr3:uid="{379801DB-AD25-4903-815F-0AC17FD965F9}" name="Tritt" dataDxfId="22"/>
    <tableColumn id="73" xr3:uid="{552A3A6E-C7D2-4492-B186-7E0F85E5F7C2}" name="Versteckte Klinge" dataDxfId="21"/>
    <tableColumn id="74" xr3:uid="{E09D54DA-ED94-4133-B1F5-E188456BD294}" name="Wurf" dataDxfId="20"/>
    <tableColumn id="75" xr3:uid="{0EA87CB1-2DE7-4227-B07D-4EE1982468EE}" name="Würgegriff"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6A8A68-2833-499A-9C8F-0394B5C67949}" name="Fenrkampfwaffen" displayName="Fenrkampfwaffen" ref="A160:L209" totalsRowShown="0" headerRowDxfId="18" dataDxfId="16" headerRowBorderDxfId="17" tableBorderDxfId="15" totalsRowBorderDxfId="14">
  <autoFilter ref="A160:L209" xr:uid="{596A8A68-2833-499A-9C8F-0394B5C67949}"/>
  <tableColumns count="12">
    <tableColumn id="1" xr3:uid="{FC99EEA1-CA66-474E-AD81-A0DF93771FB3}" name="Typ" dataDxfId="13"/>
    <tableColumn id="2" xr3:uid="{3CB526B4-7341-40EC-AABA-B5CB83A6D083}" name="Waffe" dataDxfId="12"/>
    <tableColumn id="3" xr3:uid="{B30151E8-69B3-4A07-9F28-E041EA8F59D8}" name="Talent" dataDxfId="11"/>
    <tableColumn id="4" xr3:uid="{4BFA5BC9-C1DE-4A09-A571-4F8820CBB74D}" name="Mögliche Manöver" dataDxfId="10"/>
    <tableColumn id="12" xr3:uid="{501DE160-BC86-4DC3-B4EF-321044E3985D}" name="Manöver mit Waffenmeister" dataDxfId="9">
      <calculatedColumnFormula>IF(ISTEXT(Fenrkampfwaffen[[#This Row],[Waffenmeister: Manöver]]),_xlfn.CONCAT(Fenrkampfwaffen[[#This Row],[Mögliche Manöver]]," ",Fenrkampfwaffen[[#This Row],[Waffenmeister: Manöver]],","),Fenrkampfwaffen[[#This Row],[Mögliche Manöver]])</calculatedColumnFormula>
    </tableColumn>
    <tableColumn id="7" xr3:uid="{8430F59C-274F-4AE9-A55F-680EB15B5670}" name="Aktivierte Manöver" dataDxfId="8">
      <calculatedColumnFormula>_xlfn.TEXTJOIN("; ",TRUE,Nahkampfwaffen[[#This Row],[Ausfall]:[Wuchtschlag]])</calculatedColumnFormula>
    </tableColumn>
    <tableColumn id="5" xr3:uid="{54A4544D-3963-4FB2-A3DF-BA975BD03098}" name="Komplexität" dataDxfId="7"/>
    <tableColumn id="6" xr3:uid="{74AD2A27-F671-431F-882C-D74BB7E72103}" name="Waffenmeister: AT" dataDxfId="6"/>
    <tableColumn id="8" xr3:uid="{80376A85-160A-407F-8711-56D9AFBE4F30}" name="Waffenmeister: INI" dataDxfId="5"/>
    <tableColumn id="9" xr3:uid="{23BA2109-CFCF-48E0-B31F-8C0A435B8760}" name="Waffenmeister: TP/KK / INI/GE" dataDxfId="4"/>
    <tableColumn id="10" xr3:uid="{1BE5603A-D869-4E87-A674-319DC4CBF48D}" name="Waffenmeister: Manöver" dataDxfId="3"/>
    <tableColumn id="11" xr3:uid="{7A4A8451-3B9A-472D-8EFD-BAD87A6C5F1F}" name="Waffenmeister: Berechnung" dataDxfId="2"/>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24" dT="2024-01-18T23:23:56.61" personId="{BE0027D8-07B6-43E5-A3B3-E58AD77C47DF}" id="{2E72E575-DF25-4063-9041-0E55F1B52EF2}">
    <text>Abrunden?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https://de.wiki-aventurica.de/wiki/Niederwerfen" TargetMode="External"/><Relationship Id="rId13" Type="http://schemas.openxmlformats.org/officeDocument/2006/relationships/hyperlink" Target="https://de.wiki-aventurica.de/wiki/Halbschwert" TargetMode="External"/><Relationship Id="rId18" Type="http://schemas.openxmlformats.org/officeDocument/2006/relationships/hyperlink" Target="https://de.wiki-aventurica.de/wiki/Finte" TargetMode="External"/><Relationship Id="rId26" Type="http://schemas.openxmlformats.org/officeDocument/2006/relationships/hyperlink" Target="https://de.wiki-aventurica.de/wiki/Festnageln" TargetMode="External"/><Relationship Id="rId3" Type="http://schemas.openxmlformats.org/officeDocument/2006/relationships/hyperlink" Target="https://de.wiki-aventurica.de/wiki/Umrei%C3%9Fen" TargetMode="External"/><Relationship Id="rId21" Type="http://schemas.openxmlformats.org/officeDocument/2006/relationships/hyperlink" Target="https://de.wiki-aventurica.de/wiki/Defensiver_Kampfstil" TargetMode="External"/><Relationship Id="rId7" Type="http://schemas.openxmlformats.org/officeDocument/2006/relationships/hyperlink" Target="https://de.wiki-aventurica.de/wiki/Schildspalter" TargetMode="External"/><Relationship Id="rId12" Type="http://schemas.openxmlformats.org/officeDocument/2006/relationships/hyperlink" Target="https://de.wiki-aventurica.de/wiki/Hammerschlag_(Sonderfertigkeit)" TargetMode="External"/><Relationship Id="rId17" Type="http://schemas.openxmlformats.org/officeDocument/2006/relationships/hyperlink" Target="https://de.wiki-aventurica.de/wiki/Formation" TargetMode="External"/><Relationship Id="rId25" Type="http://schemas.openxmlformats.org/officeDocument/2006/relationships/hyperlink" Target="https://de.wiki-aventurica.de/wiki/Ausfall_(Zweikampf)" TargetMode="External"/><Relationship Id="rId2" Type="http://schemas.openxmlformats.org/officeDocument/2006/relationships/hyperlink" Target="https://de.wiki-aventurica.de/wiki/Windm%C3%BChle_(Sonderfertigkeit)" TargetMode="External"/><Relationship Id="rId16" Type="http://schemas.openxmlformats.org/officeDocument/2006/relationships/hyperlink" Target="https://de.wiki-aventurica.de/wiki/Formation" TargetMode="External"/><Relationship Id="rId20" Type="http://schemas.openxmlformats.org/officeDocument/2006/relationships/hyperlink" Target="https://de.wiki-aventurica.de/wiki/Doppelangriff" TargetMode="External"/><Relationship Id="rId1" Type="http://schemas.openxmlformats.org/officeDocument/2006/relationships/hyperlink" Target="https://de.wiki-aventurica.de/wiki/Wuchtschlag" TargetMode="External"/><Relationship Id="rId6" Type="http://schemas.openxmlformats.org/officeDocument/2006/relationships/hyperlink" Target="https://de.wiki-aventurica.de/de/index.php?title=Stumpfer_Schlag&amp;action=edit&amp;redlink=1" TargetMode="External"/><Relationship Id="rId11" Type="http://schemas.openxmlformats.org/officeDocument/2006/relationships/hyperlink" Target="https://de.wiki-aventurica.de/wiki/Klingensturm" TargetMode="External"/><Relationship Id="rId24" Type="http://schemas.openxmlformats.org/officeDocument/2006/relationships/hyperlink" Target="https://de.wiki-aventurica.de/wiki/Befreiungsschlag" TargetMode="External"/><Relationship Id="rId5" Type="http://schemas.openxmlformats.org/officeDocument/2006/relationships/hyperlink" Target="https://de.wiki-aventurica.de/wiki/Sturmangriff_(Sonderfertigkeit)" TargetMode="External"/><Relationship Id="rId15" Type="http://schemas.openxmlformats.org/officeDocument/2006/relationships/hyperlink" Target="https://de.wiki-aventurica.de/wiki/Gegenhalten" TargetMode="External"/><Relationship Id="rId23" Type="http://schemas.openxmlformats.org/officeDocument/2006/relationships/hyperlink" Target="https://de.wiki-aventurica.de/wiki/Bet%C3%A4ubungsschlag" TargetMode="External"/><Relationship Id="rId28" Type="http://schemas.openxmlformats.org/officeDocument/2006/relationships/table" Target="../tables/table3.xml"/><Relationship Id="rId10" Type="http://schemas.openxmlformats.org/officeDocument/2006/relationships/hyperlink" Target="https://de.wiki-aventurica.de/wiki/Klingenwand" TargetMode="External"/><Relationship Id="rId19" Type="http://schemas.openxmlformats.org/officeDocument/2006/relationships/hyperlink" Target="https://de.wiki-aventurica.de/wiki/Entwaffnen" TargetMode="External"/><Relationship Id="rId4" Type="http://schemas.openxmlformats.org/officeDocument/2006/relationships/hyperlink" Target="https://de.wiki-aventurica.de/wiki/Todessto%C3%9F" TargetMode="External"/><Relationship Id="rId9" Type="http://schemas.openxmlformats.org/officeDocument/2006/relationships/hyperlink" Target="https://de.wiki-aventurica.de/wiki/Meisterparade" TargetMode="External"/><Relationship Id="rId14" Type="http://schemas.openxmlformats.org/officeDocument/2006/relationships/hyperlink" Target="https://de.wiki-aventurica.de/wiki/Gezielter_Stich" TargetMode="External"/><Relationship Id="rId22" Type="http://schemas.openxmlformats.org/officeDocument/2006/relationships/hyperlink" Target="https://de.wiki-aventurica.de/wiki/Binden" TargetMode="External"/><Relationship Id="rId27"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hyperlink" Target="https://de.wiki-aventurica.de/wiki/Festnageln" TargetMode="External"/><Relationship Id="rId13" Type="http://schemas.openxmlformats.org/officeDocument/2006/relationships/hyperlink" Target="https://de.wiki-aventurica.de/wiki/Gezielter_Stich" TargetMode="External"/><Relationship Id="rId18" Type="http://schemas.openxmlformats.org/officeDocument/2006/relationships/hyperlink" Target="https://de.wiki-aventurica.de/wiki/Meisterparade" TargetMode="External"/><Relationship Id="rId26" Type="http://schemas.openxmlformats.org/officeDocument/2006/relationships/hyperlink" Target="https://de.wiki-aventurica.de/wiki/Wuchtschlag" TargetMode="External"/><Relationship Id="rId3" Type="http://schemas.openxmlformats.org/officeDocument/2006/relationships/hyperlink" Target="https://de.wiki-aventurica.de/wiki/Bet%C3%A4ubungsschlag" TargetMode="External"/><Relationship Id="rId21" Type="http://schemas.openxmlformats.org/officeDocument/2006/relationships/hyperlink" Target="https://de.wiki-aventurica.de/de/index.php?title=Stumpfer_Schlag&amp;action=edit&amp;redlink=1" TargetMode="External"/><Relationship Id="rId7" Type="http://schemas.openxmlformats.org/officeDocument/2006/relationships/hyperlink" Target="https://de.wiki-aventurica.de/wiki/Entwaffnen" TargetMode="External"/><Relationship Id="rId12" Type="http://schemas.openxmlformats.org/officeDocument/2006/relationships/hyperlink" Target="https://de.wiki-aventurica.de/wiki/Gegenhalten" TargetMode="External"/><Relationship Id="rId17" Type="http://schemas.openxmlformats.org/officeDocument/2006/relationships/hyperlink" Target="https://de.wiki-aventurica.de/wiki/Klingenwand" TargetMode="External"/><Relationship Id="rId25" Type="http://schemas.openxmlformats.org/officeDocument/2006/relationships/hyperlink" Target="https://de.wiki-aventurica.de/wiki/Windm%C3%BChle_(Sonderfertigkeit)" TargetMode="External"/><Relationship Id="rId2" Type="http://schemas.openxmlformats.org/officeDocument/2006/relationships/hyperlink" Target="https://de.wiki-aventurica.de/wiki/Befreiungsschlag" TargetMode="External"/><Relationship Id="rId16" Type="http://schemas.openxmlformats.org/officeDocument/2006/relationships/hyperlink" Target="https://de.wiki-aventurica.de/wiki/Klingensturm" TargetMode="External"/><Relationship Id="rId20" Type="http://schemas.openxmlformats.org/officeDocument/2006/relationships/hyperlink" Target="https://de.wiki-aventurica.de/wiki/Schildspalter" TargetMode="External"/><Relationship Id="rId1" Type="http://schemas.openxmlformats.org/officeDocument/2006/relationships/hyperlink" Target="https://de.wiki-aventurica.de/wiki/Ausfall_(Zweikampf)" TargetMode="External"/><Relationship Id="rId6" Type="http://schemas.openxmlformats.org/officeDocument/2006/relationships/hyperlink" Target="https://de.wiki-aventurica.de/wiki/Doppelangriff" TargetMode="External"/><Relationship Id="rId11" Type="http://schemas.openxmlformats.org/officeDocument/2006/relationships/hyperlink" Target="https://de.wiki-aventurica.de/wiki/Formation" TargetMode="External"/><Relationship Id="rId24" Type="http://schemas.openxmlformats.org/officeDocument/2006/relationships/hyperlink" Target="https://de.wiki-aventurica.de/wiki/Umrei%C3%9Fen" TargetMode="External"/><Relationship Id="rId5" Type="http://schemas.openxmlformats.org/officeDocument/2006/relationships/hyperlink" Target="https://de.wiki-aventurica.de/wiki/Defensiver_Kampfstil" TargetMode="External"/><Relationship Id="rId15" Type="http://schemas.openxmlformats.org/officeDocument/2006/relationships/hyperlink" Target="https://de.wiki-aventurica.de/wiki/Hammerschlag_(Sonderfertigkeit)" TargetMode="External"/><Relationship Id="rId23" Type="http://schemas.openxmlformats.org/officeDocument/2006/relationships/hyperlink" Target="https://de.wiki-aventurica.de/wiki/Todessto%C3%9F" TargetMode="External"/><Relationship Id="rId28" Type="http://schemas.openxmlformats.org/officeDocument/2006/relationships/printerSettings" Target="../printerSettings/printerSettings5.bin"/><Relationship Id="rId10" Type="http://schemas.openxmlformats.org/officeDocument/2006/relationships/hyperlink" Target="https://de.wiki-aventurica.de/wiki/Formation" TargetMode="External"/><Relationship Id="rId19" Type="http://schemas.openxmlformats.org/officeDocument/2006/relationships/hyperlink" Target="https://de.wiki-aventurica.de/wiki/Niederwerfen" TargetMode="External"/><Relationship Id="rId4" Type="http://schemas.openxmlformats.org/officeDocument/2006/relationships/hyperlink" Target="https://de.wiki-aventurica.de/wiki/Binden" TargetMode="External"/><Relationship Id="rId9" Type="http://schemas.openxmlformats.org/officeDocument/2006/relationships/hyperlink" Target="https://de.wiki-aventurica.de/wiki/Finte" TargetMode="External"/><Relationship Id="rId14" Type="http://schemas.openxmlformats.org/officeDocument/2006/relationships/hyperlink" Target="https://de.wiki-aventurica.de/wiki/Halbschwert" TargetMode="External"/><Relationship Id="rId22" Type="http://schemas.openxmlformats.org/officeDocument/2006/relationships/hyperlink" Target="https://de.wiki-aventurica.de/wiki/Sturmangriff_(Sonderfertigkeit)" TargetMode="External"/><Relationship Id="rId27" Type="http://schemas.openxmlformats.org/officeDocument/2006/relationships/hyperlink" Target="https://de.wiki-aventurica.de/wiki/Entwaffn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3" Type="http://schemas.openxmlformats.org/officeDocument/2006/relationships/hyperlink" Target="https://de.wiki-aventurica.de/wiki/Zweihandflegel" TargetMode="External"/><Relationship Id="rId18" Type="http://schemas.openxmlformats.org/officeDocument/2006/relationships/hyperlink" Target="https://de.wiki-aventurica.de/wiki/Bet%C3%A4ubungsschlag" TargetMode="External"/><Relationship Id="rId26" Type="http://schemas.openxmlformats.org/officeDocument/2006/relationships/hyperlink" Target="https://de.wiki-aventurica.de/wiki/Formation" TargetMode="External"/><Relationship Id="rId39" Type="http://schemas.openxmlformats.org/officeDocument/2006/relationships/hyperlink" Target="https://de.wiki-aventurica.de/wiki/Umrei%C3%9Fen" TargetMode="External"/><Relationship Id="rId21" Type="http://schemas.openxmlformats.org/officeDocument/2006/relationships/hyperlink" Target="https://de.wiki-aventurica.de/wiki/Doppelangriff" TargetMode="External"/><Relationship Id="rId34" Type="http://schemas.openxmlformats.org/officeDocument/2006/relationships/hyperlink" Target="https://de.wiki-aventurica.de/wiki/Niederwerfen" TargetMode="External"/><Relationship Id="rId42" Type="http://schemas.openxmlformats.org/officeDocument/2006/relationships/printerSettings" Target="../printerSettings/printerSettings7.bin"/><Relationship Id="rId7" Type="http://schemas.openxmlformats.org/officeDocument/2006/relationships/hyperlink" Target="https://de.wiki-aventurica.de/wiki/Kettenwaffen" TargetMode="External"/><Relationship Id="rId2" Type="http://schemas.openxmlformats.org/officeDocument/2006/relationships/hyperlink" Target="https://de.wiki-aventurica.de/wiki/Dolch" TargetMode="External"/><Relationship Id="rId16" Type="http://schemas.openxmlformats.org/officeDocument/2006/relationships/hyperlink" Target="https://de.wiki-aventurica.de/wiki/Ausfall_(Zweikampf)" TargetMode="External"/><Relationship Id="rId20" Type="http://schemas.openxmlformats.org/officeDocument/2006/relationships/hyperlink" Target="https://de.wiki-aventurica.de/wiki/Defensiver_Kampfstil" TargetMode="External"/><Relationship Id="rId29" Type="http://schemas.openxmlformats.org/officeDocument/2006/relationships/hyperlink" Target="https://de.wiki-aventurica.de/wiki/Halbschwert" TargetMode="External"/><Relationship Id="rId41" Type="http://schemas.openxmlformats.org/officeDocument/2006/relationships/hyperlink" Target="https://de.wiki-aventurica.de/wiki/Wuchtschlag" TargetMode="External"/><Relationship Id="rId1" Type="http://schemas.openxmlformats.org/officeDocument/2006/relationships/hyperlink" Target="https://de.wiki-aventurica.de/wiki/Anderthalbh%C3%A4nder_(Talent)" TargetMode="External"/><Relationship Id="rId6" Type="http://schemas.openxmlformats.org/officeDocument/2006/relationships/hyperlink" Target="https://de.wiki-aventurica.de/wiki/Kettenst%C3%A4be" TargetMode="External"/><Relationship Id="rId11" Type="http://schemas.openxmlformats.org/officeDocument/2006/relationships/hyperlink" Target="https://de.wiki-aventurica.de/wiki/Speere" TargetMode="External"/><Relationship Id="rId24" Type="http://schemas.openxmlformats.org/officeDocument/2006/relationships/hyperlink" Target="https://de.wiki-aventurica.de/wiki/Finte" TargetMode="External"/><Relationship Id="rId32" Type="http://schemas.openxmlformats.org/officeDocument/2006/relationships/hyperlink" Target="https://de.wiki-aventurica.de/wiki/Klingenwand" TargetMode="External"/><Relationship Id="rId37" Type="http://schemas.openxmlformats.org/officeDocument/2006/relationships/hyperlink" Target="https://de.wiki-aventurica.de/wiki/Sturmangriff_(Sonderfertigkeit)" TargetMode="External"/><Relationship Id="rId40" Type="http://schemas.openxmlformats.org/officeDocument/2006/relationships/hyperlink" Target="https://de.wiki-aventurica.de/wiki/Windm%C3%BChle_(Sonderfertigkeit)" TargetMode="External"/><Relationship Id="rId5" Type="http://schemas.openxmlformats.org/officeDocument/2006/relationships/hyperlink" Target="https://de.wiki-aventurica.de/wiki/Infanteriewaffen" TargetMode="External"/><Relationship Id="rId15" Type="http://schemas.openxmlformats.org/officeDocument/2006/relationships/hyperlink" Target="https://de.wiki-aventurica.de/wiki/Zweihandschwerter/-s%C3%A4bel" TargetMode="External"/><Relationship Id="rId23" Type="http://schemas.openxmlformats.org/officeDocument/2006/relationships/hyperlink" Target="https://de.wiki-aventurica.de/wiki/Festnageln" TargetMode="External"/><Relationship Id="rId28" Type="http://schemas.openxmlformats.org/officeDocument/2006/relationships/hyperlink" Target="https://de.wiki-aventurica.de/wiki/Gezielter_Stich" TargetMode="External"/><Relationship Id="rId36" Type="http://schemas.openxmlformats.org/officeDocument/2006/relationships/hyperlink" Target="https://de.wiki-aventurica.de/de/index.php?title=Stumpfer_Schlag&amp;action=edit&amp;redlink=1" TargetMode="External"/><Relationship Id="rId10" Type="http://schemas.openxmlformats.org/officeDocument/2006/relationships/hyperlink" Target="https://de.wiki-aventurica.de/wiki/Schwert" TargetMode="External"/><Relationship Id="rId19" Type="http://schemas.openxmlformats.org/officeDocument/2006/relationships/hyperlink" Target="https://de.wiki-aventurica.de/wiki/Binden" TargetMode="External"/><Relationship Id="rId31" Type="http://schemas.openxmlformats.org/officeDocument/2006/relationships/hyperlink" Target="https://de.wiki-aventurica.de/wiki/Klingensturm" TargetMode="External"/><Relationship Id="rId4" Type="http://schemas.openxmlformats.org/officeDocument/2006/relationships/hyperlink" Target="https://de.wiki-aventurica.de/wiki/Hiebwaffen" TargetMode="External"/><Relationship Id="rId9" Type="http://schemas.openxmlformats.org/officeDocument/2006/relationships/hyperlink" Target="https://de.wiki-aventurica.de/wiki/S%C3%A4bel" TargetMode="External"/><Relationship Id="rId14" Type="http://schemas.openxmlformats.org/officeDocument/2006/relationships/hyperlink" Target="https://de.wiki-aventurica.de/wiki/Zweihand-Hiebwaffen" TargetMode="External"/><Relationship Id="rId22" Type="http://schemas.openxmlformats.org/officeDocument/2006/relationships/hyperlink" Target="https://de.wiki-aventurica.de/wiki/Entwaffnen" TargetMode="External"/><Relationship Id="rId27" Type="http://schemas.openxmlformats.org/officeDocument/2006/relationships/hyperlink" Target="https://de.wiki-aventurica.de/wiki/Gegenhalten" TargetMode="External"/><Relationship Id="rId30" Type="http://schemas.openxmlformats.org/officeDocument/2006/relationships/hyperlink" Target="https://de.wiki-aventurica.de/wiki/Hammerschlag_(Sonderfertigkeit)" TargetMode="External"/><Relationship Id="rId35" Type="http://schemas.openxmlformats.org/officeDocument/2006/relationships/hyperlink" Target="https://de.wiki-aventurica.de/wiki/Schildspalter" TargetMode="External"/><Relationship Id="rId8" Type="http://schemas.openxmlformats.org/officeDocument/2006/relationships/hyperlink" Target="https://de.wiki-aventurica.de/wiki/Peitsche" TargetMode="External"/><Relationship Id="rId3" Type="http://schemas.openxmlformats.org/officeDocument/2006/relationships/hyperlink" Target="https://de.wiki-aventurica.de/wiki/Fechtwaffen" TargetMode="External"/><Relationship Id="rId12" Type="http://schemas.openxmlformats.org/officeDocument/2006/relationships/hyperlink" Target="https://de.wiki-aventurica.de/wiki/St%C3%A4be" TargetMode="External"/><Relationship Id="rId17" Type="http://schemas.openxmlformats.org/officeDocument/2006/relationships/hyperlink" Target="https://de.wiki-aventurica.de/wiki/Befreiungsschlag" TargetMode="External"/><Relationship Id="rId25" Type="http://schemas.openxmlformats.org/officeDocument/2006/relationships/hyperlink" Target="https://de.wiki-aventurica.de/wiki/Formation" TargetMode="External"/><Relationship Id="rId33" Type="http://schemas.openxmlformats.org/officeDocument/2006/relationships/hyperlink" Target="https://de.wiki-aventurica.de/wiki/Meisterparade" TargetMode="External"/><Relationship Id="rId38" Type="http://schemas.openxmlformats.org/officeDocument/2006/relationships/hyperlink" Target="https://de.wiki-aventurica.de/wiki/Todessto%C3%9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75B88-72E9-42BE-B910-8A0C20C7A0D7}">
  <sheetPr codeName="Tabelle1">
    <tabColor theme="9" tint="-0.499984740745262"/>
  </sheetPr>
  <dimension ref="A1:T47"/>
  <sheetViews>
    <sheetView topLeftCell="A9" zoomScale="107" zoomScaleNormal="85" workbookViewId="0">
      <selection activeCell="E28" sqref="E28"/>
    </sheetView>
  </sheetViews>
  <sheetFormatPr baseColWidth="10" defaultColWidth="11.44140625" defaultRowHeight="18"/>
  <cols>
    <col min="1" max="1" width="11.44140625" style="241"/>
    <col min="2" max="2" width="20.44140625" style="94" customWidth="1"/>
    <col min="3" max="3" width="7.5546875" style="94" customWidth="1"/>
    <col min="4" max="4" width="11.44140625" style="94" customWidth="1"/>
    <col min="5" max="5" width="15.77734375" style="94" customWidth="1"/>
    <col min="6" max="9" width="11.5546875" style="94" customWidth="1"/>
    <col min="10" max="10" width="11.44140625" style="94"/>
    <col min="11" max="11" width="15.33203125" style="94" customWidth="1"/>
    <col min="12" max="12" width="9.77734375" style="94" customWidth="1"/>
    <col min="13" max="13" width="16.21875" style="94" bestFit="1" customWidth="1"/>
    <col min="14" max="14" width="12.6640625" style="94" customWidth="1"/>
    <col min="15" max="15" width="13.109375" style="94" customWidth="1"/>
    <col min="16" max="16" width="16.109375" style="94" customWidth="1"/>
    <col min="17" max="18" width="11.5546875" style="94" customWidth="1"/>
    <col min="19" max="16384" width="11.44140625" style="94"/>
  </cols>
  <sheetData>
    <row r="1" spans="2:20" s="241" customFormat="1" ht="15.75" thickBot="1"/>
    <row r="2" spans="2:20" ht="37.5" customHeight="1">
      <c r="B2" s="382" t="s">
        <v>0</v>
      </c>
      <c r="C2" s="383"/>
      <c r="D2" s="383"/>
      <c r="E2" s="383"/>
      <c r="F2" s="383"/>
      <c r="G2" s="383"/>
      <c r="H2" s="383"/>
      <c r="I2" s="383"/>
      <c r="J2" s="383"/>
      <c r="K2" s="383"/>
      <c r="L2" s="383"/>
      <c r="M2" s="383"/>
      <c r="N2" s="383"/>
      <c r="O2" s="383"/>
      <c r="P2" s="383"/>
      <c r="Q2" s="383"/>
      <c r="R2" s="384"/>
      <c r="S2" s="95"/>
      <c r="T2" s="95"/>
    </row>
    <row r="3" spans="2:20" ht="25.5" customHeight="1">
      <c r="B3" s="253" t="s">
        <v>1</v>
      </c>
      <c r="C3" s="370" t="s">
        <v>1590</v>
      </c>
      <c r="D3" s="370"/>
      <c r="E3" s="370"/>
      <c r="F3" s="370"/>
      <c r="G3" s="370"/>
      <c r="H3" s="370"/>
      <c r="I3" s="370"/>
      <c r="J3" s="370"/>
      <c r="K3" s="370"/>
      <c r="L3" s="370"/>
      <c r="M3" s="370"/>
      <c r="N3" s="370"/>
      <c r="O3" s="370"/>
      <c r="P3" s="370"/>
      <c r="Q3" s="370"/>
      <c r="R3" s="371"/>
    </row>
    <row r="4" spans="2:20" ht="25.5" customHeight="1">
      <c r="B4" s="253" t="s">
        <v>2</v>
      </c>
      <c r="C4" s="370" t="s">
        <v>3</v>
      </c>
      <c r="D4" s="370"/>
      <c r="E4" s="370"/>
      <c r="F4" s="370"/>
      <c r="G4" s="370"/>
      <c r="H4" s="370"/>
      <c r="I4" s="370"/>
      <c r="J4" s="370"/>
      <c r="K4" t="s">
        <v>4</v>
      </c>
      <c r="L4" s="96"/>
      <c r="M4" s="394" t="s">
        <v>1591</v>
      </c>
      <c r="N4" s="394"/>
      <c r="O4" s="394"/>
      <c r="P4" s="394"/>
      <c r="Q4" s="394"/>
      <c r="R4" s="395"/>
    </row>
    <row r="5" spans="2:20">
      <c r="B5" s="253" t="s">
        <v>5</v>
      </c>
      <c r="C5" s="370" t="s">
        <v>6</v>
      </c>
      <c r="D5" s="370"/>
      <c r="E5" s="370"/>
      <c r="F5" s="370"/>
      <c r="G5" s="370"/>
      <c r="H5" s="370"/>
      <c r="I5" s="370"/>
      <c r="J5" s="370"/>
      <c r="K5" t="s">
        <v>4</v>
      </c>
      <c r="L5" s="96"/>
      <c r="M5" s="394" t="s">
        <v>7</v>
      </c>
      <c r="N5" s="394"/>
      <c r="O5" s="394"/>
      <c r="P5" s="394"/>
      <c r="Q5" s="394"/>
      <c r="R5" s="395"/>
    </row>
    <row r="6" spans="2:20" ht="25.5" customHeight="1" thickBot="1">
      <c r="B6" s="253" t="s">
        <v>8</v>
      </c>
      <c r="C6" s="398" t="s">
        <v>9</v>
      </c>
      <c r="D6" s="398"/>
      <c r="E6" s="398"/>
      <c r="F6" s="398"/>
      <c r="G6" s="398"/>
      <c r="H6" s="398"/>
      <c r="I6" s="398"/>
      <c r="J6" s="398"/>
      <c r="K6" t="s">
        <v>4</v>
      </c>
      <c r="L6" s="96"/>
      <c r="M6" s="396" t="s">
        <v>1588</v>
      </c>
      <c r="N6" s="396"/>
      <c r="O6" s="396"/>
      <c r="P6" s="396"/>
      <c r="Q6" s="396"/>
      <c r="R6" s="397"/>
    </row>
    <row r="7" spans="2:20" ht="18.75" thickBot="1">
      <c r="B7" s="195"/>
      <c r="C7" s="196"/>
      <c r="D7" s="196"/>
      <c r="E7" s="196"/>
      <c r="F7" s="196"/>
      <c r="G7" s="196"/>
      <c r="H7" s="196"/>
      <c r="I7" s="196"/>
      <c r="J7" s="196"/>
      <c r="K7" s="196"/>
      <c r="L7" s="196"/>
      <c r="M7" s="196"/>
      <c r="N7" s="196"/>
      <c r="O7" s="196"/>
      <c r="P7" s="196"/>
      <c r="Q7" s="196"/>
      <c r="R7" s="197"/>
    </row>
    <row r="8" spans="2:20">
      <c r="B8" s="250" t="s">
        <v>10</v>
      </c>
      <c r="C8" s="380" t="s">
        <v>11</v>
      </c>
      <c r="D8" s="380"/>
      <c r="E8" s="380"/>
      <c r="F8" s="380"/>
      <c r="G8" s="380"/>
      <c r="H8" s="380"/>
      <c r="I8" s="380"/>
      <c r="J8" s="381"/>
      <c r="K8" s="155" t="s">
        <v>12</v>
      </c>
      <c r="L8" s="95"/>
      <c r="M8" s="385"/>
      <c r="N8" s="386"/>
      <c r="O8" s="386"/>
      <c r="P8" s="386"/>
      <c r="Q8" s="386"/>
      <c r="R8" s="387"/>
    </row>
    <row r="9" spans="2:20">
      <c r="B9" s="253" t="s">
        <v>13</v>
      </c>
      <c r="C9" s="370" t="s">
        <v>1683</v>
      </c>
      <c r="D9" s="370"/>
      <c r="E9" s="370"/>
      <c r="F9" s="370"/>
      <c r="G9" s="370"/>
      <c r="H9" s="370"/>
      <c r="I9" s="370"/>
      <c r="J9" s="371"/>
      <c r="K9" s="155" t="s">
        <v>14</v>
      </c>
      <c r="L9" s="95"/>
      <c r="M9" s="388"/>
      <c r="N9" s="389"/>
      <c r="O9" s="389"/>
      <c r="P9" s="389"/>
      <c r="Q9" s="389"/>
      <c r="R9" s="390"/>
    </row>
    <row r="10" spans="2:20">
      <c r="B10" s="253" t="s">
        <v>15</v>
      </c>
      <c r="C10" s="370">
        <v>177</v>
      </c>
      <c r="D10" s="370"/>
      <c r="E10" s="370"/>
      <c r="F10" s="370"/>
      <c r="G10" s="370"/>
      <c r="H10" s="370"/>
      <c r="I10" s="370"/>
      <c r="J10" s="371"/>
      <c r="K10" s="155" t="s">
        <v>16</v>
      </c>
      <c r="L10" s="97"/>
      <c r="M10" s="391">
        <v>3</v>
      </c>
      <c r="N10" s="392"/>
      <c r="O10" s="392"/>
      <c r="P10" s="392"/>
      <c r="Q10" s="392"/>
      <c r="R10" s="393"/>
    </row>
    <row r="11" spans="2:20">
      <c r="B11" s="253" t="s">
        <v>17</v>
      </c>
      <c r="C11" s="370">
        <v>70</v>
      </c>
      <c r="D11" s="370"/>
      <c r="E11" s="370"/>
      <c r="F11" s="370"/>
      <c r="G11" s="370"/>
      <c r="H11" s="370"/>
      <c r="I11" s="370"/>
      <c r="J11" s="371"/>
      <c r="K11" s="355" t="s">
        <v>18</v>
      </c>
      <c r="L11" s="355"/>
      <c r="M11" s="355"/>
      <c r="N11" s="355"/>
      <c r="O11" s="355"/>
      <c r="P11" s="355"/>
      <c r="Q11" s="355"/>
      <c r="R11" s="194"/>
    </row>
    <row r="12" spans="2:20">
      <c r="B12" s="253" t="s">
        <v>19</v>
      </c>
      <c r="C12" s="370" t="s">
        <v>20</v>
      </c>
      <c r="D12" s="370"/>
      <c r="E12" s="370"/>
      <c r="F12" s="370"/>
      <c r="G12" s="370"/>
      <c r="H12" s="370"/>
      <c r="I12" s="370"/>
      <c r="J12" s="371"/>
      <c r="K12" s="377" t="s">
        <v>1592</v>
      </c>
      <c r="L12" s="370"/>
      <c r="M12" s="370"/>
      <c r="N12" s="370"/>
      <c r="O12" s="370"/>
      <c r="P12" s="370"/>
      <c r="Q12" s="370"/>
      <c r="R12" s="371"/>
    </row>
    <row r="13" spans="2:20">
      <c r="B13" s="253" t="s">
        <v>21</v>
      </c>
      <c r="C13" s="370"/>
      <c r="D13" s="370"/>
      <c r="E13" s="370"/>
      <c r="F13" s="370"/>
      <c r="G13" s="370"/>
      <c r="H13" s="370"/>
      <c r="I13" s="370"/>
      <c r="J13" s="371"/>
      <c r="K13" s="378"/>
      <c r="L13" s="370"/>
      <c r="M13" s="370"/>
      <c r="N13" s="370"/>
      <c r="O13" s="370"/>
      <c r="P13" s="370"/>
      <c r="Q13" s="370"/>
      <c r="R13" s="371"/>
    </row>
    <row r="14" spans="2:20">
      <c r="B14" s="372" t="s">
        <v>22</v>
      </c>
      <c r="C14" s="355"/>
      <c r="D14" s="355"/>
      <c r="E14" s="355"/>
      <c r="F14" s="355"/>
      <c r="G14" s="355"/>
      <c r="H14" s="355"/>
      <c r="I14" s="355"/>
      <c r="J14" s="373"/>
      <c r="K14" s="378"/>
      <c r="L14" s="370"/>
      <c r="M14" s="370"/>
      <c r="N14" s="370"/>
      <c r="O14" s="370"/>
      <c r="P14" s="370"/>
      <c r="Q14" s="370"/>
      <c r="R14" s="371"/>
    </row>
    <row r="15" spans="2:20" ht="108.75" customHeight="1" thickBot="1">
      <c r="B15" s="374" t="s">
        <v>23</v>
      </c>
      <c r="C15" s="375"/>
      <c r="D15" s="375"/>
      <c r="E15" s="375"/>
      <c r="F15" s="375"/>
      <c r="G15" s="375"/>
      <c r="H15" s="375"/>
      <c r="I15" s="375"/>
      <c r="J15" s="376"/>
      <c r="K15" s="379"/>
      <c r="L15" s="375"/>
      <c r="M15" s="375"/>
      <c r="N15" s="375"/>
      <c r="O15" s="375"/>
      <c r="P15" s="375"/>
      <c r="Q15" s="375"/>
      <c r="R15" s="376"/>
    </row>
    <row r="16" spans="2:20">
      <c r="B16" s="98"/>
      <c r="C16" s="98"/>
      <c r="D16" s="98"/>
      <c r="E16" s="98"/>
      <c r="F16" s="98"/>
      <c r="G16" s="98"/>
      <c r="H16" s="98"/>
      <c r="I16" s="98"/>
      <c r="J16" s="98"/>
      <c r="K16" s="98"/>
      <c r="L16" s="98"/>
      <c r="M16" s="98"/>
      <c r="N16" s="98"/>
      <c r="O16" s="98"/>
      <c r="P16" s="98"/>
      <c r="Q16" s="98"/>
      <c r="R16" s="98"/>
    </row>
    <row r="17" spans="2:18">
      <c r="B17" s="355" t="s">
        <v>24</v>
      </c>
      <c r="C17" s="355"/>
      <c r="D17" s="355"/>
      <c r="E17" s="355"/>
      <c r="F17" s="355"/>
      <c r="G17" s="355"/>
      <c r="H17" s="355"/>
      <c r="I17" s="355"/>
      <c r="J17" s="355"/>
      <c r="K17" s="355"/>
      <c r="L17" s="355"/>
      <c r="M17" s="355"/>
      <c r="N17" s="355"/>
      <c r="O17" s="355"/>
      <c r="P17" s="355"/>
      <c r="Q17" s="355"/>
      <c r="R17" s="355"/>
    </row>
    <row r="18" spans="2:18" ht="2.25" customHeight="1" thickBot="1">
      <c r="B18" s="98"/>
      <c r="C18" s="98"/>
      <c r="D18" s="98"/>
      <c r="E18" s="98"/>
      <c r="F18" s="98"/>
      <c r="G18" s="98"/>
      <c r="H18" s="98"/>
      <c r="I18" s="98"/>
      <c r="J18" s="98"/>
      <c r="K18" s="98"/>
      <c r="L18" s="98"/>
      <c r="M18" s="98"/>
      <c r="N18" s="98"/>
      <c r="O18" s="98"/>
      <c r="P18" s="98"/>
      <c r="Q18" s="98"/>
      <c r="R18" s="98"/>
    </row>
    <row r="19" spans="2:18" ht="18.75" thickBot="1">
      <c r="B19" s="250"/>
      <c r="C19" s="249"/>
      <c r="D19" s="249" t="s">
        <v>25</v>
      </c>
      <c r="E19" s="249" t="s">
        <v>26</v>
      </c>
      <c r="F19" s="249" t="s">
        <v>27</v>
      </c>
      <c r="G19" s="227" t="s">
        <v>28</v>
      </c>
      <c r="H19" s="249" t="s">
        <v>29</v>
      </c>
      <c r="I19" s="251" t="s">
        <v>30</v>
      </c>
      <c r="K19" s="229"/>
      <c r="L19" s="230"/>
      <c r="M19" s="230"/>
      <c r="N19" s="249" t="s">
        <v>31</v>
      </c>
      <c r="O19" s="249" t="s">
        <v>27</v>
      </c>
      <c r="P19" s="249" t="s">
        <v>28</v>
      </c>
      <c r="Q19" s="249" t="s">
        <v>32</v>
      </c>
      <c r="R19" s="251" t="s">
        <v>33</v>
      </c>
    </row>
    <row r="20" spans="2:18">
      <c r="B20" s="253" t="s">
        <v>34</v>
      </c>
      <c r="C20" s="95" t="s">
        <v>35</v>
      </c>
      <c r="D20" s="198">
        <f t="shared" ref="D20:D27" si="0">IF(ISNUMBER((SEARCH(C20,$M$4))),_xlfn.NUMBERVALUE(MID($M$4,SEARCH(C20,$M$4)+2,2)),0)+IF(ISNUMBER((SEARCH(C20,$M$5))),_xlfn.NUMBERVALUE(MID($M$5,SEARCH(C20,$M$5)+2,2)),0)+IF(ISNUMBER((SEARCH(C20,$O$6))),_xlfn.NUMBERVALUE(MID($O$6,SEARCH(C20,$O$6)+2,2)),0)</f>
        <v>0</v>
      </c>
      <c r="E20" s="198">
        <v>0</v>
      </c>
      <c r="F20" s="223">
        <v>13</v>
      </c>
      <c r="G20" s="339">
        <v>13</v>
      </c>
      <c r="H20" s="225">
        <f>G20+E20</f>
        <v>13</v>
      </c>
      <c r="I20" s="55">
        <f>ROUND((D20+F20)*1.5,0)</f>
        <v>20</v>
      </c>
      <c r="K20" s="250" t="s">
        <v>36</v>
      </c>
      <c r="L20" s="99" t="s">
        <v>37</v>
      </c>
      <c r="M20" s="301" t="s">
        <v>38</v>
      </c>
      <c r="N20" s="209">
        <f>IF(NOT(ISERROR(FIND(L20,$M$4))),_xlfn.NUMBERVALUE(MID($M$4,FIND(L20,$M$4)+LEN(L20),FIND(",",$M$4,FIND(L20,$M$4))-FIND(L20,$M$4)-LEN(L20))),0)+IF(NOT(ISERROR(FIND(L20,$M$5))),_xlfn.NUMBERVALUE(MID($M$5,FIND(L20,$M$5)+LEN(L20),FIND(",",$M$5,FIND(L20,$M$5))-FIND(L20,$M$5)-LEN(L20))),0)+IF(NOT(ISERROR(FIND(L20,$M$6))),_xlfn.NUMBERVALUE(MID($M$6,FIND(L20,$M$6)+LEN(L20),FIND(",",$M$6,FIND(L20,$M$6))-FIND(L20,$M$6)-LEN(L20))),0)+IF(NOT(ISERROR(FIND(L20,$B$33))),_xlfn.NUMBERVALUE(MID($B$33,FIND(L20,$B$33)+LEN(L20),FIND(",",$B$33,FIND(L20,$B$33))-FIND(L20,$B$33)-LEN(L20))),0)+IF(NOT(ISERROR(FIND(L20,$B$37))),_xlfn.NUMBERVALUE(MID($B$37,FIND(L20,$B$37)+LEN(L20),FIND(",",$B$37,FIND(L20,$B$37))-FIND(L20,$B$37)-LEN(L20))),0)</f>
        <v>12</v>
      </c>
      <c r="O20" s="210">
        <f>SUM((G26+G26+G27)/2)</f>
        <v>18</v>
      </c>
      <c r="P20" s="206">
        <f>ROUND(IF(Q41&gt;21,21,Q41)+N20+O20+Q20,0)</f>
        <v>37</v>
      </c>
      <c r="Q20" s="211">
        <v>0</v>
      </c>
      <c r="R20" s="265">
        <f>ROUND(G26/2,0)</f>
        <v>6</v>
      </c>
    </row>
    <row r="21" spans="2:18">
      <c r="B21" s="253" t="s">
        <v>39</v>
      </c>
      <c r="C21" s="95" t="s">
        <v>40</v>
      </c>
      <c r="D21" s="198">
        <f t="shared" si="0"/>
        <v>0</v>
      </c>
      <c r="E21" s="198">
        <v>0</v>
      </c>
      <c r="F21" s="223">
        <v>12</v>
      </c>
      <c r="G21" s="339">
        <v>12</v>
      </c>
      <c r="H21" s="225">
        <f t="shared" ref="H21:H27" si="1">G21+E21</f>
        <v>12</v>
      </c>
      <c r="I21" s="55">
        <f t="shared" ref="I21:I27" si="2">ROUND((D21+F21)*1.5,0)</f>
        <v>18</v>
      </c>
      <c r="K21" s="253" t="s">
        <v>41</v>
      </c>
      <c r="L21" s="100" t="s">
        <v>42</v>
      </c>
      <c r="M21" s="302" t="s">
        <v>43</v>
      </c>
      <c r="N21" s="212">
        <f t="shared" ref="N21:N28" si="3">IF(NOT(ISERROR(FIND(L21,$M$4))),_xlfn.NUMBERVALUE(MID($M$4,FIND(L21,$M$4)+LEN(L21),FIND(",",$M$4,FIND(L21,$M$4))-FIND(L21,$M$4)-LEN(L21))),0)+IF(NOT(ISERROR(FIND(L21,$M$5))),_xlfn.NUMBERVALUE(MID($M$5,FIND(L21,$M$5)+LEN(L21),FIND(",",$M$5,FIND(L21,$M$5))-FIND(L21,$M$5)-LEN(L21))),0)+IF(NOT(ISERROR(FIND(L21,$M$6))),_xlfn.NUMBERVALUE(MID($M$6,FIND(L21,$M$6)+LEN(L21),FIND(",",$M$6,FIND(L21,$M$6))-FIND(L21,$M$6)-LEN(L21))),0)+IF(NOT(ISERROR(FIND(L21,$B$33))),_xlfn.NUMBERVALUE(MID($B$33,FIND(L21,$B$33)+LEN(L21),FIND(",",$B$33,FIND(L21,$B$33))-FIND(L21,$B$33)-LEN(L21))),0)+IF(NOT(ISERROR(FIND(L21,$B$37))),_xlfn.NUMBERVALUE(MID($B$37,FIND(L21,$B$37)+LEN(L21),FIND(",",$B$37,FIND(L21,$B$37))-FIND(L21,$B$37)-LEN(L21))),0)</f>
        <v>0</v>
      </c>
      <c r="O21" s="204">
        <f>SUM((G20+G26+G25)/2)</f>
        <v>19.5</v>
      </c>
      <c r="P21" s="207">
        <f>ROUND(SUM(N21+O21+Q21+2*Q41),0)</f>
        <v>34</v>
      </c>
      <c r="Q21" s="205">
        <v>0</v>
      </c>
      <c r="R21" s="41">
        <f>ROUND(G26*2,0)</f>
        <v>24</v>
      </c>
    </row>
    <row r="22" spans="2:18">
      <c r="B22" s="253" t="s">
        <v>44</v>
      </c>
      <c r="C22" s="95" t="s">
        <v>45</v>
      </c>
      <c r="D22" s="198">
        <f t="shared" si="0"/>
        <v>1</v>
      </c>
      <c r="E22" s="198">
        <v>0</v>
      </c>
      <c r="F22" s="223">
        <v>15</v>
      </c>
      <c r="G22" s="339">
        <v>15</v>
      </c>
      <c r="H22" s="225">
        <f t="shared" si="1"/>
        <v>15</v>
      </c>
      <c r="I22" s="55">
        <f t="shared" si="2"/>
        <v>24</v>
      </c>
      <c r="K22" s="253" t="s">
        <v>46</v>
      </c>
      <c r="L22" s="100" t="s">
        <v>47</v>
      </c>
      <c r="M22" s="302" t="s">
        <v>48</v>
      </c>
      <c r="N22" s="212">
        <f t="shared" si="3"/>
        <v>13</v>
      </c>
      <c r="O22" s="204">
        <f>IF(N22=0,"",SUM((G20+G22+G23)/2)+N22)</f>
        <v>34.5</v>
      </c>
      <c r="P22" s="208">
        <f>IF(N22=0,"",ROUND(O22+2*Q41,0))</f>
        <v>49</v>
      </c>
      <c r="Q22" s="205">
        <v>0</v>
      </c>
      <c r="R22" s="41"/>
    </row>
    <row r="23" spans="2:18">
      <c r="B23" s="253" t="s">
        <v>49</v>
      </c>
      <c r="C23" s="95" t="s">
        <v>50</v>
      </c>
      <c r="D23" s="198">
        <f t="shared" si="0"/>
        <v>1</v>
      </c>
      <c r="E23" s="198">
        <v>0</v>
      </c>
      <c r="F23" s="223">
        <v>15</v>
      </c>
      <c r="G23" s="339">
        <v>15</v>
      </c>
      <c r="H23" s="225">
        <f t="shared" si="1"/>
        <v>15</v>
      </c>
      <c r="I23" s="55">
        <f t="shared" si="2"/>
        <v>24</v>
      </c>
      <c r="K23" s="253" t="s">
        <v>51</v>
      </c>
      <c r="L23" s="100" t="s">
        <v>52</v>
      </c>
      <c r="M23" s="302" t="s">
        <v>50</v>
      </c>
      <c r="N23" s="212">
        <f t="shared" si="3"/>
        <v>0</v>
      </c>
      <c r="O23" s="204">
        <v>3</v>
      </c>
      <c r="P23" s="207" t="str">
        <f>IF(N23=0,"",ROUND((SUM(N23+O23+Q23+2*Q41)),0))</f>
        <v/>
      </c>
      <c r="Q23" s="205">
        <v>0</v>
      </c>
      <c r="R23" s="41"/>
    </row>
    <row r="24" spans="2:18" ht="18.75" thickBot="1">
      <c r="B24" s="253" t="s">
        <v>53</v>
      </c>
      <c r="C24" s="95" t="s">
        <v>54</v>
      </c>
      <c r="D24" s="198">
        <f t="shared" si="0"/>
        <v>0</v>
      </c>
      <c r="E24" s="198">
        <v>0</v>
      </c>
      <c r="F24" s="223">
        <v>10</v>
      </c>
      <c r="G24" s="339">
        <v>10</v>
      </c>
      <c r="H24" s="225">
        <f t="shared" si="1"/>
        <v>10</v>
      </c>
      <c r="I24" s="55">
        <f t="shared" si="2"/>
        <v>15</v>
      </c>
      <c r="K24" s="253" t="s">
        <v>55</v>
      </c>
      <c r="L24" s="100" t="s">
        <v>56</v>
      </c>
      <c r="M24" s="302" t="s">
        <v>1589</v>
      </c>
      <c r="N24" s="212">
        <f t="shared" si="3"/>
        <v>3</v>
      </c>
      <c r="O24" s="204">
        <f>SUM((H20+H21+H26)/5)</f>
        <v>7.4</v>
      </c>
      <c r="P24" s="207">
        <f>ROUND(SUM(N24+O24+Q24),0)</f>
        <v>10</v>
      </c>
      <c r="Q24" s="216">
        <v>0</v>
      </c>
      <c r="R24" s="41">
        <f>ROUND(G20/2,0)</f>
        <v>7</v>
      </c>
    </row>
    <row r="25" spans="2:18">
      <c r="B25" s="253" t="s">
        <v>57</v>
      </c>
      <c r="C25" s="95" t="s">
        <v>58</v>
      </c>
      <c r="D25" s="198">
        <f t="shared" si="0"/>
        <v>0</v>
      </c>
      <c r="E25" s="198">
        <v>0</v>
      </c>
      <c r="F25" s="223">
        <v>14</v>
      </c>
      <c r="G25" s="339">
        <v>14</v>
      </c>
      <c r="H25" s="225">
        <f t="shared" si="1"/>
        <v>14</v>
      </c>
      <c r="I25" s="55">
        <f t="shared" si="2"/>
        <v>21</v>
      </c>
      <c r="K25" s="253" t="s">
        <v>59</v>
      </c>
      <c r="L25" s="100" t="s">
        <v>60</v>
      </c>
      <c r="M25" s="302" t="s">
        <v>61</v>
      </c>
      <c r="N25" s="212">
        <v>0</v>
      </c>
      <c r="O25" s="204">
        <f>SUM((H20+H20+H22+H25)/5)</f>
        <v>11</v>
      </c>
      <c r="P25" s="221">
        <f>ROUND(SUM(N25+O25),0)</f>
        <v>11</v>
      </c>
      <c r="Q25" s="217"/>
      <c r="R25" s="218"/>
    </row>
    <row r="26" spans="2:18">
      <c r="B26" s="253" t="s">
        <v>62</v>
      </c>
      <c r="C26" s="95" t="s">
        <v>63</v>
      </c>
      <c r="D26" s="198">
        <f t="shared" si="0"/>
        <v>0</v>
      </c>
      <c r="E26" s="198">
        <v>0</v>
      </c>
      <c r="F26" s="223">
        <v>12</v>
      </c>
      <c r="G26" s="339">
        <v>12</v>
      </c>
      <c r="H26" s="225">
        <f t="shared" si="1"/>
        <v>12</v>
      </c>
      <c r="I26" s="55">
        <f t="shared" si="2"/>
        <v>18</v>
      </c>
      <c r="K26" s="253" t="s">
        <v>64</v>
      </c>
      <c r="L26" s="100" t="s">
        <v>65</v>
      </c>
      <c r="M26" s="302" t="s">
        <v>66</v>
      </c>
      <c r="N26" s="212">
        <f t="shared" si="3"/>
        <v>0</v>
      </c>
      <c r="O26" s="204">
        <f>SUM((H20+H25+H27)/5)+N26</f>
        <v>7.8</v>
      </c>
      <c r="P26" s="221">
        <f>ROUND(SUM(N26+O26),0)</f>
        <v>8</v>
      </c>
      <c r="Q26" s="219"/>
      <c r="R26" s="201"/>
    </row>
    <row r="27" spans="2:18" ht="18.75" thickBot="1">
      <c r="B27" s="269" t="s">
        <v>67</v>
      </c>
      <c r="C27" s="199" t="s">
        <v>68</v>
      </c>
      <c r="D27" s="200">
        <f t="shared" si="0"/>
        <v>0</v>
      </c>
      <c r="E27" s="200">
        <v>0</v>
      </c>
      <c r="F27" s="224">
        <v>12</v>
      </c>
      <c r="G27" s="340">
        <v>12</v>
      </c>
      <c r="H27" s="226">
        <f t="shared" si="1"/>
        <v>12</v>
      </c>
      <c r="I27" s="77">
        <f t="shared" si="2"/>
        <v>18</v>
      </c>
      <c r="K27" s="253" t="s">
        <v>69</v>
      </c>
      <c r="L27" s="100" t="s">
        <v>70</v>
      </c>
      <c r="M27" s="302" t="s">
        <v>71</v>
      </c>
      <c r="N27" s="212">
        <f>IF(NOT(ISERROR(FIND(L27,$M$4))),_xlfn.NUMBERVALUE(MID($M$4,FIND(L27,$M$4)+LEN(L27),FIND(",",$M$4,FIND(L27,$M$4))-FIND(L27,$M$4)-LEN(L27))),0)+IF(NOT(ISERROR(FIND(L27,$M$5))),_xlfn.NUMBERVALUE(MID($M$5,FIND(L27,$M$5)+LEN(L27),FIND(",",$M$5,FIND(L27,$M$5))-FIND(L27,$M$5)-LEN(L27))),0)+IF(NOT(ISERROR(FIND(L27,$M$6))),_xlfn.NUMBERVALUE(MID($M$6,FIND(L27,$M$6)+LEN(L27),FIND(",",$M$6,FIND(L27,$M$6))-FIND(L27,$M$6)-LEN(L27))),0)+IF(NOT(ISERROR(FIND(L27,$B$33))),_xlfn.NUMBERVALUE(MID($B$33,FIND(L27,$B$33)+LEN(L27),FIND(",",$B$33,FIND(L27,$B$33))-FIND(L27,$B$33)-LEN(L27))),0)+IF(NOT(ISERROR(FIND(L27,$B$37))),_xlfn.NUMBERVALUE(MID($B$37,FIND(L27,$B$37)+LEN(L27),FIND(",",$B$37,FIND(L27,$B$37))-FIND(L27,$B$37)-LEN(L27))),0)+IF(Nahkampf!$C$5="Ja",2,0)</f>
        <v>0</v>
      </c>
      <c r="O27" s="204">
        <f>SUM((H22+H25+H27)/5)</f>
        <v>8.1999999999999993</v>
      </c>
      <c r="P27" s="221">
        <f>ROUND(SUM(N27+O27),0)</f>
        <v>8</v>
      </c>
      <c r="Q27" s="219"/>
      <c r="R27" s="201"/>
    </row>
    <row r="28" spans="2:18">
      <c r="B28" s="95"/>
      <c r="C28" s="95"/>
      <c r="K28" s="253" t="s">
        <v>72</v>
      </c>
      <c r="L28" s="100" t="s">
        <v>73</v>
      </c>
      <c r="M28" s="302" t="s">
        <v>74</v>
      </c>
      <c r="N28" s="212">
        <f t="shared" si="3"/>
        <v>0</v>
      </c>
      <c r="O28" s="204">
        <f>SUM((H22+H24+H27)/5)</f>
        <v>7.4</v>
      </c>
      <c r="P28" s="221">
        <f>ROUND(SUM(N28+O28),0)</f>
        <v>7</v>
      </c>
      <c r="Q28" s="219"/>
      <c r="R28" s="201"/>
    </row>
    <row r="29" spans="2:18" ht="18.75" thickBot="1">
      <c r="B29" s="101"/>
      <c r="C29" s="101"/>
      <c r="K29" s="269" t="s">
        <v>75</v>
      </c>
      <c r="L29" s="228" t="s">
        <v>76</v>
      </c>
      <c r="M29" s="336" t="s">
        <v>77</v>
      </c>
      <c r="N29" s="213">
        <f>IF(NOT(ISERROR(FIND(L29,$M$4))),_xlfn.NUMBERVALUE(MID($M$4,FIND(L29,$M$4)+LEN(L29),FIND(",",$M$4,FIND(L29,$M$4))-FIND(L29,$M$4)-LEN(L29))),0)+IF(NOT(ISERROR(FIND(L29,$M$5))),_xlfn.NUMBERVALUE(MID($M$5,FIND(L29,$M$5)+LEN(L29),FIND(",",$M$5,FIND(L29,$M$5))-FIND(L29,$M$5)-LEN(L29))),0)+IF(NOT(ISERROR(FIND(L29,$M$6))),_xlfn.NUMBERVALUE(MID($M$6,FIND(L29,$M$6)+LEN(L29),FIND(",",$M$6,FIND(L29,$M$6))-FIND(L29,$M$6)-LEN(L29))),0)+IF(NOT(ISERROR(FIND(L29,$B$33))),_xlfn.NUMBERVALUE(MID($B$33,FIND(L29,$B$33)+LEN(L29),FIND(",",$B$33,FIND(L29,$B$33))-FIND(L29,$B$33)-LEN(L29))),0)+IF(NOT(ISERROR(FIND(L29,$B$37))),_xlfn.NUMBERVALUE(MID($B$37,FIND(L29,$B$37)+LEN(L29),FIND(",",$B$37,FIND(L29,$B$37))-FIND(L29,$B$37)-LEN(L29))),0)+IF(Nahkampf!$C$5="Ja",Eigenschaften!O29-Nahkampf!AR16,0)</f>
        <v>0</v>
      </c>
      <c r="O29" s="214">
        <f>IF($G$25&lt;11,7,IF($G$25&gt;15,9,8))+IF(Nahkampf!AJ36=TRUE,1,0)+IF(Nahkampf!AJ37=TRUE,-1,0)</f>
        <v>8</v>
      </c>
      <c r="P29" s="222">
        <f>ROUND(O29+N29-Nahkampf!AR16,0)</f>
        <v>7</v>
      </c>
      <c r="Q29" s="220"/>
      <c r="R29" s="215"/>
    </row>
    <row r="30" spans="2:18" ht="18.75" thickBot="1">
      <c r="B30" s="101"/>
      <c r="C30" s="101"/>
      <c r="K30" s="253" t="s">
        <v>78</v>
      </c>
      <c r="M30" t="s">
        <v>79</v>
      </c>
      <c r="O30" s="94">
        <f>(H20+H22+H25)/5</f>
        <v>8.4</v>
      </c>
      <c r="P30" s="94">
        <f>ROUND(O30,0)</f>
        <v>8</v>
      </c>
      <c r="R30" s="235"/>
    </row>
    <row r="31" spans="2:18">
      <c r="B31" s="368" t="s">
        <v>80</v>
      </c>
      <c r="C31" s="364"/>
      <c r="D31" s="364"/>
      <c r="E31" s="364"/>
      <c r="F31" s="364"/>
      <c r="G31" s="364"/>
      <c r="H31" s="364"/>
      <c r="I31" s="364"/>
      <c r="J31" s="364"/>
      <c r="K31" s="364"/>
      <c r="L31" s="364"/>
      <c r="M31" s="364"/>
      <c r="N31" s="364"/>
      <c r="O31" s="364"/>
      <c r="P31" s="364"/>
      <c r="Q31" s="364"/>
      <c r="R31" s="369"/>
    </row>
    <row r="32" spans="2:18" ht="4.5" customHeight="1">
      <c r="B32" s="236"/>
      <c r="C32" s="98"/>
      <c r="D32" s="98"/>
      <c r="E32" s="98"/>
      <c r="F32" s="98"/>
      <c r="G32" s="98"/>
      <c r="H32" s="98"/>
      <c r="I32" s="98"/>
      <c r="J32" s="98"/>
      <c r="K32" s="98"/>
      <c r="L32" s="98"/>
      <c r="M32" s="98"/>
      <c r="N32" s="98"/>
      <c r="O32" s="98"/>
      <c r="P32" s="98"/>
      <c r="Q32" s="98"/>
      <c r="R32" s="237"/>
    </row>
    <row r="33" spans="2:18" ht="86.25" customHeight="1" thickBot="1">
      <c r="B33" s="357" t="s">
        <v>81</v>
      </c>
      <c r="C33" s="358"/>
      <c r="D33" s="358"/>
      <c r="E33" s="358"/>
      <c r="F33" s="358"/>
      <c r="G33" s="358"/>
      <c r="H33" s="358"/>
      <c r="I33" s="358"/>
      <c r="J33" s="358"/>
      <c r="K33" s="358"/>
      <c r="L33" s="358"/>
      <c r="M33" s="358"/>
      <c r="N33" s="358"/>
      <c r="O33" s="358"/>
      <c r="P33" s="358"/>
      <c r="Q33" s="358"/>
      <c r="R33" s="359"/>
    </row>
    <row r="34" spans="2:18" ht="18.75" thickBot="1"/>
    <row r="35" spans="2:18">
      <c r="B35" s="368" t="s">
        <v>82</v>
      </c>
      <c r="C35" s="364"/>
      <c r="D35" s="364"/>
      <c r="E35" s="364"/>
      <c r="F35" s="364"/>
      <c r="G35" s="364"/>
      <c r="H35" s="364"/>
      <c r="I35" s="364"/>
      <c r="J35" s="364"/>
      <c r="K35" s="364"/>
      <c r="L35" s="364"/>
      <c r="M35" s="364"/>
      <c r="N35" s="364"/>
      <c r="O35" s="364"/>
      <c r="P35" s="364"/>
      <c r="Q35" s="364"/>
      <c r="R35" s="369"/>
    </row>
    <row r="36" spans="2:18" ht="3" customHeight="1">
      <c r="B36" s="236"/>
      <c r="C36" s="98"/>
      <c r="D36" s="98"/>
      <c r="E36" s="98"/>
      <c r="F36" s="98"/>
      <c r="G36" s="98"/>
      <c r="H36" s="98"/>
      <c r="I36" s="98"/>
      <c r="J36" s="98"/>
      <c r="K36" s="98"/>
      <c r="L36" s="98"/>
      <c r="M36" s="98"/>
      <c r="N36" s="98"/>
      <c r="O36" s="98"/>
      <c r="P36" s="98"/>
      <c r="Q36" s="98"/>
      <c r="R36" s="237"/>
    </row>
    <row r="37" spans="2:18" ht="60" customHeight="1" thickBot="1">
      <c r="B37" s="357" t="s">
        <v>1674</v>
      </c>
      <c r="C37" s="358"/>
      <c r="D37" s="358"/>
      <c r="E37" s="358"/>
      <c r="F37" s="358"/>
      <c r="G37" s="358"/>
      <c r="H37" s="358"/>
      <c r="I37" s="358"/>
      <c r="J37" s="358"/>
      <c r="K37" s="358"/>
      <c r="L37" s="358"/>
      <c r="M37" s="358"/>
      <c r="N37" s="358"/>
      <c r="O37" s="358"/>
      <c r="P37" s="358"/>
      <c r="Q37" s="358"/>
      <c r="R37" s="359"/>
    </row>
    <row r="39" spans="2:18">
      <c r="B39" s="360" t="s">
        <v>83</v>
      </c>
      <c r="C39" s="360"/>
      <c r="D39" s="360"/>
      <c r="E39" s="360"/>
      <c r="F39" s="360"/>
      <c r="G39" s="360"/>
      <c r="H39" s="360"/>
      <c r="I39" s="360"/>
      <c r="J39" s="360"/>
      <c r="K39" s="360"/>
      <c r="L39" s="360"/>
      <c r="M39" s="360"/>
      <c r="N39" s="360"/>
      <c r="O39" s="360"/>
      <c r="P39" s="360"/>
      <c r="Q39" s="360"/>
      <c r="R39" s="360"/>
    </row>
    <row r="40" spans="2:18" ht="3" customHeight="1" thickBot="1">
      <c r="B40" s="98"/>
      <c r="C40" s="98"/>
      <c r="D40" s="98"/>
      <c r="E40" s="98"/>
      <c r="F40" s="98"/>
      <c r="G40" s="98"/>
      <c r="H40" s="98"/>
      <c r="I40" s="98"/>
      <c r="J40" s="98"/>
      <c r="K40" s="98"/>
      <c r="L40" s="98"/>
      <c r="M40" s="98"/>
      <c r="N40" s="98"/>
      <c r="O40" s="98"/>
      <c r="P40" s="98"/>
      <c r="Q40" s="98"/>
      <c r="R40" s="98"/>
    </row>
    <row r="41" spans="2:18" ht="18.75" thickBot="1">
      <c r="B41" s="341" t="s">
        <v>84</v>
      </c>
      <c r="C41" s="346"/>
      <c r="D41" s="361">
        <v>2573</v>
      </c>
      <c r="E41" s="362"/>
      <c r="F41" s="363"/>
      <c r="G41" s="364" t="s">
        <v>85</v>
      </c>
      <c r="H41" s="364"/>
      <c r="I41" s="364"/>
      <c r="J41" s="364"/>
      <c r="K41" s="232">
        <v>2571</v>
      </c>
      <c r="L41" s="233"/>
      <c r="M41" s="249" t="s">
        <v>86</v>
      </c>
      <c r="N41" s="365">
        <f>D41-K41</f>
        <v>2</v>
      </c>
      <c r="O41" s="366"/>
      <c r="P41" s="249" t="s">
        <v>87</v>
      </c>
      <c r="Q41" s="365">
        <f>ROUNDDOWN((SQRT(K41/50+0.25)+0.5),0)</f>
        <v>7</v>
      </c>
      <c r="R41" s="367"/>
    </row>
    <row r="42" spans="2:18" ht="18.75" thickBot="1">
      <c r="B42" s="253" t="s">
        <v>88</v>
      </c>
      <c r="D42" s="349">
        <v>0</v>
      </c>
      <c r="E42" s="350"/>
      <c r="F42" s="351"/>
      <c r="G42" s="355" t="s">
        <v>89</v>
      </c>
      <c r="H42" s="355"/>
      <c r="I42" s="355"/>
      <c r="J42" s="355"/>
      <c r="K42" s="232">
        <v>0</v>
      </c>
      <c r="R42" s="235"/>
    </row>
    <row r="43" spans="2:18" ht="18.75" thickBot="1">
      <c r="B43" s="269" t="s">
        <v>1681</v>
      </c>
      <c r="C43" s="202"/>
      <c r="D43" s="352">
        <f>D41+D42</f>
        <v>2573</v>
      </c>
      <c r="E43" s="353"/>
      <c r="F43" s="354"/>
      <c r="G43" s="356" t="s">
        <v>1682</v>
      </c>
      <c r="H43" s="356"/>
      <c r="I43" s="356"/>
      <c r="J43" s="356"/>
      <c r="K43" s="200">
        <f>K41+K42</f>
        <v>2571</v>
      </c>
      <c r="L43" s="202"/>
      <c r="M43" s="202"/>
      <c r="N43" s="202"/>
      <c r="O43" s="202"/>
      <c r="P43" s="202"/>
      <c r="Q43" s="202"/>
      <c r="R43" s="203"/>
    </row>
    <row r="44" spans="2:18" ht="18.75" thickBot="1">
      <c r="B44" s="155"/>
    </row>
    <row r="45" spans="2:18">
      <c r="B45" s="260"/>
      <c r="C45" s="261" t="s">
        <v>1311</v>
      </c>
      <c r="D45" s="264" t="s">
        <v>1312</v>
      </c>
      <c r="E45" s="264" t="s">
        <v>1313</v>
      </c>
      <c r="F45" s="264" t="s">
        <v>1314</v>
      </c>
      <c r="G45" s="261" t="s">
        <v>28</v>
      </c>
      <c r="H45" s="304"/>
      <c r="I45" s="303"/>
      <c r="J45" s="261" t="s">
        <v>1311</v>
      </c>
      <c r="K45" s="301" t="s">
        <v>28</v>
      </c>
      <c r="L45"/>
      <c r="M45"/>
      <c r="N45"/>
      <c r="P45"/>
      <c r="R45"/>
    </row>
    <row r="46" spans="2:18">
      <c r="B46" s="258" t="s">
        <v>1315</v>
      </c>
      <c r="C46" s="299">
        <f>Eigenschaften!P20</f>
        <v>37</v>
      </c>
      <c r="D46" s="262">
        <f>ROUND(C46/2,0)</f>
        <v>19</v>
      </c>
      <c r="E46" s="262">
        <f>ROUND(C46/3,0)</f>
        <v>12</v>
      </c>
      <c r="F46" s="262">
        <f>ROUND(C46/4,0)</f>
        <v>9</v>
      </c>
      <c r="H46" s="234" t="s">
        <v>46</v>
      </c>
      <c r="J46" s="299">
        <f>Eigenschaften!P22</f>
        <v>49</v>
      </c>
      <c r="K46" s="302">
        <v>40</v>
      </c>
      <c r="L46"/>
      <c r="M46"/>
      <c r="N46"/>
      <c r="P46" s="299"/>
      <c r="R46"/>
    </row>
    <row r="47" spans="2:18" ht="18.75" thickBot="1">
      <c r="B47" s="259" t="s">
        <v>1316</v>
      </c>
      <c r="C47" s="300">
        <f>Eigenschaften!P21</f>
        <v>34</v>
      </c>
      <c r="D47" s="263">
        <f>ROUND(C47/2,0)</f>
        <v>17</v>
      </c>
      <c r="E47" s="263">
        <f>ROUND(C47/3,0)</f>
        <v>11</v>
      </c>
      <c r="F47" s="263">
        <f>ROUND(C47/4,0)</f>
        <v>9</v>
      </c>
      <c r="G47" s="202"/>
      <c r="H47" s="305" t="s">
        <v>1317</v>
      </c>
      <c r="I47" s="202"/>
      <c r="J47" s="306" t="s">
        <v>119</v>
      </c>
      <c r="K47" s="307" t="s">
        <v>119</v>
      </c>
      <c r="L47"/>
      <c r="M47"/>
      <c r="N47"/>
      <c r="O47" s="347" t="str">
        <f>Eigenschaften!P23</f>
        <v/>
      </c>
      <c r="P47" s="347"/>
      <c r="Q47" s="348"/>
      <c r="R47" s="348"/>
    </row>
  </sheetData>
  <mergeCells count="37">
    <mergeCell ref="B2:R2"/>
    <mergeCell ref="M8:R8"/>
    <mergeCell ref="M9:R9"/>
    <mergeCell ref="M10:R10"/>
    <mergeCell ref="C3:R3"/>
    <mergeCell ref="M4:R4"/>
    <mergeCell ref="M5:R5"/>
    <mergeCell ref="M6:R6"/>
    <mergeCell ref="C4:J4"/>
    <mergeCell ref="C5:J5"/>
    <mergeCell ref="C6:J6"/>
    <mergeCell ref="K11:Q11"/>
    <mergeCell ref="B15:J15"/>
    <mergeCell ref="K12:R15"/>
    <mergeCell ref="C8:J8"/>
    <mergeCell ref="C9:J9"/>
    <mergeCell ref="C10:J10"/>
    <mergeCell ref="C11:J11"/>
    <mergeCell ref="B31:R31"/>
    <mergeCell ref="C12:J12"/>
    <mergeCell ref="C13:J13"/>
    <mergeCell ref="B33:R33"/>
    <mergeCell ref="B35:R35"/>
    <mergeCell ref="B17:R17"/>
    <mergeCell ref="B14:J14"/>
    <mergeCell ref="B37:R37"/>
    <mergeCell ref="B39:R39"/>
    <mergeCell ref="D41:F41"/>
    <mergeCell ref="G41:J41"/>
    <mergeCell ref="N41:O41"/>
    <mergeCell ref="Q41:R41"/>
    <mergeCell ref="O47:P47"/>
    <mergeCell ref="Q47:R47"/>
    <mergeCell ref="D42:F42"/>
    <mergeCell ref="D43:F43"/>
    <mergeCell ref="G42:J42"/>
    <mergeCell ref="G43:J43"/>
  </mergeCells>
  <pageMargins left="0.7" right="0.7" top="0.78740157499999996" bottom="0.78740157499999996" header="0.3" footer="0.3"/>
  <pageSetup paperSize="9" orientation="portrait" r:id="rId1"/>
  <ignoredErrors>
    <ignoredError sqref="N2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22AD-F50D-40C0-BF59-C8F4449586CA}">
  <sheetPr codeName="Tabelle2"/>
  <dimension ref="A1:G115"/>
  <sheetViews>
    <sheetView workbookViewId="0">
      <selection sqref="A1:G115"/>
    </sheetView>
  </sheetViews>
  <sheetFormatPr baseColWidth="10" defaultColWidth="11.44140625" defaultRowHeight="15"/>
  <cols>
    <col min="1" max="1" width="15.109375" customWidth="1"/>
    <col min="2" max="2" width="24" customWidth="1"/>
    <col min="3" max="5" width="11.6640625" customWidth="1"/>
  </cols>
  <sheetData>
    <row r="1" spans="1:7">
      <c r="A1" t="s">
        <v>1</v>
      </c>
      <c r="B1" t="s">
        <v>91</v>
      </c>
      <c r="C1" t="s">
        <v>92</v>
      </c>
      <c r="D1" t="s">
        <v>93</v>
      </c>
      <c r="E1" t="s">
        <v>94</v>
      </c>
      <c r="F1" t="s">
        <v>95</v>
      </c>
      <c r="G1" t="s">
        <v>96</v>
      </c>
    </row>
    <row r="2" spans="1:7">
      <c r="A2" t="s">
        <v>97</v>
      </c>
      <c r="B2" t="s">
        <v>98</v>
      </c>
      <c r="C2" t="s">
        <v>34</v>
      </c>
      <c r="D2" t="s">
        <v>44</v>
      </c>
      <c r="E2" t="s">
        <v>44</v>
      </c>
    </row>
    <row r="3" spans="1:7">
      <c r="A3" t="s">
        <v>99</v>
      </c>
      <c r="B3" t="s">
        <v>98</v>
      </c>
      <c r="C3" t="s">
        <v>39</v>
      </c>
      <c r="D3" t="s">
        <v>44</v>
      </c>
      <c r="E3" t="s">
        <v>44</v>
      </c>
    </row>
    <row r="4" spans="1:7">
      <c r="A4" t="s">
        <v>100</v>
      </c>
      <c r="B4" t="s">
        <v>98</v>
      </c>
      <c r="C4" t="s">
        <v>44</v>
      </c>
      <c r="D4" t="s">
        <v>49</v>
      </c>
      <c r="E4" t="s">
        <v>62</v>
      </c>
    </row>
    <row r="5" spans="1:7">
      <c r="A5" t="s">
        <v>101</v>
      </c>
      <c r="B5" t="s">
        <v>98</v>
      </c>
      <c r="C5" t="s">
        <v>34</v>
      </c>
      <c r="D5" t="s">
        <v>44</v>
      </c>
      <c r="E5" t="s">
        <v>62</v>
      </c>
    </row>
    <row r="6" spans="1:7">
      <c r="A6" t="s">
        <v>102</v>
      </c>
      <c r="B6" t="s">
        <v>98</v>
      </c>
      <c r="C6" t="s">
        <v>34</v>
      </c>
      <c r="D6" t="s">
        <v>44</v>
      </c>
      <c r="E6" t="s">
        <v>62</v>
      </c>
    </row>
    <row r="7" spans="1:7">
      <c r="A7" t="s">
        <v>103</v>
      </c>
      <c r="B7" t="s">
        <v>98</v>
      </c>
      <c r="C7" t="s">
        <v>34</v>
      </c>
      <c r="D7" t="s">
        <v>44</v>
      </c>
      <c r="E7" t="s">
        <v>44</v>
      </c>
    </row>
    <row r="8" spans="1:7">
      <c r="A8" t="s">
        <v>104</v>
      </c>
      <c r="B8" t="s">
        <v>98</v>
      </c>
      <c r="C8" t="s">
        <v>44</v>
      </c>
      <c r="D8" t="s">
        <v>44</v>
      </c>
      <c r="E8" t="s">
        <v>49</v>
      </c>
    </row>
    <row r="9" spans="1:7">
      <c r="A9" t="s">
        <v>105</v>
      </c>
      <c r="B9" t="s">
        <v>98</v>
      </c>
      <c r="C9" t="s">
        <v>34</v>
      </c>
      <c r="D9" t="s">
        <v>44</v>
      </c>
      <c r="E9" t="s">
        <v>49</v>
      </c>
    </row>
    <row r="10" spans="1:7">
      <c r="A10" t="s">
        <v>106</v>
      </c>
      <c r="B10" t="s">
        <v>98</v>
      </c>
      <c r="C10" t="s">
        <v>44</v>
      </c>
      <c r="D10" t="s">
        <v>44</v>
      </c>
      <c r="E10" t="s">
        <v>53</v>
      </c>
    </row>
    <row r="11" spans="1:7">
      <c r="A11" t="s">
        <v>108</v>
      </c>
      <c r="B11" t="s">
        <v>109</v>
      </c>
      <c r="C11" t="s">
        <v>57</v>
      </c>
      <c r="D11" t="s">
        <v>62</v>
      </c>
      <c r="E11" t="s">
        <v>67</v>
      </c>
      <c r="F11" t="s">
        <v>110</v>
      </c>
      <c r="G11" t="s">
        <v>111</v>
      </c>
    </row>
    <row r="12" spans="1:7">
      <c r="A12" t="s">
        <v>112</v>
      </c>
      <c r="B12" t="s">
        <v>109</v>
      </c>
      <c r="C12" t="s">
        <v>34</v>
      </c>
      <c r="D12" t="s">
        <v>57</v>
      </c>
      <c r="E12" t="s">
        <v>67</v>
      </c>
      <c r="F12" t="s">
        <v>113</v>
      </c>
      <c r="G12" t="s">
        <v>111</v>
      </c>
    </row>
    <row r="13" spans="1:7">
      <c r="A13" t="s">
        <v>114</v>
      </c>
      <c r="B13" t="s">
        <v>109</v>
      </c>
      <c r="C13" t="s">
        <v>34</v>
      </c>
      <c r="D13" t="s">
        <v>44</v>
      </c>
      <c r="E13" t="s">
        <v>57</v>
      </c>
      <c r="F13" t="s">
        <v>113</v>
      </c>
      <c r="G13" t="s">
        <v>111</v>
      </c>
    </row>
    <row r="14" spans="1:7">
      <c r="A14" t="s">
        <v>115</v>
      </c>
      <c r="B14" t="s">
        <v>109</v>
      </c>
      <c r="C14" t="s">
        <v>34</v>
      </c>
      <c r="D14" t="s">
        <v>44</v>
      </c>
      <c r="E14" t="s">
        <v>57</v>
      </c>
      <c r="F14" t="s">
        <v>110</v>
      </c>
      <c r="G14" t="s">
        <v>116</v>
      </c>
    </row>
    <row r="15" spans="1:7">
      <c r="A15" t="s">
        <v>117</v>
      </c>
      <c r="B15" t="s">
        <v>109</v>
      </c>
      <c r="C15" t="s">
        <v>57</v>
      </c>
      <c r="D15" t="s">
        <v>62</v>
      </c>
      <c r="E15" t="s">
        <v>67</v>
      </c>
      <c r="F15" t="s">
        <v>113</v>
      </c>
      <c r="G15" t="s">
        <v>111</v>
      </c>
    </row>
    <row r="16" spans="1:7">
      <c r="A16" t="s">
        <v>118</v>
      </c>
      <c r="B16" t="s">
        <v>109</v>
      </c>
      <c r="C16" t="s">
        <v>34</v>
      </c>
      <c r="D16" t="s">
        <v>62</v>
      </c>
      <c r="E16" t="s">
        <v>67</v>
      </c>
      <c r="F16" t="s">
        <v>113</v>
      </c>
      <c r="G16" t="s">
        <v>119</v>
      </c>
    </row>
    <row r="17" spans="1:7">
      <c r="A17" t="s">
        <v>120</v>
      </c>
      <c r="B17" t="s">
        <v>109</v>
      </c>
      <c r="C17" t="s">
        <v>34</v>
      </c>
      <c r="D17" t="s">
        <v>44</v>
      </c>
      <c r="E17" t="s">
        <v>57</v>
      </c>
      <c r="F17" t="s">
        <v>110</v>
      </c>
      <c r="G17">
        <v>-2</v>
      </c>
    </row>
    <row r="18" spans="1:7">
      <c r="A18" t="s">
        <v>121</v>
      </c>
      <c r="B18" t="s">
        <v>109</v>
      </c>
      <c r="C18" t="s">
        <v>44</v>
      </c>
      <c r="D18" t="s">
        <v>49</v>
      </c>
      <c r="E18" t="s">
        <v>49</v>
      </c>
      <c r="F18" t="s">
        <v>110</v>
      </c>
      <c r="G18">
        <v>-3</v>
      </c>
    </row>
    <row r="19" spans="1:7">
      <c r="A19" t="s">
        <v>122</v>
      </c>
      <c r="B19" t="s">
        <v>109</v>
      </c>
      <c r="C19" t="s">
        <v>39</v>
      </c>
      <c r="D19" t="s">
        <v>44</v>
      </c>
      <c r="E19" t="s">
        <v>44</v>
      </c>
      <c r="F19" t="s">
        <v>113</v>
      </c>
      <c r="G19" t="s">
        <v>123</v>
      </c>
    </row>
    <row r="20" spans="1:7">
      <c r="A20" t="s">
        <v>124</v>
      </c>
      <c r="B20" t="s">
        <v>109</v>
      </c>
      <c r="C20" t="s">
        <v>49</v>
      </c>
      <c r="D20" t="s">
        <v>57</v>
      </c>
      <c r="E20" t="s">
        <v>57</v>
      </c>
      <c r="F20" t="s">
        <v>125</v>
      </c>
      <c r="G20" t="s">
        <v>111</v>
      </c>
    </row>
    <row r="21" spans="1:7">
      <c r="A21" t="s">
        <v>126</v>
      </c>
      <c r="B21" t="s">
        <v>109</v>
      </c>
      <c r="C21" t="s">
        <v>44</v>
      </c>
      <c r="D21" t="s">
        <v>62</v>
      </c>
      <c r="E21" t="s">
        <v>67</v>
      </c>
      <c r="F21" t="s">
        <v>125</v>
      </c>
      <c r="G21" t="s">
        <v>119</v>
      </c>
    </row>
    <row r="22" spans="1:7">
      <c r="A22" t="s">
        <v>127</v>
      </c>
      <c r="B22" t="s">
        <v>109</v>
      </c>
      <c r="C22" t="s">
        <v>34</v>
      </c>
      <c r="D22" t="s">
        <v>57</v>
      </c>
      <c r="E22" t="s">
        <v>67</v>
      </c>
      <c r="F22" t="s">
        <v>128</v>
      </c>
      <c r="G22" t="s">
        <v>111</v>
      </c>
    </row>
    <row r="23" spans="1:7">
      <c r="A23" t="s">
        <v>129</v>
      </c>
      <c r="B23" t="s">
        <v>109</v>
      </c>
      <c r="C23" t="s">
        <v>34</v>
      </c>
      <c r="D23" t="s">
        <v>44</v>
      </c>
      <c r="E23" t="s">
        <v>57</v>
      </c>
      <c r="F23" t="s">
        <v>113</v>
      </c>
      <c r="G23" t="s">
        <v>116</v>
      </c>
    </row>
    <row r="24" spans="1:7">
      <c r="A24" t="s">
        <v>130</v>
      </c>
      <c r="B24" t="s">
        <v>109</v>
      </c>
      <c r="C24" t="s">
        <v>34</v>
      </c>
      <c r="D24" t="s">
        <v>49</v>
      </c>
      <c r="E24" t="s">
        <v>53</v>
      </c>
      <c r="F24" t="s">
        <v>110</v>
      </c>
      <c r="G24" t="s">
        <v>111</v>
      </c>
    </row>
    <row r="25" spans="1:7">
      <c r="A25" t="s">
        <v>131</v>
      </c>
      <c r="B25" t="s">
        <v>109</v>
      </c>
      <c r="C25" t="s">
        <v>49</v>
      </c>
      <c r="D25" t="s">
        <v>57</v>
      </c>
      <c r="E25" t="s">
        <v>67</v>
      </c>
      <c r="F25" t="s">
        <v>113</v>
      </c>
      <c r="G25">
        <v>-2</v>
      </c>
    </row>
    <row r="26" spans="1:7">
      <c r="A26" t="s">
        <v>132</v>
      </c>
      <c r="B26" t="s">
        <v>109</v>
      </c>
      <c r="C26" t="s">
        <v>57</v>
      </c>
      <c r="D26" t="s">
        <v>57</v>
      </c>
      <c r="E26" t="s">
        <v>62</v>
      </c>
      <c r="F26" t="s">
        <v>125</v>
      </c>
      <c r="G26">
        <v>-2</v>
      </c>
    </row>
    <row r="27" spans="1:7">
      <c r="A27" t="s">
        <v>133</v>
      </c>
      <c r="B27" t="s">
        <v>109</v>
      </c>
      <c r="C27" t="s">
        <v>39</v>
      </c>
      <c r="D27" t="s">
        <v>44</v>
      </c>
      <c r="E27" t="s">
        <v>49</v>
      </c>
      <c r="F27" t="s">
        <v>110</v>
      </c>
      <c r="G27">
        <v>-4</v>
      </c>
    </row>
    <row r="28" spans="1:7">
      <c r="A28" t="s">
        <v>134</v>
      </c>
      <c r="B28" t="s">
        <v>109</v>
      </c>
      <c r="C28" t="s">
        <v>34</v>
      </c>
      <c r="D28" t="s">
        <v>44</v>
      </c>
      <c r="E28" t="s">
        <v>53</v>
      </c>
      <c r="F28" t="s">
        <v>110</v>
      </c>
      <c r="G28" t="s">
        <v>111</v>
      </c>
    </row>
    <row r="29" spans="1:7">
      <c r="A29" t="s">
        <v>135</v>
      </c>
      <c r="B29" t="s">
        <v>136</v>
      </c>
      <c r="C29" t="s">
        <v>39</v>
      </c>
      <c r="D29" t="s">
        <v>39</v>
      </c>
      <c r="E29" t="s">
        <v>44</v>
      </c>
      <c r="F29" t="s">
        <v>125</v>
      </c>
      <c r="G29" t="s">
        <v>119</v>
      </c>
    </row>
    <row r="30" spans="1:7">
      <c r="A30" t="s">
        <v>137</v>
      </c>
      <c r="B30" t="s">
        <v>136</v>
      </c>
      <c r="C30" t="s">
        <v>39</v>
      </c>
      <c r="D30" t="s">
        <v>39</v>
      </c>
      <c r="E30" t="s">
        <v>44</v>
      </c>
      <c r="F30" t="s">
        <v>125</v>
      </c>
      <c r="G30" t="s">
        <v>119</v>
      </c>
    </row>
    <row r="31" spans="1:7">
      <c r="A31" t="s">
        <v>138</v>
      </c>
      <c r="B31" t="s">
        <v>136</v>
      </c>
      <c r="C31" t="s">
        <v>39</v>
      </c>
      <c r="D31" t="s">
        <v>44</v>
      </c>
      <c r="E31" t="s">
        <v>49</v>
      </c>
      <c r="F31" t="s">
        <v>125</v>
      </c>
      <c r="G31" t="s">
        <v>119</v>
      </c>
    </row>
    <row r="32" spans="1:7">
      <c r="A32" t="s">
        <v>139</v>
      </c>
      <c r="B32" t="s">
        <v>136</v>
      </c>
      <c r="C32" t="s">
        <v>34</v>
      </c>
      <c r="D32" t="s">
        <v>39</v>
      </c>
      <c r="E32" t="s">
        <v>53</v>
      </c>
      <c r="F32" t="s">
        <v>125</v>
      </c>
      <c r="G32" t="s">
        <v>119</v>
      </c>
    </row>
    <row r="33" spans="1:7">
      <c r="A33" t="s">
        <v>140</v>
      </c>
      <c r="B33" t="s">
        <v>136</v>
      </c>
      <c r="C33" t="s">
        <v>39</v>
      </c>
      <c r="D33" t="s">
        <v>39</v>
      </c>
      <c r="E33" t="s">
        <v>53</v>
      </c>
      <c r="F33" t="s">
        <v>125</v>
      </c>
      <c r="G33" t="s">
        <v>119</v>
      </c>
    </row>
    <row r="34" spans="1:7">
      <c r="A34" t="s">
        <v>141</v>
      </c>
      <c r="B34" t="s">
        <v>136</v>
      </c>
      <c r="C34" t="s">
        <v>39</v>
      </c>
      <c r="D34" t="s">
        <v>39</v>
      </c>
      <c r="E34" t="s">
        <v>44</v>
      </c>
      <c r="F34" t="s">
        <v>125</v>
      </c>
      <c r="G34" t="s">
        <v>119</v>
      </c>
    </row>
    <row r="35" spans="1:7">
      <c r="A35" t="s">
        <v>142</v>
      </c>
      <c r="B35" t="s">
        <v>136</v>
      </c>
      <c r="C35" t="s">
        <v>39</v>
      </c>
      <c r="D35" t="s">
        <v>39</v>
      </c>
      <c r="E35" t="s">
        <v>44</v>
      </c>
      <c r="F35" t="s">
        <v>125</v>
      </c>
      <c r="G35" t="s">
        <v>119</v>
      </c>
    </row>
    <row r="36" spans="1:7">
      <c r="A36" t="s">
        <v>143</v>
      </c>
      <c r="B36" t="s">
        <v>136</v>
      </c>
      <c r="C36" t="s">
        <v>39</v>
      </c>
      <c r="D36" t="s">
        <v>39</v>
      </c>
      <c r="E36" t="s">
        <v>44</v>
      </c>
      <c r="F36" t="s">
        <v>125</v>
      </c>
      <c r="G36" t="s">
        <v>119</v>
      </c>
    </row>
    <row r="37" spans="1:7">
      <c r="A37" t="s">
        <v>144</v>
      </c>
      <c r="B37" t="s">
        <v>136</v>
      </c>
      <c r="C37" t="s">
        <v>39</v>
      </c>
      <c r="D37" t="s">
        <v>44</v>
      </c>
      <c r="E37" t="s">
        <v>53</v>
      </c>
      <c r="F37" t="s">
        <v>125</v>
      </c>
      <c r="G37" t="s">
        <v>119</v>
      </c>
    </row>
    <row r="38" spans="1:7">
      <c r="A38" t="s">
        <v>145</v>
      </c>
      <c r="B38" t="s">
        <v>136</v>
      </c>
      <c r="C38" t="s">
        <v>39</v>
      </c>
      <c r="D38" t="s">
        <v>39</v>
      </c>
      <c r="E38" t="s">
        <v>53</v>
      </c>
      <c r="F38" t="s">
        <v>125</v>
      </c>
      <c r="G38" t="s">
        <v>119</v>
      </c>
    </row>
    <row r="39" spans="1:7">
      <c r="A39" t="s">
        <v>146</v>
      </c>
      <c r="B39" t="s">
        <v>136</v>
      </c>
      <c r="C39" t="s">
        <v>39</v>
      </c>
      <c r="D39" t="s">
        <v>44</v>
      </c>
      <c r="E39" t="s">
        <v>62</v>
      </c>
      <c r="F39" t="s">
        <v>125</v>
      </c>
      <c r="G39" t="s">
        <v>119</v>
      </c>
    </row>
    <row r="40" spans="1:7">
      <c r="A40" t="s">
        <v>147</v>
      </c>
      <c r="B40" t="s">
        <v>136</v>
      </c>
      <c r="C40" t="s">
        <v>34</v>
      </c>
      <c r="D40" t="s">
        <v>39</v>
      </c>
      <c r="E40" t="s">
        <v>49</v>
      </c>
      <c r="F40" t="s">
        <v>125</v>
      </c>
      <c r="G40" t="s">
        <v>119</v>
      </c>
    </row>
    <row r="41" spans="1:7">
      <c r="A41" t="s">
        <v>148</v>
      </c>
      <c r="B41" t="s">
        <v>136</v>
      </c>
      <c r="C41" t="s">
        <v>39</v>
      </c>
      <c r="D41" t="s">
        <v>39</v>
      </c>
      <c r="E41" t="s">
        <v>44</v>
      </c>
      <c r="F41" t="s">
        <v>125</v>
      </c>
      <c r="G41" t="s">
        <v>119</v>
      </c>
    </row>
    <row r="42" spans="1:7">
      <c r="A42" t="s">
        <v>149</v>
      </c>
      <c r="B42" t="s">
        <v>136</v>
      </c>
      <c r="C42" t="s">
        <v>39</v>
      </c>
      <c r="D42" t="s">
        <v>39</v>
      </c>
      <c r="E42" t="s">
        <v>44</v>
      </c>
      <c r="F42" t="s">
        <v>125</v>
      </c>
      <c r="G42" t="s">
        <v>119</v>
      </c>
    </row>
    <row r="43" spans="1:7">
      <c r="A43" t="s">
        <v>150</v>
      </c>
      <c r="B43" t="s">
        <v>136</v>
      </c>
      <c r="C43" t="s">
        <v>39</v>
      </c>
      <c r="D43" t="s">
        <v>39</v>
      </c>
      <c r="E43" t="s">
        <v>53</v>
      </c>
      <c r="F43" t="s">
        <v>125</v>
      </c>
      <c r="G43" t="s">
        <v>119</v>
      </c>
    </row>
    <row r="44" spans="1:7">
      <c r="A44" t="s">
        <v>151</v>
      </c>
      <c r="B44" t="s">
        <v>136</v>
      </c>
      <c r="C44" t="s">
        <v>39</v>
      </c>
      <c r="D44" t="s">
        <v>44</v>
      </c>
      <c r="E44" t="s">
        <v>53</v>
      </c>
      <c r="F44" t="s">
        <v>125</v>
      </c>
      <c r="G44" t="s">
        <v>119</v>
      </c>
    </row>
    <row r="45" spans="1:7">
      <c r="A45" t="s">
        <v>152</v>
      </c>
      <c r="B45" t="s">
        <v>136</v>
      </c>
      <c r="C45" t="s">
        <v>39</v>
      </c>
      <c r="D45" t="s">
        <v>39</v>
      </c>
      <c r="E45" t="s">
        <v>44</v>
      </c>
      <c r="F45" t="s">
        <v>125</v>
      </c>
      <c r="G45" t="s">
        <v>119</v>
      </c>
    </row>
    <row r="46" spans="1:7">
      <c r="A46" t="s">
        <v>153</v>
      </c>
      <c r="B46" t="s">
        <v>136</v>
      </c>
      <c r="C46" t="s">
        <v>39</v>
      </c>
      <c r="D46" t="s">
        <v>39</v>
      </c>
      <c r="E46" t="s">
        <v>44</v>
      </c>
      <c r="F46" t="s">
        <v>125</v>
      </c>
      <c r="G46" t="s">
        <v>119</v>
      </c>
    </row>
    <row r="47" spans="1:7">
      <c r="A47" t="s">
        <v>154</v>
      </c>
      <c r="B47" t="s">
        <v>136</v>
      </c>
      <c r="C47" t="s">
        <v>39</v>
      </c>
      <c r="D47" t="s">
        <v>44</v>
      </c>
      <c r="E47" t="s">
        <v>44</v>
      </c>
      <c r="F47" t="s">
        <v>125</v>
      </c>
      <c r="G47" t="s">
        <v>119</v>
      </c>
    </row>
    <row r="48" spans="1:7">
      <c r="A48" t="s">
        <v>155</v>
      </c>
      <c r="B48" t="s">
        <v>136</v>
      </c>
      <c r="C48" t="s">
        <v>39</v>
      </c>
      <c r="D48" t="s">
        <v>39</v>
      </c>
      <c r="E48" t="s">
        <v>44</v>
      </c>
      <c r="F48" t="s">
        <v>125</v>
      </c>
      <c r="G48" t="s">
        <v>119</v>
      </c>
    </row>
    <row r="49" spans="1:7">
      <c r="A49" t="s">
        <v>156</v>
      </c>
      <c r="B49" t="s">
        <v>136</v>
      </c>
      <c r="C49" t="s">
        <v>39</v>
      </c>
      <c r="D49" t="s">
        <v>44</v>
      </c>
      <c r="E49" t="s">
        <v>49</v>
      </c>
      <c r="F49" t="s">
        <v>125</v>
      </c>
      <c r="G49" t="s">
        <v>119</v>
      </c>
    </row>
    <row r="50" spans="1:7">
      <c r="A50" t="s">
        <v>157</v>
      </c>
      <c r="B50" t="s">
        <v>136</v>
      </c>
      <c r="C50" t="s">
        <v>39</v>
      </c>
      <c r="D50" t="s">
        <v>39</v>
      </c>
      <c r="E50" t="s">
        <v>44</v>
      </c>
      <c r="F50" t="s">
        <v>125</v>
      </c>
      <c r="G50" t="s">
        <v>119</v>
      </c>
    </row>
    <row r="51" spans="1:7">
      <c r="A51" t="s">
        <v>158</v>
      </c>
      <c r="B51" t="s">
        <v>136</v>
      </c>
      <c r="C51" t="s">
        <v>34</v>
      </c>
      <c r="D51" t="s">
        <v>39</v>
      </c>
      <c r="E51" t="s">
        <v>44</v>
      </c>
      <c r="F51" t="s">
        <v>125</v>
      </c>
      <c r="G51" t="s">
        <v>119</v>
      </c>
    </row>
    <row r="52" spans="1:7">
      <c r="A52" t="s">
        <v>159</v>
      </c>
      <c r="B52" t="s">
        <v>160</v>
      </c>
      <c r="C52" t="s">
        <v>39</v>
      </c>
      <c r="D52" t="s">
        <v>44</v>
      </c>
      <c r="E52" t="s">
        <v>49</v>
      </c>
      <c r="F52" t="s">
        <v>125</v>
      </c>
      <c r="G52" t="s">
        <v>119</v>
      </c>
    </row>
    <row r="53" spans="1:7">
      <c r="A53" t="s">
        <v>161</v>
      </c>
      <c r="B53" t="s">
        <v>160</v>
      </c>
      <c r="C53" t="s">
        <v>34</v>
      </c>
      <c r="D53" t="s">
        <v>44</v>
      </c>
      <c r="E53" t="s">
        <v>49</v>
      </c>
      <c r="F53" t="s">
        <v>125</v>
      </c>
      <c r="G53" t="s">
        <v>119</v>
      </c>
    </row>
    <row r="54" spans="1:7">
      <c r="A54" t="s">
        <v>162</v>
      </c>
      <c r="B54" t="s">
        <v>160</v>
      </c>
      <c r="C54" t="s">
        <v>44</v>
      </c>
      <c r="D54" t="s">
        <v>49</v>
      </c>
      <c r="E54" t="s">
        <v>49</v>
      </c>
      <c r="F54" t="s">
        <v>125</v>
      </c>
      <c r="G54" t="s">
        <v>119</v>
      </c>
    </row>
    <row r="55" spans="1:7">
      <c r="A55" t="s">
        <v>163</v>
      </c>
      <c r="B55" t="s">
        <v>160</v>
      </c>
      <c r="C55" t="s">
        <v>39</v>
      </c>
      <c r="D55" t="s">
        <v>44</v>
      </c>
      <c r="E55" t="s">
        <v>49</v>
      </c>
      <c r="F55" t="s">
        <v>125</v>
      </c>
      <c r="G55" t="s">
        <v>119</v>
      </c>
    </row>
    <row r="56" spans="1:7">
      <c r="A56" t="s">
        <v>164</v>
      </c>
      <c r="B56" t="s">
        <v>160</v>
      </c>
      <c r="C56" t="s">
        <v>39</v>
      </c>
      <c r="D56" t="s">
        <v>44</v>
      </c>
      <c r="E56" t="s">
        <v>49</v>
      </c>
      <c r="F56" t="s">
        <v>125</v>
      </c>
      <c r="G56" t="s">
        <v>119</v>
      </c>
    </row>
    <row r="57" spans="1:7">
      <c r="A57" t="s">
        <v>165</v>
      </c>
      <c r="B57" t="s">
        <v>160</v>
      </c>
      <c r="C57" t="s">
        <v>39</v>
      </c>
      <c r="D57" t="s">
        <v>44</v>
      </c>
      <c r="E57" t="s">
        <v>49</v>
      </c>
      <c r="F57" t="s">
        <v>125</v>
      </c>
      <c r="G57" t="s">
        <v>119</v>
      </c>
    </row>
    <row r="58" spans="1:7">
      <c r="A58" t="s">
        <v>166</v>
      </c>
      <c r="B58" t="s">
        <v>160</v>
      </c>
      <c r="C58" t="s">
        <v>34</v>
      </c>
      <c r="D58" t="s">
        <v>39</v>
      </c>
      <c r="E58" t="s">
        <v>49</v>
      </c>
      <c r="F58" t="s">
        <v>125</v>
      </c>
      <c r="G58" t="s">
        <v>119</v>
      </c>
    </row>
    <row r="59" spans="1:7">
      <c r="A59" t="s">
        <v>167</v>
      </c>
      <c r="B59" t="s">
        <v>160</v>
      </c>
      <c r="C59" t="s">
        <v>39</v>
      </c>
      <c r="D59" t="s">
        <v>44</v>
      </c>
      <c r="E59" t="s">
        <v>44</v>
      </c>
      <c r="F59" t="s">
        <v>125</v>
      </c>
      <c r="G59" t="s">
        <v>119</v>
      </c>
    </row>
    <row r="60" spans="1:7">
      <c r="A60" t="s">
        <v>168</v>
      </c>
      <c r="B60" t="s">
        <v>160</v>
      </c>
      <c r="C60" t="s">
        <v>34</v>
      </c>
      <c r="D60" t="s">
        <v>49</v>
      </c>
      <c r="E60" t="s">
        <v>57</v>
      </c>
      <c r="F60" t="s">
        <v>125</v>
      </c>
      <c r="G60" t="s">
        <v>119</v>
      </c>
    </row>
    <row r="61" spans="1:7">
      <c r="A61" t="s">
        <v>169</v>
      </c>
      <c r="B61" t="s">
        <v>160</v>
      </c>
      <c r="C61" t="s">
        <v>39</v>
      </c>
      <c r="D61" t="s">
        <v>44</v>
      </c>
      <c r="E61" t="s">
        <v>49</v>
      </c>
      <c r="F61" t="s">
        <v>125</v>
      </c>
      <c r="G61" t="s">
        <v>119</v>
      </c>
    </row>
    <row r="62" spans="1:7">
      <c r="A62" t="s">
        <v>170</v>
      </c>
      <c r="B62" t="s">
        <v>171</v>
      </c>
      <c r="C62" t="s">
        <v>39</v>
      </c>
      <c r="D62" t="s">
        <v>44</v>
      </c>
      <c r="E62" t="s">
        <v>49</v>
      </c>
      <c r="F62" t="s">
        <v>125</v>
      </c>
      <c r="G62" t="s">
        <v>119</v>
      </c>
    </row>
    <row r="63" spans="1:7">
      <c r="A63" t="s">
        <v>172</v>
      </c>
      <c r="B63" t="s">
        <v>171</v>
      </c>
      <c r="C63" t="s">
        <v>39</v>
      </c>
      <c r="D63" t="s">
        <v>44</v>
      </c>
      <c r="E63" t="s">
        <v>44</v>
      </c>
      <c r="F63" t="s">
        <v>125</v>
      </c>
      <c r="G63" t="s">
        <v>119</v>
      </c>
    </row>
    <row r="64" spans="1:7">
      <c r="A64" t="s">
        <v>173</v>
      </c>
      <c r="B64" t="s">
        <v>171</v>
      </c>
      <c r="C64" t="s">
        <v>44</v>
      </c>
      <c r="D64" t="s">
        <v>57</v>
      </c>
      <c r="E64" t="s">
        <v>62</v>
      </c>
      <c r="F64" t="s">
        <v>125</v>
      </c>
      <c r="G64" t="s">
        <v>119</v>
      </c>
    </row>
    <row r="65" spans="1:7">
      <c r="A65" t="s">
        <v>174</v>
      </c>
      <c r="B65" t="s">
        <v>171</v>
      </c>
      <c r="C65" t="s">
        <v>39</v>
      </c>
      <c r="D65" t="s">
        <v>53</v>
      </c>
      <c r="E65" t="s">
        <v>67</v>
      </c>
      <c r="F65" t="s">
        <v>125</v>
      </c>
      <c r="G65" t="s">
        <v>119</v>
      </c>
    </row>
    <row r="66" spans="1:7">
      <c r="A66" t="s">
        <v>175</v>
      </c>
      <c r="B66" t="s">
        <v>171</v>
      </c>
      <c r="C66" t="s">
        <v>53</v>
      </c>
      <c r="D66" t="s">
        <v>57</v>
      </c>
      <c r="E66" t="s">
        <v>67</v>
      </c>
      <c r="F66" t="s">
        <v>125</v>
      </c>
      <c r="G66" t="s">
        <v>119</v>
      </c>
    </row>
    <row r="67" spans="1:7">
      <c r="A67" t="s">
        <v>176</v>
      </c>
      <c r="B67" t="s">
        <v>171</v>
      </c>
      <c r="C67" t="s">
        <v>44</v>
      </c>
      <c r="D67" t="s">
        <v>53</v>
      </c>
      <c r="E67" t="s">
        <v>67</v>
      </c>
      <c r="F67" t="s">
        <v>125</v>
      </c>
      <c r="G67" t="s">
        <v>119</v>
      </c>
    </row>
    <row r="68" spans="1:7">
      <c r="A68" t="s">
        <v>177</v>
      </c>
      <c r="B68" t="s">
        <v>171</v>
      </c>
      <c r="C68" t="s">
        <v>39</v>
      </c>
      <c r="D68" t="s">
        <v>44</v>
      </c>
      <c r="E68" t="s">
        <v>44</v>
      </c>
      <c r="F68" t="s">
        <v>125</v>
      </c>
      <c r="G68" t="s">
        <v>119</v>
      </c>
    </row>
    <row r="69" spans="1:7">
      <c r="A69" t="s">
        <v>178</v>
      </c>
      <c r="B69" t="s">
        <v>179</v>
      </c>
      <c r="C69" t="s">
        <v>39</v>
      </c>
      <c r="D69" t="s">
        <v>44</v>
      </c>
      <c r="E69" t="s">
        <v>49</v>
      </c>
      <c r="F69" t="s">
        <v>125</v>
      </c>
      <c r="G69" t="s">
        <v>119</v>
      </c>
    </row>
    <row r="70" spans="1:7">
      <c r="A70" t="s">
        <v>180</v>
      </c>
      <c r="B70" t="s">
        <v>179</v>
      </c>
      <c r="C70" t="s">
        <v>39</v>
      </c>
      <c r="D70" t="s">
        <v>53</v>
      </c>
      <c r="E70" t="s">
        <v>67</v>
      </c>
      <c r="F70" t="s">
        <v>125</v>
      </c>
      <c r="G70" t="s">
        <v>119</v>
      </c>
    </row>
    <row r="71" spans="1:7">
      <c r="A71" t="s">
        <v>181</v>
      </c>
      <c r="B71" t="s">
        <v>179</v>
      </c>
      <c r="C71" t="s">
        <v>39</v>
      </c>
      <c r="D71" t="s">
        <v>44</v>
      </c>
      <c r="E71" t="s">
        <v>53</v>
      </c>
      <c r="F71" t="s">
        <v>125</v>
      </c>
      <c r="G71" t="s">
        <v>119</v>
      </c>
    </row>
    <row r="72" spans="1:7">
      <c r="A72" t="s">
        <v>182</v>
      </c>
      <c r="B72" t="s">
        <v>179</v>
      </c>
      <c r="C72" t="s">
        <v>39</v>
      </c>
      <c r="D72" t="s">
        <v>53</v>
      </c>
      <c r="E72" t="s">
        <v>53</v>
      </c>
      <c r="F72" t="s">
        <v>125</v>
      </c>
      <c r="G72" t="s">
        <v>119</v>
      </c>
    </row>
    <row r="73" spans="1:7">
      <c r="A73" t="s">
        <v>183</v>
      </c>
      <c r="B73" t="s">
        <v>179</v>
      </c>
      <c r="C73" t="s">
        <v>39</v>
      </c>
      <c r="D73" t="s">
        <v>44</v>
      </c>
      <c r="E73" t="s">
        <v>53</v>
      </c>
      <c r="F73" t="s">
        <v>125</v>
      </c>
      <c r="G73" t="s">
        <v>119</v>
      </c>
    </row>
    <row r="74" spans="1:7">
      <c r="A74" t="s">
        <v>184</v>
      </c>
      <c r="B74" t="s">
        <v>179</v>
      </c>
      <c r="C74" t="s">
        <v>39</v>
      </c>
      <c r="D74" t="s">
        <v>53</v>
      </c>
      <c r="E74" t="s">
        <v>53</v>
      </c>
      <c r="F74" t="s">
        <v>125</v>
      </c>
      <c r="G74" t="s">
        <v>119</v>
      </c>
    </row>
    <row r="75" spans="1:7">
      <c r="A75" t="s">
        <v>185</v>
      </c>
      <c r="B75" t="s">
        <v>179</v>
      </c>
      <c r="C75" t="s">
        <v>34</v>
      </c>
      <c r="D75" t="s">
        <v>44</v>
      </c>
      <c r="E75" t="s">
        <v>49</v>
      </c>
      <c r="F75" t="s">
        <v>125</v>
      </c>
      <c r="G75" t="s">
        <v>119</v>
      </c>
    </row>
    <row r="76" spans="1:7">
      <c r="A76" t="s">
        <v>186</v>
      </c>
      <c r="B76" t="s">
        <v>179</v>
      </c>
      <c r="C76" t="s">
        <v>44</v>
      </c>
      <c r="D76" t="s">
        <v>53</v>
      </c>
      <c r="E76" t="s">
        <v>62</v>
      </c>
      <c r="F76" t="s">
        <v>125</v>
      </c>
      <c r="G76" t="s">
        <v>119</v>
      </c>
    </row>
    <row r="77" spans="1:7">
      <c r="A77" t="s">
        <v>187</v>
      </c>
      <c r="B77" t="s">
        <v>179</v>
      </c>
      <c r="C77" t="s">
        <v>34</v>
      </c>
      <c r="D77" t="s">
        <v>39</v>
      </c>
      <c r="E77" t="s">
        <v>53</v>
      </c>
      <c r="F77" t="s">
        <v>125</v>
      </c>
      <c r="G77" t="s">
        <v>119</v>
      </c>
    </row>
    <row r="78" spans="1:7">
      <c r="A78" t="s">
        <v>188</v>
      </c>
      <c r="B78" t="s">
        <v>179</v>
      </c>
      <c r="C78" t="s">
        <v>44</v>
      </c>
      <c r="D78" t="s">
        <v>62</v>
      </c>
      <c r="E78" t="s">
        <v>67</v>
      </c>
      <c r="F78" t="s">
        <v>125</v>
      </c>
      <c r="G78" t="s">
        <v>119</v>
      </c>
    </row>
    <row r="79" spans="1:7">
      <c r="A79" t="s">
        <v>189</v>
      </c>
      <c r="B79" t="s">
        <v>179</v>
      </c>
      <c r="C79" t="s">
        <v>39</v>
      </c>
      <c r="D79" t="s">
        <v>44</v>
      </c>
      <c r="E79" t="s">
        <v>53</v>
      </c>
      <c r="F79" t="s">
        <v>125</v>
      </c>
      <c r="G79" t="s">
        <v>119</v>
      </c>
    </row>
    <row r="80" spans="1:7">
      <c r="A80" t="s">
        <v>190</v>
      </c>
      <c r="B80" t="s">
        <v>179</v>
      </c>
      <c r="C80" t="s">
        <v>57</v>
      </c>
      <c r="D80" t="s">
        <v>62</v>
      </c>
      <c r="E80" t="s">
        <v>67</v>
      </c>
      <c r="F80" t="s">
        <v>125</v>
      </c>
      <c r="G80" t="s">
        <v>119</v>
      </c>
    </row>
    <row r="81" spans="1:7">
      <c r="A81" t="s">
        <v>191</v>
      </c>
      <c r="B81" t="s">
        <v>179</v>
      </c>
      <c r="C81" t="s">
        <v>39</v>
      </c>
      <c r="D81" t="s">
        <v>53</v>
      </c>
      <c r="E81" t="s">
        <v>67</v>
      </c>
      <c r="F81" t="s">
        <v>125</v>
      </c>
      <c r="G81" t="s">
        <v>119</v>
      </c>
    </row>
    <row r="82" spans="1:7">
      <c r="A82" t="s">
        <v>192</v>
      </c>
      <c r="B82" t="s">
        <v>179</v>
      </c>
      <c r="C82" t="s">
        <v>39</v>
      </c>
      <c r="D82" t="s">
        <v>53</v>
      </c>
      <c r="E82" t="s">
        <v>67</v>
      </c>
      <c r="F82" t="s">
        <v>125</v>
      </c>
      <c r="G82" t="s">
        <v>119</v>
      </c>
    </row>
    <row r="83" spans="1:7">
      <c r="A83" t="s">
        <v>193</v>
      </c>
      <c r="B83" t="s">
        <v>179</v>
      </c>
      <c r="C83" t="s">
        <v>44</v>
      </c>
      <c r="D83" t="s">
        <v>49</v>
      </c>
      <c r="E83" t="s">
        <v>53</v>
      </c>
      <c r="F83" t="s">
        <v>125</v>
      </c>
      <c r="G83" t="s">
        <v>119</v>
      </c>
    </row>
    <row r="84" spans="1:7">
      <c r="A84" t="s">
        <v>194</v>
      </c>
      <c r="B84" t="s">
        <v>179</v>
      </c>
      <c r="C84" t="s">
        <v>34</v>
      </c>
      <c r="D84" t="s">
        <v>49</v>
      </c>
      <c r="E84" t="s">
        <v>53</v>
      </c>
      <c r="F84" t="s">
        <v>125</v>
      </c>
      <c r="G84" t="s">
        <v>119</v>
      </c>
    </row>
    <row r="85" spans="1:7">
      <c r="A85" t="s">
        <v>195</v>
      </c>
      <c r="B85" t="s">
        <v>179</v>
      </c>
      <c r="C85" t="s">
        <v>39</v>
      </c>
      <c r="D85" t="s">
        <v>53</v>
      </c>
      <c r="E85" t="s">
        <v>53</v>
      </c>
      <c r="F85" t="s">
        <v>125</v>
      </c>
      <c r="G85" t="s">
        <v>119</v>
      </c>
    </row>
    <row r="86" spans="1:7">
      <c r="A86" t="s">
        <v>196</v>
      </c>
      <c r="B86" t="s">
        <v>179</v>
      </c>
      <c r="C86" t="s">
        <v>39</v>
      </c>
      <c r="D86" t="s">
        <v>53</v>
      </c>
      <c r="E86" t="s">
        <v>53</v>
      </c>
      <c r="F86" t="s">
        <v>125</v>
      </c>
      <c r="G86" t="s">
        <v>119</v>
      </c>
    </row>
    <row r="87" spans="1:7">
      <c r="A87" t="s">
        <v>197</v>
      </c>
      <c r="B87" t="s">
        <v>179</v>
      </c>
      <c r="C87" t="s">
        <v>39</v>
      </c>
      <c r="D87" t="s">
        <v>53</v>
      </c>
      <c r="E87" t="s">
        <v>67</v>
      </c>
      <c r="F87" t="s">
        <v>125</v>
      </c>
      <c r="G87" t="s">
        <v>119</v>
      </c>
    </row>
    <row r="88" spans="1:7">
      <c r="A88" t="s">
        <v>198</v>
      </c>
      <c r="B88" t="s">
        <v>179</v>
      </c>
      <c r="C88" t="s">
        <v>39</v>
      </c>
      <c r="D88" t="s">
        <v>53</v>
      </c>
      <c r="E88" t="s">
        <v>62</v>
      </c>
      <c r="F88" t="s">
        <v>125</v>
      </c>
      <c r="G88" t="s">
        <v>119</v>
      </c>
    </row>
    <row r="89" spans="1:7">
      <c r="A89" t="s">
        <v>199</v>
      </c>
      <c r="B89" t="s">
        <v>179</v>
      </c>
      <c r="C89" t="s">
        <v>39</v>
      </c>
      <c r="D89" t="s">
        <v>53</v>
      </c>
      <c r="E89" t="s">
        <v>62</v>
      </c>
      <c r="F89" t="s">
        <v>125</v>
      </c>
      <c r="G89" t="s">
        <v>119</v>
      </c>
    </row>
    <row r="90" spans="1:7">
      <c r="A90" t="s">
        <v>200</v>
      </c>
      <c r="B90" t="s">
        <v>179</v>
      </c>
      <c r="C90" t="s">
        <v>53</v>
      </c>
      <c r="D90" t="s">
        <v>62</v>
      </c>
      <c r="E90" t="s">
        <v>67</v>
      </c>
      <c r="F90" t="s">
        <v>125</v>
      </c>
      <c r="G90" t="s">
        <v>119</v>
      </c>
    </row>
    <row r="91" spans="1:7">
      <c r="A91" t="s">
        <v>201</v>
      </c>
      <c r="B91" t="s">
        <v>179</v>
      </c>
      <c r="C91" t="s">
        <v>39</v>
      </c>
      <c r="D91" t="s">
        <v>44</v>
      </c>
      <c r="E91" t="s">
        <v>49</v>
      </c>
      <c r="F91" t="s">
        <v>125</v>
      </c>
      <c r="G91" t="s">
        <v>119</v>
      </c>
    </row>
    <row r="92" spans="1:7">
      <c r="A92" t="s">
        <v>202</v>
      </c>
      <c r="B92" t="s">
        <v>179</v>
      </c>
      <c r="C92" t="s">
        <v>44</v>
      </c>
      <c r="D92" t="s">
        <v>49</v>
      </c>
      <c r="E92" t="s">
        <v>53</v>
      </c>
      <c r="F92" t="s">
        <v>125</v>
      </c>
      <c r="G92" t="s">
        <v>119</v>
      </c>
    </row>
    <row r="93" spans="1:7">
      <c r="A93" t="s">
        <v>203</v>
      </c>
      <c r="B93" t="s">
        <v>179</v>
      </c>
      <c r="C93" t="s">
        <v>34</v>
      </c>
      <c r="D93" t="s">
        <v>39</v>
      </c>
      <c r="E93" t="s">
        <v>44</v>
      </c>
      <c r="F93" t="s">
        <v>125</v>
      </c>
      <c r="G93" t="s">
        <v>119</v>
      </c>
    </row>
    <row r="94" spans="1:7">
      <c r="A94" t="s">
        <v>204</v>
      </c>
      <c r="B94" t="s">
        <v>179</v>
      </c>
      <c r="C94" t="s">
        <v>34</v>
      </c>
      <c r="D94" t="s">
        <v>39</v>
      </c>
      <c r="E94" t="s">
        <v>49</v>
      </c>
      <c r="F94" t="s">
        <v>125</v>
      </c>
      <c r="G94" t="s">
        <v>119</v>
      </c>
    </row>
    <row r="95" spans="1:7">
      <c r="A95" t="s">
        <v>205</v>
      </c>
      <c r="B95" t="s">
        <v>179</v>
      </c>
      <c r="C95" t="s">
        <v>44</v>
      </c>
      <c r="D95" t="s">
        <v>49</v>
      </c>
      <c r="E95" t="s">
        <v>49</v>
      </c>
      <c r="F95" t="s">
        <v>125</v>
      </c>
      <c r="G95" t="s">
        <v>119</v>
      </c>
    </row>
    <row r="96" spans="1:7">
      <c r="A96" t="s">
        <v>206</v>
      </c>
      <c r="B96" t="s">
        <v>179</v>
      </c>
      <c r="C96" t="s">
        <v>39</v>
      </c>
      <c r="D96" t="s">
        <v>44</v>
      </c>
      <c r="E96" t="s">
        <v>53</v>
      </c>
      <c r="F96" t="s">
        <v>125</v>
      </c>
      <c r="G96" t="s">
        <v>119</v>
      </c>
    </row>
    <row r="97" spans="1:7">
      <c r="A97" t="s">
        <v>207</v>
      </c>
      <c r="B97" t="s">
        <v>179</v>
      </c>
      <c r="C97" t="s">
        <v>39</v>
      </c>
      <c r="D97" t="s">
        <v>39</v>
      </c>
      <c r="E97" t="s">
        <v>53</v>
      </c>
      <c r="F97" t="s">
        <v>125</v>
      </c>
      <c r="G97" t="s">
        <v>119</v>
      </c>
    </row>
    <row r="98" spans="1:7">
      <c r="A98" t="s">
        <v>208</v>
      </c>
      <c r="B98" t="s">
        <v>179</v>
      </c>
      <c r="C98" t="s">
        <v>39</v>
      </c>
      <c r="D98" t="s">
        <v>44</v>
      </c>
      <c r="E98" t="s">
        <v>53</v>
      </c>
      <c r="F98" t="s">
        <v>125</v>
      </c>
      <c r="G98" t="s">
        <v>119</v>
      </c>
    </row>
    <row r="99" spans="1:7">
      <c r="A99" t="s">
        <v>209</v>
      </c>
      <c r="B99" t="s">
        <v>179</v>
      </c>
      <c r="C99" t="s">
        <v>53</v>
      </c>
      <c r="D99" t="s">
        <v>57</v>
      </c>
      <c r="E99" t="s">
        <v>67</v>
      </c>
      <c r="F99" t="s">
        <v>125</v>
      </c>
      <c r="G99" t="s">
        <v>119</v>
      </c>
    </row>
    <row r="100" spans="1:7">
      <c r="A100" t="s">
        <v>210</v>
      </c>
      <c r="B100" t="s">
        <v>179</v>
      </c>
      <c r="C100" t="s">
        <v>39</v>
      </c>
      <c r="D100" t="s">
        <v>53</v>
      </c>
      <c r="E100" t="s">
        <v>67</v>
      </c>
      <c r="F100" t="s">
        <v>125</v>
      </c>
      <c r="G100" t="s">
        <v>119</v>
      </c>
    </row>
    <row r="101" spans="1:7">
      <c r="A101" t="s">
        <v>211</v>
      </c>
      <c r="B101" t="s">
        <v>179</v>
      </c>
      <c r="C101" t="s">
        <v>44</v>
      </c>
      <c r="D101" t="s">
        <v>49</v>
      </c>
      <c r="E101" t="s">
        <v>53</v>
      </c>
      <c r="F101" t="s">
        <v>125</v>
      </c>
      <c r="G101" t="s">
        <v>119</v>
      </c>
    </row>
    <row r="102" spans="1:7">
      <c r="A102" t="s">
        <v>212</v>
      </c>
      <c r="B102" t="s">
        <v>179</v>
      </c>
      <c r="C102" t="s">
        <v>44</v>
      </c>
      <c r="D102" t="s">
        <v>53</v>
      </c>
      <c r="E102" t="s">
        <v>53</v>
      </c>
      <c r="F102" t="s">
        <v>125</v>
      </c>
      <c r="G102" t="s">
        <v>119</v>
      </c>
    </row>
    <row r="103" spans="1:7">
      <c r="A103" t="s">
        <v>213</v>
      </c>
      <c r="B103" t="s">
        <v>179</v>
      </c>
      <c r="C103" t="s">
        <v>39</v>
      </c>
      <c r="D103" t="s">
        <v>44</v>
      </c>
      <c r="E103" t="s">
        <v>53</v>
      </c>
      <c r="F103" t="s">
        <v>125</v>
      </c>
      <c r="G103" t="s">
        <v>119</v>
      </c>
    </row>
    <row r="104" spans="1:7">
      <c r="A104" t="s">
        <v>214</v>
      </c>
      <c r="B104" t="s">
        <v>179</v>
      </c>
      <c r="C104" t="s">
        <v>53</v>
      </c>
      <c r="D104" t="s">
        <v>57</v>
      </c>
      <c r="E104" t="s">
        <v>67</v>
      </c>
      <c r="F104" t="s">
        <v>125</v>
      </c>
      <c r="G104" t="s">
        <v>119</v>
      </c>
    </row>
    <row r="105" spans="1:7">
      <c r="A105" t="s">
        <v>215</v>
      </c>
      <c r="B105" t="s">
        <v>179</v>
      </c>
      <c r="C105" t="s">
        <v>53</v>
      </c>
      <c r="D105" t="s">
        <v>53</v>
      </c>
      <c r="E105" t="s">
        <v>67</v>
      </c>
      <c r="F105" t="s">
        <v>125</v>
      </c>
      <c r="G105" t="s">
        <v>119</v>
      </c>
    </row>
    <row r="106" spans="1:7">
      <c r="A106" t="s">
        <v>216</v>
      </c>
      <c r="B106" t="s">
        <v>179</v>
      </c>
      <c r="C106" t="s">
        <v>53</v>
      </c>
      <c r="D106" t="s">
        <v>53</v>
      </c>
      <c r="E106" t="s">
        <v>67</v>
      </c>
      <c r="F106" t="s">
        <v>125</v>
      </c>
      <c r="G106" t="s">
        <v>119</v>
      </c>
    </row>
    <row r="107" spans="1:7">
      <c r="A107" t="s">
        <v>217</v>
      </c>
      <c r="B107" t="s">
        <v>179</v>
      </c>
      <c r="C107" t="s">
        <v>44</v>
      </c>
      <c r="D107" t="s">
        <v>53</v>
      </c>
      <c r="E107" t="s">
        <v>53</v>
      </c>
      <c r="F107" t="s">
        <v>125</v>
      </c>
      <c r="G107" t="s">
        <v>119</v>
      </c>
    </row>
    <row r="108" spans="1:7">
      <c r="A108" t="s">
        <v>218</v>
      </c>
      <c r="B108" t="s">
        <v>179</v>
      </c>
      <c r="C108" t="s">
        <v>39</v>
      </c>
      <c r="D108" t="s">
        <v>53</v>
      </c>
      <c r="E108" t="s">
        <v>67</v>
      </c>
      <c r="F108" t="s">
        <v>125</v>
      </c>
      <c r="G108" t="s">
        <v>119</v>
      </c>
    </row>
    <row r="109" spans="1:7">
      <c r="A109" t="s">
        <v>219</v>
      </c>
      <c r="B109" t="s">
        <v>179</v>
      </c>
      <c r="C109" t="s">
        <v>39</v>
      </c>
      <c r="D109" t="s">
        <v>53</v>
      </c>
      <c r="E109" t="s">
        <v>67</v>
      </c>
      <c r="F109" t="s">
        <v>125</v>
      </c>
      <c r="G109" t="s">
        <v>119</v>
      </c>
    </row>
    <row r="110" spans="1:7">
      <c r="A110" t="s">
        <v>220</v>
      </c>
      <c r="B110" t="s">
        <v>179</v>
      </c>
      <c r="C110" t="s">
        <v>44</v>
      </c>
      <c r="D110" t="s">
        <v>53</v>
      </c>
      <c r="E110" t="s">
        <v>53</v>
      </c>
      <c r="F110" t="s">
        <v>125</v>
      </c>
      <c r="G110" t="s">
        <v>119</v>
      </c>
    </row>
    <row r="111" spans="1:7">
      <c r="A111" t="s">
        <v>221</v>
      </c>
      <c r="B111" t="s">
        <v>179</v>
      </c>
      <c r="C111" t="s">
        <v>39</v>
      </c>
      <c r="D111" t="s">
        <v>53</v>
      </c>
      <c r="E111" t="s">
        <v>53</v>
      </c>
      <c r="F111" t="s">
        <v>125</v>
      </c>
      <c r="G111" t="s">
        <v>119</v>
      </c>
    </row>
    <row r="112" spans="1:7">
      <c r="A112" t="s">
        <v>222</v>
      </c>
      <c r="B112" t="s">
        <v>179</v>
      </c>
      <c r="C112" t="s">
        <v>39</v>
      </c>
      <c r="D112" t="s">
        <v>44</v>
      </c>
      <c r="E112" t="s">
        <v>67</v>
      </c>
      <c r="F112" t="s">
        <v>125</v>
      </c>
      <c r="G112" t="s">
        <v>119</v>
      </c>
    </row>
    <row r="113" spans="1:7">
      <c r="A113" t="s">
        <v>223</v>
      </c>
      <c r="B113" t="s">
        <v>179</v>
      </c>
      <c r="C113" t="s">
        <v>53</v>
      </c>
      <c r="D113" t="s">
        <v>53</v>
      </c>
      <c r="E113" t="s">
        <v>67</v>
      </c>
      <c r="F113" t="s">
        <v>125</v>
      </c>
      <c r="G113" t="s">
        <v>119</v>
      </c>
    </row>
    <row r="114" spans="1:7">
      <c r="A114" t="s">
        <v>224</v>
      </c>
      <c r="B114" t="s">
        <v>179</v>
      </c>
      <c r="C114" t="s">
        <v>39</v>
      </c>
      <c r="D114" t="s">
        <v>53</v>
      </c>
      <c r="E114" t="s">
        <v>67</v>
      </c>
      <c r="F114" t="s">
        <v>125</v>
      </c>
      <c r="G114" t="s">
        <v>119</v>
      </c>
    </row>
    <row r="115" spans="1:7">
      <c r="A115" t="s">
        <v>225</v>
      </c>
      <c r="B115" t="s">
        <v>179</v>
      </c>
      <c r="C115" t="s">
        <v>39</v>
      </c>
      <c r="D115" t="s">
        <v>53</v>
      </c>
      <c r="E115" t="s">
        <v>67</v>
      </c>
      <c r="F115" t="s">
        <v>125</v>
      </c>
      <c r="G115" t="s">
        <v>119</v>
      </c>
    </row>
  </sheetData>
  <phoneticPr fontId="9"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8BF4-4126-451D-B1EA-535DC5574966}">
  <sheetPr codeName="Tabelle3">
    <tabColor theme="4" tint="0.39997558519241921"/>
  </sheetPr>
  <dimension ref="A1:AC135"/>
  <sheetViews>
    <sheetView tabSelected="1" topLeftCell="A2" zoomScale="98" workbookViewId="0">
      <selection activeCell="I13" sqref="I13"/>
    </sheetView>
  </sheetViews>
  <sheetFormatPr baseColWidth="10" defaultColWidth="11.44140625" defaultRowHeight="19.5"/>
  <cols>
    <col min="1" max="1" width="11.44140625" style="88"/>
    <col min="2" max="2" width="34.33203125" style="88" bestFit="1" customWidth="1"/>
    <col min="3" max="3" width="18" style="88" hidden="1" customWidth="1"/>
    <col min="4" max="6" width="15.33203125" style="88" hidden="1" customWidth="1"/>
    <col min="7" max="7" width="19.109375" style="88" hidden="1" customWidth="1"/>
    <col min="8" max="8" width="15.109375" style="88" hidden="1" customWidth="1"/>
    <col min="9" max="9" width="43.33203125" style="156" customWidth="1"/>
    <col min="10" max="10" width="7.77734375" style="88" customWidth="1"/>
    <col min="11" max="11" width="6.44140625" style="88" customWidth="1"/>
    <col min="12" max="12" width="4.6640625" style="88" customWidth="1"/>
    <col min="13" max="13" width="7.21875" style="88" customWidth="1"/>
    <col min="14" max="14" width="10.5546875" style="88" customWidth="1"/>
    <col min="15" max="15" width="6" style="88" customWidth="1"/>
    <col min="16" max="16" width="7.21875" style="88" customWidth="1"/>
    <col min="17" max="17" width="7.109375" style="88" customWidth="1"/>
    <col min="18" max="18" width="47.6640625" style="88" customWidth="1"/>
    <col min="19" max="19" width="50.109375" style="88" customWidth="1"/>
    <col min="20" max="20" width="11.44140625" style="88"/>
    <col min="21" max="21" width="85.77734375" style="88" customWidth="1"/>
    <col min="22" max="16384" width="11.44140625" style="88"/>
  </cols>
  <sheetData>
    <row r="1" spans="2:29" ht="20.25">
      <c r="B1" s="355" t="s">
        <v>226</v>
      </c>
      <c r="C1" s="355"/>
      <c r="D1" s="355"/>
      <c r="E1" s="355"/>
      <c r="F1" s="355"/>
      <c r="G1" s="355"/>
      <c r="H1" s="355"/>
      <c r="I1" s="355"/>
      <c r="J1" s="355"/>
      <c r="K1" s="355"/>
      <c r="L1" s="355"/>
      <c r="M1" s="355"/>
      <c r="N1" s="355"/>
      <c r="O1" s="355"/>
      <c r="P1" s="355"/>
      <c r="Q1" s="355"/>
      <c r="R1" s="355"/>
      <c r="T1" s="89"/>
      <c r="U1" s="89"/>
      <c r="V1" s="89"/>
      <c r="W1" s="89"/>
      <c r="X1" s="89"/>
      <c r="Y1" s="89"/>
      <c r="Z1" s="89"/>
      <c r="AA1" s="89"/>
      <c r="AB1" s="89"/>
      <c r="AC1" s="89"/>
    </row>
    <row r="2" spans="2:29" ht="21">
      <c r="C2" s="90" t="s">
        <v>227</v>
      </c>
      <c r="D2" s="90">
        <f>Nahkampf!AR16</f>
        <v>1</v>
      </c>
      <c r="E2" s="90" t="s">
        <v>228</v>
      </c>
      <c r="F2" s="90" t="str">
        <f>IF(ISNUMBER(L2),L2,"")</f>
        <v/>
      </c>
      <c r="G2" s="91" t="s">
        <v>229</v>
      </c>
      <c r="H2" s="91">
        <f>IF(ISNUMBER(F2),F2,D2)</f>
        <v>1</v>
      </c>
      <c r="I2" s="355" t="s">
        <v>230</v>
      </c>
      <c r="J2" s="355"/>
      <c r="K2" s="355"/>
      <c r="L2" s="57"/>
      <c r="S2" s="89"/>
      <c r="T2" s="89"/>
      <c r="U2" s="89"/>
      <c r="V2" s="89"/>
      <c r="W2" s="89"/>
      <c r="X2" s="89"/>
      <c r="Y2" s="89"/>
      <c r="Z2" s="89"/>
      <c r="AA2" s="89"/>
      <c r="AB2" s="89"/>
      <c r="AC2" s="89"/>
    </row>
    <row r="3" spans="2:29" ht="20.25">
      <c r="B3" s="155" t="s">
        <v>231</v>
      </c>
      <c r="C3" s="155" t="s">
        <v>232</v>
      </c>
      <c r="D3" s="155" t="s">
        <v>232</v>
      </c>
      <c r="E3" s="155" t="s">
        <v>233</v>
      </c>
      <c r="F3" s="155" t="s">
        <v>233</v>
      </c>
      <c r="G3" s="155" t="s">
        <v>234</v>
      </c>
      <c r="H3" s="155" t="s">
        <v>234</v>
      </c>
      <c r="I3" s="155" t="s">
        <v>235</v>
      </c>
      <c r="J3" s="155" t="s">
        <v>236</v>
      </c>
      <c r="K3" s="155" t="s">
        <v>96</v>
      </c>
      <c r="L3" s="155" t="s">
        <v>237</v>
      </c>
      <c r="M3" s="155" t="s">
        <v>238</v>
      </c>
      <c r="N3" s="155" t="s">
        <v>239</v>
      </c>
      <c r="O3" s="155" t="s">
        <v>240</v>
      </c>
      <c r="P3" s="155" t="s">
        <v>238</v>
      </c>
      <c r="Q3" s="155" t="s">
        <v>241</v>
      </c>
      <c r="R3" s="155" t="s">
        <v>242</v>
      </c>
      <c r="S3" s="155" t="s">
        <v>243</v>
      </c>
      <c r="T3" s="89"/>
      <c r="U3" s="89" t="s">
        <v>244</v>
      </c>
      <c r="V3" s="89"/>
      <c r="W3" s="89"/>
      <c r="X3" s="89"/>
      <c r="Y3" s="89"/>
      <c r="Z3" s="89"/>
      <c r="AA3" s="89"/>
      <c r="AB3" s="89"/>
      <c r="AC3" s="89"/>
    </row>
    <row r="4" spans="2:29" ht="20.25">
      <c r="B4" s="155" t="s">
        <v>127</v>
      </c>
      <c r="C4" s="92" t="str">
        <f>_xlfn.XLOOKUP(B4,Talente!A:A,Talente!C:C)</f>
        <v>Mut</v>
      </c>
      <c r="D4" s="92">
        <f>_xlfn.XLOOKUP(C4,Eigenschaften!$B$20:$B$27,Eigenschaften!$H$20:$H$27,"NaN",1)</f>
        <v>13</v>
      </c>
      <c r="E4" s="92" t="str">
        <f>_xlfn.XLOOKUP(B4,Talente!A:A,Talente!D:D)</f>
        <v>Gewandheit</v>
      </c>
      <c r="F4" s="92">
        <f>_xlfn.XLOOKUP(E4,Eigenschaften!$B$20:$B$27,Eigenschaften!$H$20:$H$27,"NaN",1)</f>
        <v>14</v>
      </c>
      <c r="G4" s="92" t="str">
        <f>_xlfn.XLOOKUP(B4,Talente!A:A,Talente!E:E)</f>
        <v>Körperkraft</v>
      </c>
      <c r="H4" s="92">
        <f>_xlfn.XLOOKUP(G4,Eigenschaften!$B$20:$B$27,Eigenschaften!$H$20:$H$27,"NaN",1)</f>
        <v>12</v>
      </c>
      <c r="I4" s="262" t="str">
        <f>C4&amp;": "&amp;D4&amp;" | "&amp;E4&amp;": "&amp;F4&amp;" | "&amp;G4&amp;": "&amp;H4</f>
        <v>Mut: 13 | Gewandheit: 14 | Körperkraft: 12</v>
      </c>
      <c r="J4" s="46" t="str">
        <f>_xlfn.XLOOKUP(B4,Talente!A:A,Talente!F:F)</f>
        <v>A</v>
      </c>
      <c r="K4" s="46" t="str">
        <f>_xlfn.XLOOKUP(B4,Talente!A:A,Talente!G:G)</f>
        <v>x2</v>
      </c>
      <c r="L4" s="46">
        <f>IF(NOT(ISERROR(FIND("x",K4))),RIGHT(K4,1)*$H$2,IF(K4&lt;0,IF(($H$2+K4)&gt;0,$H$2+K4,0),IF(K4="-",0,0)))</f>
        <v>2</v>
      </c>
      <c r="M4" s="57"/>
      <c r="N4" s="46">
        <f t="shared" ref="N4:N21" si="0">MAX(D4:H4)+3</f>
        <v>17</v>
      </c>
      <c r="O4" s="57">
        <v>0</v>
      </c>
      <c r="P4" s="46">
        <f>IF(M4="-","-",M4-L4+O4)</f>
        <v>-2</v>
      </c>
      <c r="Q4" s="57"/>
      <c r="R4" s="154"/>
      <c r="S4" s="154"/>
      <c r="T4" s="89"/>
      <c r="U4" s="398" t="s">
        <v>245</v>
      </c>
      <c r="V4" s="89"/>
      <c r="W4" s="89"/>
      <c r="X4" s="89"/>
      <c r="Y4" s="89"/>
      <c r="Z4" s="89"/>
      <c r="AA4" s="89"/>
      <c r="AB4" s="89"/>
      <c r="AC4" s="89"/>
    </row>
    <row r="5" spans="2:29" ht="20.25">
      <c r="B5" s="155" t="s">
        <v>108</v>
      </c>
      <c r="C5" s="92" t="str">
        <f>_xlfn.XLOOKUP(B5,Talente!A:A,Talente!C:C)</f>
        <v>Gewandheit</v>
      </c>
      <c r="D5" s="92">
        <f>_xlfn.XLOOKUP(C5,Eigenschaften!$B$20:$B$27,Eigenschaften!$H$20:$H$27,"NaN",1)</f>
        <v>14</v>
      </c>
      <c r="E5" s="92" t="str">
        <f>_xlfn.XLOOKUP(B5,Talente!A:A,Talente!D:D)</f>
        <v>Konstitution</v>
      </c>
      <c r="F5" s="92">
        <f>_xlfn.XLOOKUP(E5,Eigenschaften!$B$20:$B$27,Eigenschaften!$H$20:$H$27,"NaN",1)</f>
        <v>12</v>
      </c>
      <c r="G5" s="92" t="str">
        <f>_xlfn.XLOOKUP(B5,Talente!A:A,Talente!E:E)</f>
        <v>Körperkraft</v>
      </c>
      <c r="H5" s="92">
        <f>_xlfn.XLOOKUP(G5,Eigenschaften!$B$20:$B$27,Eigenschaften!$H$20:$H$27,"NaN",1)</f>
        <v>12</v>
      </c>
      <c r="I5" s="262" t="str">
        <f t="shared" ref="I5:I21" si="1">C5&amp;": "&amp;D5&amp;" | "&amp;E5&amp;": "&amp;F5&amp;" | "&amp;G5&amp;": "&amp;H5</f>
        <v>Gewandheit: 14 | Konstitution: 12 | Körperkraft: 12</v>
      </c>
      <c r="J5" s="46" t="str">
        <f>_xlfn.XLOOKUP(B5,Talente!A:A,Talente!F:F)</f>
        <v>C</v>
      </c>
      <c r="K5" s="46" t="str">
        <f>_xlfn.XLOOKUP(B5,Talente!A:A,Talente!G:G)</f>
        <v>x2</v>
      </c>
      <c r="L5" s="46">
        <f t="shared" ref="L5:L21" si="2">IF(NOT(ISERROR(FIND("x",K5))),RIGHT(K5,1)*$H$2,IF(K5&lt;0,IF(($H$2+K5)&gt;0,$H$2+K5,0),IF(K5="-",0,0)))</f>
        <v>2</v>
      </c>
      <c r="M5" s="57">
        <v>1</v>
      </c>
      <c r="N5" s="46">
        <f t="shared" si="0"/>
        <v>17</v>
      </c>
      <c r="O5" s="57">
        <v>0</v>
      </c>
      <c r="P5" s="46">
        <f t="shared" ref="P5:P21" si="3">IF(M5="-","-",M5-L5+O5)</f>
        <v>-1</v>
      </c>
      <c r="Q5" s="57"/>
      <c r="R5" s="154"/>
      <c r="S5" s="154"/>
      <c r="T5" s="89"/>
      <c r="U5" s="399"/>
      <c r="V5" s="89"/>
      <c r="W5" s="89"/>
      <c r="X5" s="89"/>
      <c r="Y5" s="89"/>
      <c r="Z5" s="89"/>
      <c r="AA5" s="89"/>
      <c r="AB5" s="89"/>
      <c r="AC5" s="89"/>
    </row>
    <row r="6" spans="2:29" ht="21.75" customHeight="1">
      <c r="B6" s="238" t="s">
        <v>129</v>
      </c>
      <c r="C6" s="92" t="str">
        <f>_xlfn.XLOOKUP(B6,Talente!A:A,Talente!C:C)</f>
        <v>Mut</v>
      </c>
      <c r="D6" s="92">
        <f>_xlfn.XLOOKUP(C6,Eigenschaften!$B$20:$B$27,Eigenschaften!$H$20:$H$27,"NaN",1)</f>
        <v>13</v>
      </c>
      <c r="E6" s="92" t="str">
        <f>_xlfn.XLOOKUP(B6,Talente!A:A,Talente!D:D)</f>
        <v>Intuition</v>
      </c>
      <c r="F6" s="92">
        <f>_xlfn.XLOOKUP(E6,Eigenschaften!$B$20:$B$27,Eigenschaften!$H$20:$H$27,"NaN",1)</f>
        <v>15</v>
      </c>
      <c r="G6" s="92" t="str">
        <f>_xlfn.XLOOKUP(B6,Talente!A:A,Talente!E:E)</f>
        <v>Gewandheit</v>
      </c>
      <c r="H6" s="92">
        <f>_xlfn.XLOOKUP(G6,Eigenschaften!$B$20:$B$27,Eigenschaften!$H$20:$H$27,"NaN",1)</f>
        <v>14</v>
      </c>
      <c r="I6" s="262" t="str">
        <f t="shared" si="1"/>
        <v>Mut: 13 | Intuition: 15 | Gewandheit: 14</v>
      </c>
      <c r="J6" s="46" t="str">
        <f>_xlfn.XLOOKUP(B6,Talente!A:A,Talente!F:F)</f>
        <v>D</v>
      </c>
      <c r="K6" s="46" t="str">
        <f>_xlfn.XLOOKUP(B6,Talente!A:A,Talente!G:G)</f>
        <v>x1</v>
      </c>
      <c r="L6" s="46">
        <f t="shared" si="2"/>
        <v>1</v>
      </c>
      <c r="M6" s="57">
        <v>7</v>
      </c>
      <c r="N6" s="46">
        <f t="shared" si="0"/>
        <v>18</v>
      </c>
      <c r="O6" s="57">
        <v>0</v>
      </c>
      <c r="P6" s="46">
        <f t="shared" si="3"/>
        <v>6</v>
      </c>
      <c r="Q6" s="57"/>
      <c r="R6" s="154"/>
      <c r="S6" s="154"/>
      <c r="T6" s="89"/>
      <c r="U6" s="399"/>
      <c r="V6" s="89"/>
      <c r="W6" s="89"/>
      <c r="X6" s="89"/>
      <c r="Y6" s="89"/>
      <c r="Z6" s="89"/>
      <c r="AA6" s="89"/>
      <c r="AB6" s="89"/>
      <c r="AC6" s="89"/>
    </row>
    <row r="7" spans="2:29" ht="21.75" customHeight="1">
      <c r="B7" s="155" t="s">
        <v>130</v>
      </c>
      <c r="C7" s="92" t="str">
        <f>_xlfn.XLOOKUP(B7,Talente!A:A,Talente!C:C)</f>
        <v>Mut</v>
      </c>
      <c r="D7" s="92">
        <f>_xlfn.XLOOKUP(C7,Eigenschaften!$B$20:$B$27,Eigenschaften!$H$20:$H$27,"NaN",1)</f>
        <v>13</v>
      </c>
      <c r="E7" s="92" t="str">
        <f>_xlfn.XLOOKUP(B7,Talente!A:A,Talente!D:D)</f>
        <v>Charisma</v>
      </c>
      <c r="F7" s="92">
        <f>_xlfn.XLOOKUP(E7,Eigenschaften!$B$20:$B$27,Eigenschaften!$H$20:$H$27,"NaN",1)</f>
        <v>15</v>
      </c>
      <c r="G7" s="92" t="str">
        <f>_xlfn.XLOOKUP(B7,Talente!A:A,Talente!E:E)</f>
        <v>Fingerfertigkeit</v>
      </c>
      <c r="H7" s="92">
        <f>_xlfn.XLOOKUP(G7,Eigenschaften!$B$20:$B$27,Eigenschaften!$H$20:$H$27,"NaN",1)</f>
        <v>10</v>
      </c>
      <c r="I7" s="262" t="str">
        <f t="shared" si="1"/>
        <v>Mut: 13 | Charisma: 15 | Fingerfertigkeit: 10</v>
      </c>
      <c r="J7" s="46" t="str">
        <f>_xlfn.XLOOKUP(B7,Talente!A:A,Talente!F:F)</f>
        <v>C</v>
      </c>
      <c r="K7" s="46" t="str">
        <f>_xlfn.XLOOKUP(B7,Talente!A:A,Talente!G:G)</f>
        <v>x2</v>
      </c>
      <c r="L7" s="46">
        <f t="shared" si="2"/>
        <v>2</v>
      </c>
      <c r="M7" s="57"/>
      <c r="N7" s="46">
        <f t="shared" si="0"/>
        <v>18</v>
      </c>
      <c r="O7" s="57">
        <v>0</v>
      </c>
      <c r="P7" s="46">
        <f t="shared" si="3"/>
        <v>-2</v>
      </c>
      <c r="Q7" s="57"/>
      <c r="R7" s="154"/>
      <c r="S7" s="154"/>
      <c r="T7" s="89"/>
      <c r="U7" s="399"/>
      <c r="V7" s="89"/>
      <c r="W7" s="89"/>
      <c r="X7" s="89"/>
      <c r="Y7" s="89"/>
      <c r="Z7" s="89"/>
      <c r="AA7" s="89"/>
      <c r="AB7" s="89"/>
      <c r="AC7" s="89"/>
    </row>
    <row r="8" spans="2:29" ht="20.25">
      <c r="B8" s="155" t="s">
        <v>112</v>
      </c>
      <c r="C8" s="92" t="str">
        <f>_xlfn.XLOOKUP(B8,Talente!A:A,Talente!C:C)</f>
        <v>Mut</v>
      </c>
      <c r="D8" s="92">
        <f>_xlfn.XLOOKUP(C8,Eigenschaften!$B$20:$B$27,Eigenschaften!$H$20:$H$27,"NaN",1)</f>
        <v>13</v>
      </c>
      <c r="E8" s="92" t="str">
        <f>_xlfn.XLOOKUP(B8,Talente!A:A,Talente!D:D)</f>
        <v>Gewandheit</v>
      </c>
      <c r="F8" s="92">
        <f>_xlfn.XLOOKUP(E8,Eigenschaften!$B$20:$B$27,Eigenschaften!$H$20:$H$27,"NaN",1)</f>
        <v>14</v>
      </c>
      <c r="G8" s="92" t="str">
        <f>_xlfn.XLOOKUP(B8,Talente!A:A,Talente!E:E)</f>
        <v>Körperkraft</v>
      </c>
      <c r="H8" s="92">
        <f>_xlfn.XLOOKUP(G8,Eigenschaften!$B$20:$B$27,Eigenschaften!$H$20:$H$27,"NaN",1)</f>
        <v>12</v>
      </c>
      <c r="I8" s="262" t="str">
        <f t="shared" si="1"/>
        <v>Mut: 13 | Gewandheit: 14 | Körperkraft: 12</v>
      </c>
      <c r="J8" s="46" t="str">
        <f>_xlfn.XLOOKUP(B8,Talente!A:A,Talente!F:F)</f>
        <v>D</v>
      </c>
      <c r="K8" s="46" t="str">
        <f>_xlfn.XLOOKUP(B8,Talente!A:A,Talente!G:G)</f>
        <v>x2</v>
      </c>
      <c r="L8" s="46">
        <f t="shared" si="2"/>
        <v>2</v>
      </c>
      <c r="M8" s="57">
        <v>3</v>
      </c>
      <c r="N8" s="46">
        <f t="shared" si="0"/>
        <v>17</v>
      </c>
      <c r="O8" s="57">
        <v>0</v>
      </c>
      <c r="P8" s="46">
        <f t="shared" si="3"/>
        <v>1</v>
      </c>
      <c r="Q8" s="57"/>
      <c r="R8" s="154"/>
      <c r="S8" s="154"/>
      <c r="T8" s="89"/>
      <c r="U8" s="399"/>
      <c r="V8" s="89"/>
      <c r="W8" s="89"/>
      <c r="X8" s="89"/>
      <c r="Y8" s="89"/>
      <c r="Z8" s="89"/>
      <c r="AA8" s="89"/>
      <c r="AB8" s="89"/>
      <c r="AC8" s="89"/>
    </row>
    <row r="9" spans="2:29" ht="20.25">
      <c r="B9" s="155" t="s">
        <v>114</v>
      </c>
      <c r="C9" s="92" t="str">
        <f>_xlfn.XLOOKUP(B9,Talente!A:A,Talente!C:C)</f>
        <v>Mut</v>
      </c>
      <c r="D9" s="92">
        <f>_xlfn.XLOOKUP(C9,Eigenschaften!$B$20:$B$27,Eigenschaften!$H$20:$H$27,"NaN",1)</f>
        <v>13</v>
      </c>
      <c r="E9" s="92" t="str">
        <f>_xlfn.XLOOKUP(B9,Talente!A:A,Talente!D:D)</f>
        <v>Intuition</v>
      </c>
      <c r="F9" s="92">
        <f>_xlfn.XLOOKUP(E9,Eigenschaften!$B$20:$B$27,Eigenschaften!$H$20:$H$27,"NaN",1)</f>
        <v>15</v>
      </c>
      <c r="G9" s="92" t="str">
        <f>_xlfn.XLOOKUP(B9,Talente!A:A,Talente!E:E)</f>
        <v>Gewandheit</v>
      </c>
      <c r="H9" s="92">
        <f>_xlfn.XLOOKUP(G9,Eigenschaften!$B$20:$B$27,Eigenschaften!$H$20:$H$27,"NaN",1)</f>
        <v>14</v>
      </c>
      <c r="I9" s="262" t="str">
        <f t="shared" si="1"/>
        <v>Mut: 13 | Intuition: 15 | Gewandheit: 14</v>
      </c>
      <c r="J9" s="46" t="str">
        <f>_xlfn.XLOOKUP(B9,Talente!A:A,Talente!F:F)</f>
        <v>D</v>
      </c>
      <c r="K9" s="46" t="str">
        <f>_xlfn.XLOOKUP(B9,Talente!A:A,Talente!G:G)</f>
        <v>x2</v>
      </c>
      <c r="L9" s="46">
        <f t="shared" si="2"/>
        <v>2</v>
      </c>
      <c r="M9" s="57">
        <v>4</v>
      </c>
      <c r="N9" s="46">
        <f t="shared" si="0"/>
        <v>18</v>
      </c>
      <c r="O9" s="57">
        <v>0</v>
      </c>
      <c r="P9" s="46">
        <f>IF(M9="-","-",M9-L9+O9)</f>
        <v>2</v>
      </c>
      <c r="Q9" s="57"/>
      <c r="R9" s="154"/>
      <c r="S9" s="154"/>
      <c r="U9" s="399"/>
    </row>
    <row r="10" spans="2:29" ht="20.25">
      <c r="B10" s="155" t="s">
        <v>131</v>
      </c>
      <c r="C10" s="92" t="str">
        <f>_xlfn.XLOOKUP(B10,Talente!A:A,Talente!C:C)</f>
        <v>Charisma</v>
      </c>
      <c r="D10" s="92">
        <f>_xlfn.XLOOKUP(C10,Eigenschaften!$B$20:$B$27,Eigenschaften!$H$20:$H$27,"NaN",1)</f>
        <v>15</v>
      </c>
      <c r="E10" s="92" t="str">
        <f>_xlfn.XLOOKUP(B10,Talente!A:A,Talente!D:D)</f>
        <v>Gewandheit</v>
      </c>
      <c r="F10" s="92">
        <f>_xlfn.XLOOKUP(E10,Eigenschaften!$B$20:$B$27,Eigenschaften!$H$20:$H$27,"NaN",1)</f>
        <v>14</v>
      </c>
      <c r="G10" s="92" t="str">
        <f>_xlfn.XLOOKUP(B10,Talente!A:A,Talente!E:E)</f>
        <v>Körperkraft</v>
      </c>
      <c r="H10" s="92">
        <f>_xlfn.XLOOKUP(G10,Eigenschaften!$B$20:$B$27,Eigenschaften!$H$20:$H$27,"NaN",1)</f>
        <v>12</v>
      </c>
      <c r="I10" s="262" t="str">
        <f t="shared" si="1"/>
        <v>Charisma: 15 | Gewandheit: 14 | Körperkraft: 12</v>
      </c>
      <c r="J10" s="46" t="str">
        <f>_xlfn.XLOOKUP(B10,Talente!A:A,Talente!F:F)</f>
        <v>D</v>
      </c>
      <c r="K10" s="46">
        <f>_xlfn.XLOOKUP(B10,Talente!A:A,Talente!G:G)</f>
        <v>-2</v>
      </c>
      <c r="L10" s="46">
        <f t="shared" si="2"/>
        <v>0</v>
      </c>
      <c r="M10" s="57"/>
      <c r="N10" s="46">
        <f t="shared" si="0"/>
        <v>18</v>
      </c>
      <c r="O10" s="57">
        <v>0</v>
      </c>
      <c r="P10" s="46">
        <f t="shared" si="3"/>
        <v>0</v>
      </c>
      <c r="Q10" s="57"/>
      <c r="R10" s="154"/>
      <c r="S10" s="154"/>
      <c r="U10" s="399"/>
    </row>
    <row r="11" spans="2:29" ht="20.25">
      <c r="B11" s="238" t="s">
        <v>115</v>
      </c>
      <c r="C11" s="92" t="str">
        <f>_xlfn.XLOOKUP(B11,Talente!A:A,Talente!C:C)</f>
        <v>Mut</v>
      </c>
      <c r="D11" s="92">
        <f>_xlfn.XLOOKUP(C11,Eigenschaften!$B$20:$B$27,Eigenschaften!$H$20:$H$27,"NaN",1)</f>
        <v>13</v>
      </c>
      <c r="E11" s="92" t="str">
        <f>_xlfn.XLOOKUP(B11,Talente!A:A,Talente!D:D)</f>
        <v>Intuition</v>
      </c>
      <c r="F11" s="92">
        <f>_xlfn.XLOOKUP(E11,Eigenschaften!$B$20:$B$27,Eigenschaften!$H$20:$H$27,"NaN",1)</f>
        <v>15</v>
      </c>
      <c r="G11" s="92" t="str">
        <f>_xlfn.XLOOKUP(B11,Talente!A:A,Talente!E:E)</f>
        <v>Gewandheit</v>
      </c>
      <c r="H11" s="92">
        <f>_xlfn.XLOOKUP(G11,Eigenschaften!$B$20:$B$27,Eigenschaften!$H$20:$H$27,"NaN",1)</f>
        <v>14</v>
      </c>
      <c r="I11" s="262" t="str">
        <f t="shared" si="1"/>
        <v>Mut: 13 | Intuition: 15 | Gewandheit: 14</v>
      </c>
      <c r="J11" s="46" t="str">
        <f>_xlfn.XLOOKUP(B11,Talente!A:A,Talente!F:F)</f>
        <v>C</v>
      </c>
      <c r="K11" s="46" t="str">
        <f>_xlfn.XLOOKUP(B11,Talente!A:A,Talente!G:G)</f>
        <v>x1</v>
      </c>
      <c r="L11" s="46">
        <f t="shared" si="2"/>
        <v>1</v>
      </c>
      <c r="M11" s="57">
        <v>7</v>
      </c>
      <c r="N11" s="46">
        <f t="shared" si="0"/>
        <v>18</v>
      </c>
      <c r="O11" s="57">
        <v>0</v>
      </c>
      <c r="P11" s="46">
        <f t="shared" si="3"/>
        <v>6</v>
      </c>
      <c r="Q11" s="57"/>
      <c r="R11" s="154"/>
      <c r="S11" s="154"/>
      <c r="U11" s="399"/>
    </row>
    <row r="12" spans="2:29" ht="20.25">
      <c r="B12" s="155" t="s">
        <v>117</v>
      </c>
      <c r="C12" s="92" t="str">
        <f>_xlfn.XLOOKUP(B12,Talente!A:A,Talente!C:C)</f>
        <v>Gewandheit</v>
      </c>
      <c r="D12" s="92">
        <f>_xlfn.XLOOKUP(C12,Eigenschaften!$B$20:$B$27,Eigenschaften!$H$20:$H$27,"NaN",1)</f>
        <v>14</v>
      </c>
      <c r="E12" s="92" t="str">
        <f>_xlfn.XLOOKUP(B12,Talente!A:A,Talente!D:D)</f>
        <v>Konstitution</v>
      </c>
      <c r="F12" s="92">
        <f>_xlfn.XLOOKUP(E12,Eigenschaften!$B$20:$B$27,Eigenschaften!$H$20:$H$27,"NaN",1)</f>
        <v>12</v>
      </c>
      <c r="G12" s="92" t="str">
        <f>_xlfn.XLOOKUP(B12,Talente!A:A,Talente!E:E)</f>
        <v>Körperkraft</v>
      </c>
      <c r="H12" s="92">
        <f>_xlfn.XLOOKUP(G12,Eigenschaften!$B$20:$B$27,Eigenschaften!$H$20:$H$27,"NaN",1)</f>
        <v>12</v>
      </c>
      <c r="I12" s="262" t="str">
        <f t="shared" si="1"/>
        <v>Gewandheit: 14 | Konstitution: 12 | Körperkraft: 12</v>
      </c>
      <c r="J12" s="46" t="str">
        <f>_xlfn.XLOOKUP(B12,Talente!A:A,Talente!F:F)</f>
        <v>D</v>
      </c>
      <c r="K12" s="46" t="str">
        <f>_xlfn.XLOOKUP(B12,Talente!A:A,Talente!G:G)</f>
        <v>x2</v>
      </c>
      <c r="L12" s="46">
        <f t="shared" si="2"/>
        <v>2</v>
      </c>
      <c r="M12" s="57">
        <v>1</v>
      </c>
      <c r="N12" s="46">
        <f t="shared" si="0"/>
        <v>17</v>
      </c>
      <c r="O12" s="57">
        <v>0</v>
      </c>
      <c r="P12" s="46">
        <f t="shared" si="3"/>
        <v>-1</v>
      </c>
      <c r="Q12" s="57"/>
      <c r="R12" s="154"/>
      <c r="S12" s="154"/>
      <c r="U12" s="89" t="s">
        <v>246</v>
      </c>
    </row>
    <row r="13" spans="2:29" ht="20.25">
      <c r="B13" s="155" t="s">
        <v>118</v>
      </c>
      <c r="C13" s="92" t="str">
        <f>_xlfn.XLOOKUP(B13,Talente!A:A,Talente!C:C)</f>
        <v>Mut</v>
      </c>
      <c r="D13" s="92">
        <f>_xlfn.XLOOKUP(C13,Eigenschaften!$B$20:$B$27,Eigenschaften!$H$20:$H$27,"NaN",1)</f>
        <v>13</v>
      </c>
      <c r="E13" s="92" t="str">
        <f>_xlfn.XLOOKUP(B13,Talente!A:A,Talente!D:D)</f>
        <v>Konstitution</v>
      </c>
      <c r="F13" s="92">
        <f>_xlfn.XLOOKUP(E13,Eigenschaften!$B$20:$B$27,Eigenschaften!$H$20:$H$27,"NaN",1)</f>
        <v>12</v>
      </c>
      <c r="G13" s="92" t="str">
        <f>_xlfn.XLOOKUP(B13,Talente!A:A,Talente!E:E)</f>
        <v>Körperkraft</v>
      </c>
      <c r="H13" s="92">
        <f>_xlfn.XLOOKUP(G13,Eigenschaften!$B$20:$B$27,Eigenschaften!$H$20:$H$27,"NaN",1)</f>
        <v>12</v>
      </c>
      <c r="I13" s="262" t="str">
        <f t="shared" si="1"/>
        <v>Mut: 13 | Konstitution: 12 | Körperkraft: 12</v>
      </c>
      <c r="J13" s="46" t="str">
        <f>_xlfn.XLOOKUP(B13,Talente!A:A,Talente!F:F)</f>
        <v>D</v>
      </c>
      <c r="K13" s="46" t="str">
        <f>_xlfn.XLOOKUP(B13,Talente!A:A,Talente!G:G)</f>
        <v>-</v>
      </c>
      <c r="L13" s="46">
        <f t="shared" si="2"/>
        <v>0</v>
      </c>
      <c r="M13" s="57">
        <v>4</v>
      </c>
      <c r="N13" s="46">
        <f t="shared" si="0"/>
        <v>16</v>
      </c>
      <c r="O13" s="57">
        <v>0</v>
      </c>
      <c r="P13" s="46">
        <f t="shared" si="3"/>
        <v>4</v>
      </c>
      <c r="Q13" s="57"/>
      <c r="R13" s="154"/>
      <c r="S13" s="154"/>
      <c r="T13" s="89"/>
      <c r="U13" s="399"/>
      <c r="V13" s="89"/>
      <c r="W13" s="89"/>
      <c r="X13" s="89"/>
      <c r="Y13" s="89"/>
      <c r="Z13" s="89"/>
      <c r="AA13" s="89"/>
    </row>
    <row r="14" spans="2:29" ht="20.25">
      <c r="B14" s="238" t="s">
        <v>120</v>
      </c>
      <c r="C14" s="92" t="str">
        <f>_xlfn.XLOOKUP(B14,Talente!A:A,Talente!C:C)</f>
        <v>Mut</v>
      </c>
      <c r="D14" s="92">
        <f>_xlfn.XLOOKUP(C14,Eigenschaften!$B$20:$B$27,Eigenschaften!$H$20:$H$27,"NaN",1)</f>
        <v>13</v>
      </c>
      <c r="E14" s="92" t="str">
        <f>_xlfn.XLOOKUP(B14,Talente!A:A,Talente!D:D)</f>
        <v>Intuition</v>
      </c>
      <c r="F14" s="92">
        <f>_xlfn.XLOOKUP(E14,Eigenschaften!$B$20:$B$27,Eigenschaften!$H$20:$H$27,"NaN",1)</f>
        <v>15</v>
      </c>
      <c r="G14" s="92" t="str">
        <f>_xlfn.XLOOKUP(B14,Talente!A:A,Talente!E:E)</f>
        <v>Gewandheit</v>
      </c>
      <c r="H14" s="92">
        <f>_xlfn.XLOOKUP(G14,Eigenschaften!$B$20:$B$27,Eigenschaften!$H$20:$H$27,"NaN",1)</f>
        <v>14</v>
      </c>
      <c r="I14" s="262" t="str">
        <f t="shared" si="1"/>
        <v>Mut: 13 | Intuition: 15 | Gewandheit: 14</v>
      </c>
      <c r="J14" s="46" t="str">
        <f>_xlfn.XLOOKUP(B14,Talente!A:A,Talente!F:F)</f>
        <v>C</v>
      </c>
      <c r="K14" s="46">
        <f>_xlfn.XLOOKUP(B14,Talente!A:A,Talente!G:G)</f>
        <v>-2</v>
      </c>
      <c r="L14" s="46">
        <f t="shared" si="2"/>
        <v>0</v>
      </c>
      <c r="M14" s="57">
        <v>7</v>
      </c>
      <c r="N14" s="46">
        <f t="shared" si="0"/>
        <v>18</v>
      </c>
      <c r="O14" s="57">
        <v>0</v>
      </c>
      <c r="P14" s="46">
        <f t="shared" si="3"/>
        <v>7</v>
      </c>
      <c r="Q14" s="57"/>
      <c r="R14" s="154"/>
      <c r="S14" s="154"/>
      <c r="T14" s="89"/>
      <c r="U14" s="399"/>
      <c r="V14" s="89"/>
      <c r="W14" s="89"/>
    </row>
    <row r="15" spans="2:29" ht="20.25">
      <c r="B15" s="155" t="s">
        <v>121</v>
      </c>
      <c r="C15" s="92" t="str">
        <f>_xlfn.XLOOKUP(B15,Talente!A:A,Talente!C:C)</f>
        <v>Intuition</v>
      </c>
      <c r="D15" s="92">
        <f>_xlfn.XLOOKUP(C15,Eigenschaften!$B$20:$B$27,Eigenschaften!$H$20:$H$27,"NaN",1)</f>
        <v>15</v>
      </c>
      <c r="E15" s="92" t="str">
        <f>_xlfn.XLOOKUP(B15,Talente!A:A,Talente!D:D)</f>
        <v>Charisma</v>
      </c>
      <c r="F15" s="92">
        <f>_xlfn.XLOOKUP(E15,Eigenschaften!$B$20:$B$27,Eigenschaften!$H$20:$H$27,"NaN",1)</f>
        <v>15</v>
      </c>
      <c r="G15" s="92" t="str">
        <f>_xlfn.XLOOKUP(B15,Talente!A:A,Talente!E:E)</f>
        <v>Charisma</v>
      </c>
      <c r="H15" s="92">
        <f>_xlfn.XLOOKUP(G15,Eigenschaften!$B$20:$B$27,Eigenschaften!$H$20:$H$27,"NaN",1)</f>
        <v>15</v>
      </c>
      <c r="I15" s="262" t="str">
        <f t="shared" si="1"/>
        <v>Intuition: 15 | Charisma: 15 | Charisma: 15</v>
      </c>
      <c r="J15" s="46" t="str">
        <f>_xlfn.XLOOKUP(B15,Talente!A:A,Talente!F:F)</f>
        <v>C</v>
      </c>
      <c r="K15" s="46">
        <f>_xlfn.XLOOKUP(B15,Talente!A:A,Talente!G:G)</f>
        <v>-3</v>
      </c>
      <c r="L15" s="46">
        <f t="shared" si="2"/>
        <v>0</v>
      </c>
      <c r="M15" s="57"/>
      <c r="N15" s="46">
        <f t="shared" si="0"/>
        <v>18</v>
      </c>
      <c r="O15" s="57">
        <v>0</v>
      </c>
      <c r="P15" s="46">
        <f t="shared" si="3"/>
        <v>0</v>
      </c>
      <c r="Q15" s="57"/>
      <c r="R15" s="154"/>
      <c r="S15" s="154"/>
      <c r="U15" s="399"/>
    </row>
    <row r="16" spans="2:29" ht="20.25">
      <c r="B16" s="238" t="s">
        <v>122</v>
      </c>
      <c r="C16" s="92" t="str">
        <f>_xlfn.XLOOKUP(B16,Talente!A:A,Talente!C:C)</f>
        <v>Klugheit</v>
      </c>
      <c r="D16" s="92">
        <f>_xlfn.XLOOKUP(C16,Eigenschaften!$B$20:$B$27,Eigenschaften!$H$20:$H$27,"NaN",1)</f>
        <v>12</v>
      </c>
      <c r="E16" s="92" t="str">
        <f>_xlfn.XLOOKUP(B16,Talente!A:A,Talente!D:D)</f>
        <v>Intuition</v>
      </c>
      <c r="F16" s="92">
        <f>_xlfn.XLOOKUP(E16,Eigenschaften!$B$20:$B$27,Eigenschaften!$H$20:$H$27,"NaN",1)</f>
        <v>15</v>
      </c>
      <c r="G16" s="92" t="str">
        <f>_xlfn.XLOOKUP(B16,Talente!A:A,Talente!E:E)</f>
        <v>Intuition</v>
      </c>
      <c r="H16" s="92">
        <f>_xlfn.XLOOKUP(G16,Eigenschaften!$B$20:$B$27,Eigenschaften!$H$20:$H$27,"NaN",1)</f>
        <v>15</v>
      </c>
      <c r="I16" s="262" t="str">
        <f t="shared" si="1"/>
        <v>Klugheit: 12 | Intuition: 15 | Intuition: 15</v>
      </c>
      <c r="J16" s="46" t="str">
        <f>_xlfn.XLOOKUP(B16,Talente!A:A,Talente!F:F)</f>
        <v>D</v>
      </c>
      <c r="K16" s="46" t="str">
        <f>_xlfn.XLOOKUP(B16,Talente!A:A,Talente!G:G)</f>
        <v>spez.</v>
      </c>
      <c r="L16" s="46">
        <f t="shared" si="2"/>
        <v>0</v>
      </c>
      <c r="M16" s="57">
        <v>8</v>
      </c>
      <c r="N16" s="46">
        <f t="shared" si="0"/>
        <v>18</v>
      </c>
      <c r="O16" s="57">
        <v>0</v>
      </c>
      <c r="P16" s="46">
        <f t="shared" si="3"/>
        <v>8</v>
      </c>
      <c r="Q16" s="57"/>
      <c r="R16" s="154"/>
      <c r="S16" s="154"/>
      <c r="U16" s="399"/>
    </row>
    <row r="17" spans="2:27" ht="21.75" customHeight="1">
      <c r="B17" s="155" t="s">
        <v>132</v>
      </c>
      <c r="C17" s="92" t="str">
        <f>_xlfn.XLOOKUP(B17,Talente!A:A,Talente!C:C)</f>
        <v>Gewandheit</v>
      </c>
      <c r="D17" s="92">
        <f>_xlfn.XLOOKUP(C17,Eigenschaften!$B$20:$B$27,Eigenschaften!$H$20:$H$27,"NaN",1)</f>
        <v>14</v>
      </c>
      <c r="E17" s="92" t="str">
        <f>_xlfn.XLOOKUP(B17,Talente!A:A,Talente!D:D)</f>
        <v>Gewandheit</v>
      </c>
      <c r="F17" s="92">
        <f>_xlfn.XLOOKUP(E17,Eigenschaften!$B$20:$B$27,Eigenschaften!$H$20:$H$27,"NaN",1)</f>
        <v>14</v>
      </c>
      <c r="G17" s="92" t="str">
        <f>_xlfn.XLOOKUP(B17,Talente!A:A,Talente!E:E)</f>
        <v>Konstitution</v>
      </c>
      <c r="H17" s="92">
        <f>_xlfn.XLOOKUP(G17,Eigenschaften!$B$20:$B$27,Eigenschaften!$H$20:$H$27,"NaN",1)</f>
        <v>12</v>
      </c>
      <c r="I17" s="262" t="str">
        <f t="shared" si="1"/>
        <v>Gewandheit: 14 | Gewandheit: 14 | Konstitution: 12</v>
      </c>
      <c r="J17" s="46" t="str">
        <f>_xlfn.XLOOKUP(B17,Talente!A:A,Talente!F:F)</f>
        <v>B</v>
      </c>
      <c r="K17" s="46">
        <f>_xlfn.XLOOKUP(B17,Talente!A:A,Talente!G:G)</f>
        <v>-2</v>
      </c>
      <c r="L17" s="46">
        <f t="shared" si="2"/>
        <v>0</v>
      </c>
      <c r="M17" s="57"/>
      <c r="N17" s="46">
        <f t="shared" si="0"/>
        <v>17</v>
      </c>
      <c r="O17" s="57">
        <v>0</v>
      </c>
      <c r="P17" s="46">
        <f t="shared" si="3"/>
        <v>0</v>
      </c>
      <c r="Q17" s="57"/>
      <c r="R17" s="154"/>
      <c r="S17" s="154"/>
      <c r="U17" s="399"/>
    </row>
    <row r="18" spans="2:27" ht="21.75" customHeight="1">
      <c r="B18" s="155" t="s">
        <v>133</v>
      </c>
      <c r="C18" s="92" t="str">
        <f>_xlfn.XLOOKUP(B18,Talente!A:A,Talente!C:C)</f>
        <v>Klugheit</v>
      </c>
      <c r="D18" s="92">
        <f>_xlfn.XLOOKUP(C18,Eigenschaften!$B$20:$B$27,Eigenschaften!$H$20:$H$27,"NaN",1)</f>
        <v>12</v>
      </c>
      <c r="E18" s="92" t="str">
        <f>_xlfn.XLOOKUP(B18,Talente!A:A,Talente!D:D)</f>
        <v>Intuition</v>
      </c>
      <c r="F18" s="92">
        <f>_xlfn.XLOOKUP(E18,Eigenschaften!$B$20:$B$27,Eigenschaften!$H$20:$H$27,"NaN",1)</f>
        <v>15</v>
      </c>
      <c r="G18" s="92" t="str">
        <f>_xlfn.XLOOKUP(B18,Talente!A:A,Talente!E:E)</f>
        <v>Charisma</v>
      </c>
      <c r="H18" s="92">
        <f>_xlfn.XLOOKUP(G18,Eigenschaften!$B$20:$B$27,Eigenschaften!$H$20:$H$27,"NaN",1)</f>
        <v>15</v>
      </c>
      <c r="I18" s="262" t="str">
        <f t="shared" si="1"/>
        <v>Klugheit: 12 | Intuition: 15 | Charisma: 15</v>
      </c>
      <c r="J18" s="46" t="str">
        <f>_xlfn.XLOOKUP(B18,Talente!A:A,Talente!F:F)</f>
        <v>C</v>
      </c>
      <c r="K18" s="46">
        <f>_xlfn.XLOOKUP(B18,Talente!A:A,Talente!G:G)</f>
        <v>-4</v>
      </c>
      <c r="L18" s="46">
        <f t="shared" si="2"/>
        <v>0</v>
      </c>
      <c r="M18" s="57"/>
      <c r="N18" s="46">
        <f t="shared" si="0"/>
        <v>18</v>
      </c>
      <c r="O18" s="57">
        <v>0</v>
      </c>
      <c r="P18" s="46">
        <f t="shared" si="3"/>
        <v>0</v>
      </c>
      <c r="Q18" s="57"/>
      <c r="R18" s="154"/>
      <c r="S18" s="154"/>
      <c r="U18" s="399"/>
    </row>
    <row r="19" spans="2:27" ht="20.25">
      <c r="B19" s="238" t="s">
        <v>124</v>
      </c>
      <c r="C19" s="92" t="str">
        <f>_xlfn.XLOOKUP(B19,Talente!A:A,Talente!C:C)</f>
        <v>Charisma</v>
      </c>
      <c r="D19" s="92">
        <f>_xlfn.XLOOKUP(C19,Eigenschaften!$B$20:$B$27,Eigenschaften!$H$20:$H$27,"NaN",1)</f>
        <v>15</v>
      </c>
      <c r="E19" s="92" t="str">
        <f>_xlfn.XLOOKUP(B19,Talente!A:A,Talente!D:D)</f>
        <v>Gewandheit</v>
      </c>
      <c r="F19" s="92">
        <f>_xlfn.XLOOKUP(E19,Eigenschaften!$B$20:$B$27,Eigenschaften!$H$20:$H$27,"NaN",1)</f>
        <v>14</v>
      </c>
      <c r="G19" s="92" t="str">
        <f>_xlfn.XLOOKUP(B19,Talente!A:A,Talente!E:E)</f>
        <v>Gewandheit</v>
      </c>
      <c r="H19" s="92">
        <f>_xlfn.XLOOKUP(G19,Eigenschaften!$B$20:$B$27,Eigenschaften!$H$20:$H$27,"NaN",1)</f>
        <v>14</v>
      </c>
      <c r="I19" s="262" t="str">
        <f t="shared" si="1"/>
        <v>Charisma: 15 | Gewandheit: 14 | Gewandheit: 14</v>
      </c>
      <c r="J19" s="46" t="str">
        <f>_xlfn.XLOOKUP(B19,Talente!A:A,Talente!F:F)</f>
        <v>B</v>
      </c>
      <c r="K19" s="46" t="str">
        <f>_xlfn.XLOOKUP(B19,Talente!A:A,Talente!G:G)</f>
        <v>x2</v>
      </c>
      <c r="L19" s="46">
        <f t="shared" si="2"/>
        <v>2</v>
      </c>
      <c r="M19" s="57">
        <v>6</v>
      </c>
      <c r="N19" s="46">
        <f t="shared" si="0"/>
        <v>18</v>
      </c>
      <c r="O19" s="57">
        <v>0</v>
      </c>
      <c r="P19" s="46">
        <f t="shared" si="3"/>
        <v>4</v>
      </c>
      <c r="Q19" s="57"/>
      <c r="R19" s="154"/>
      <c r="S19" s="154"/>
      <c r="U19" s="399"/>
    </row>
    <row r="20" spans="2:27" ht="21.75" customHeight="1">
      <c r="B20" s="155" t="s">
        <v>134</v>
      </c>
      <c r="C20" s="92" t="str">
        <f>_xlfn.XLOOKUP(B20,Talente!A:A,Talente!C:C)</f>
        <v>Mut</v>
      </c>
      <c r="D20" s="92">
        <f>_xlfn.XLOOKUP(C20,Eigenschaften!$B$20:$B$27,Eigenschaften!$H$20:$H$27,"NaN",1)</f>
        <v>13</v>
      </c>
      <c r="E20" s="92" t="str">
        <f>_xlfn.XLOOKUP(B20,Talente!A:A,Talente!D:D)</f>
        <v>Intuition</v>
      </c>
      <c r="F20" s="92">
        <f>_xlfn.XLOOKUP(E20,Eigenschaften!$B$20:$B$27,Eigenschaften!$H$20:$H$27,"NaN",1)</f>
        <v>15</v>
      </c>
      <c r="G20" s="92" t="str">
        <f>_xlfn.XLOOKUP(B20,Talente!A:A,Talente!E:E)</f>
        <v>Fingerfertigkeit</v>
      </c>
      <c r="H20" s="92">
        <f>_xlfn.XLOOKUP(G20,Eigenschaften!$B$20:$B$27,Eigenschaften!$H$20:$H$27,"NaN",1)</f>
        <v>10</v>
      </c>
      <c r="I20" s="262" t="str">
        <f t="shared" si="1"/>
        <v>Mut: 13 | Intuition: 15 | Fingerfertigkeit: 10</v>
      </c>
      <c r="J20" s="46" t="str">
        <f>_xlfn.XLOOKUP(B20,Talente!A:A,Talente!F:F)</f>
        <v>C</v>
      </c>
      <c r="K20" s="46" t="str">
        <f>_xlfn.XLOOKUP(B20,Talente!A:A,Talente!G:G)</f>
        <v>x2</v>
      </c>
      <c r="L20" s="46">
        <f t="shared" si="2"/>
        <v>2</v>
      </c>
      <c r="M20" s="57"/>
      <c r="N20" s="46">
        <f t="shared" si="0"/>
        <v>18</v>
      </c>
      <c r="O20" s="57">
        <v>0</v>
      </c>
      <c r="P20" s="46">
        <f t="shared" si="3"/>
        <v>-2</v>
      </c>
      <c r="Q20" s="57"/>
      <c r="R20" s="154"/>
      <c r="S20" s="154"/>
      <c r="U20" s="399"/>
    </row>
    <row r="21" spans="2:27" ht="20.25">
      <c r="B21" s="155" t="s">
        <v>126</v>
      </c>
      <c r="C21" s="92" t="str">
        <f>_xlfn.XLOOKUP(B21,Talente!A:A,Talente!C:C)</f>
        <v>Intuition</v>
      </c>
      <c r="D21" s="92">
        <f>_xlfn.XLOOKUP(C21,Eigenschaften!$B$20:$B$27,Eigenschaften!$H$20:$H$27,"NaN",1)</f>
        <v>15</v>
      </c>
      <c r="E21" s="92" t="str">
        <f>_xlfn.XLOOKUP(B21,Talente!A:A,Talente!D:D)</f>
        <v>Konstitution</v>
      </c>
      <c r="F21" s="92">
        <f>_xlfn.XLOOKUP(E21,Eigenschaften!$B$20:$B$27,Eigenschaften!$H$20:$H$27,"NaN",1)</f>
        <v>12</v>
      </c>
      <c r="G21" s="92" t="str">
        <f>_xlfn.XLOOKUP(B21,Talente!A:A,Talente!E:E)</f>
        <v>Körperkraft</v>
      </c>
      <c r="H21" s="92">
        <f>_xlfn.XLOOKUP(G21,Eigenschaften!$B$20:$B$27,Eigenschaften!$H$20:$H$27,"NaN",1)</f>
        <v>12</v>
      </c>
      <c r="I21" s="262" t="str">
        <f t="shared" si="1"/>
        <v>Intuition: 15 | Konstitution: 12 | Körperkraft: 12</v>
      </c>
      <c r="J21" s="46" t="str">
        <f>_xlfn.XLOOKUP(B21,Talente!A:A,Talente!F:F)</f>
        <v>B</v>
      </c>
      <c r="K21" s="46" t="str">
        <f>_xlfn.XLOOKUP(B21,Talente!A:A,Talente!G:G)</f>
        <v>-</v>
      </c>
      <c r="L21" s="46">
        <f t="shared" si="2"/>
        <v>0</v>
      </c>
      <c r="M21" s="57"/>
      <c r="N21" s="46">
        <f t="shared" si="0"/>
        <v>18</v>
      </c>
      <c r="O21" s="57">
        <v>0</v>
      </c>
      <c r="P21" s="46">
        <f t="shared" si="3"/>
        <v>0</v>
      </c>
      <c r="Q21" s="57"/>
      <c r="R21" s="154"/>
      <c r="S21" s="154"/>
      <c r="U21" s="399"/>
    </row>
    <row r="22" spans="2:27" ht="20.25">
      <c r="B22" s="155"/>
      <c r="C22" s="89"/>
      <c r="D22" s="89"/>
      <c r="E22" s="89"/>
      <c r="F22" s="89"/>
      <c r="G22" s="89"/>
      <c r="H22" s="89"/>
      <c r="I22" s="93"/>
      <c r="J22" s="89"/>
      <c r="K22" s="89"/>
      <c r="L22" s="89"/>
      <c r="M22" s="89"/>
      <c r="N22" s="89"/>
      <c r="O22" s="89"/>
      <c r="P22" s="89"/>
      <c r="Q22" s="89"/>
      <c r="R22" s="89"/>
      <c r="S22" s="89"/>
    </row>
    <row r="23" spans="2:27" ht="20.25">
      <c r="B23" s="155" t="s">
        <v>136</v>
      </c>
      <c r="C23" s="155" t="s">
        <v>232</v>
      </c>
      <c r="D23" s="155" t="s">
        <v>232</v>
      </c>
      <c r="E23" s="155" t="s">
        <v>233</v>
      </c>
      <c r="F23" s="155" t="s">
        <v>233</v>
      </c>
      <c r="G23" s="155" t="s">
        <v>234</v>
      </c>
      <c r="H23" s="155" t="s">
        <v>234</v>
      </c>
      <c r="I23" s="155" t="str">
        <f>I3</f>
        <v>Eigenschaften</v>
      </c>
      <c r="J23" s="155" t="str">
        <f t="shared" ref="J23:R23" si="4">J3</f>
        <v>Kompl.</v>
      </c>
      <c r="K23" s="155" t="str">
        <f t="shared" si="4"/>
        <v>BE</v>
      </c>
      <c r="L23" s="155" t="str">
        <f t="shared" si="4"/>
        <v>eBE</v>
      </c>
      <c r="M23" s="155" t="str">
        <f t="shared" si="4"/>
        <v>TaW</v>
      </c>
      <c r="N23" s="155" t="str">
        <f t="shared" si="4"/>
        <v>max. TaW</v>
      </c>
      <c r="O23" s="155" t="str">
        <f t="shared" si="4"/>
        <v>Mod</v>
      </c>
      <c r="P23" s="155" t="str">
        <f t="shared" si="4"/>
        <v>TaW</v>
      </c>
      <c r="Q23" s="155" t="str">
        <f t="shared" si="4"/>
        <v>SE</v>
      </c>
      <c r="R23" s="155" t="str">
        <f t="shared" si="4"/>
        <v>Spezialisierung</v>
      </c>
      <c r="S23" s="155" t="str">
        <f>S3</f>
        <v>Sonderfertigkeiten</v>
      </c>
      <c r="T23" s="89"/>
      <c r="U23" s="89"/>
      <c r="V23" s="89"/>
      <c r="W23" s="89"/>
      <c r="X23" s="89"/>
      <c r="Y23" s="89"/>
      <c r="Z23" s="89"/>
      <c r="AA23" s="89"/>
    </row>
    <row r="24" spans="2:27" ht="20.25">
      <c r="B24" s="155" t="s">
        <v>139</v>
      </c>
      <c r="C24" s="92" t="str">
        <f>_xlfn.XLOOKUP(B24,Talente!A:A,Talente!C:C)</f>
        <v>Mut</v>
      </c>
      <c r="D24" s="92">
        <f>_xlfn.XLOOKUP(C24,Eigenschaften!$B$20:$B$27,Eigenschaften!$H$20:$H$27,"NaN",1)</f>
        <v>13</v>
      </c>
      <c r="E24" s="92" t="str">
        <f>_xlfn.XLOOKUP(B24,Talente!A:A,Talente!D:D)</f>
        <v>Klugheit</v>
      </c>
      <c r="F24" s="92">
        <f>_xlfn.XLOOKUP(E24,Eigenschaften!$B$20:$B$27,Eigenschaften!$H$20:$H$27,"NaN",1)</f>
        <v>12</v>
      </c>
      <c r="G24" s="92" t="str">
        <f>_xlfn.XLOOKUP(B24,Talente!A:A,Talente!E:E)</f>
        <v>Fingerfertigkeit</v>
      </c>
      <c r="H24" s="92">
        <f>_xlfn.XLOOKUP(G24,Eigenschaften!$B$20:$B$27,Eigenschaften!$H$20:$H$27,"NaN",1)</f>
        <v>10</v>
      </c>
      <c r="I24" s="262" t="str">
        <f t="shared" ref="I24:I46" si="5">C24&amp;": "&amp;D24&amp;" | "&amp;E24&amp;": "&amp;F24&amp;" | "&amp;G24&amp;": "&amp;H24</f>
        <v>Mut: 13 | Klugheit: 12 | Fingerfertigkeit: 10</v>
      </c>
      <c r="J24" s="46" t="str">
        <f>_xlfn.XLOOKUP(B24,Talente!A:A,Talente!F:F)</f>
        <v>B</v>
      </c>
      <c r="K24" s="46" t="str">
        <f>_xlfn.XLOOKUP(B24,Talente!A:A,Talente!G:G)</f>
        <v>-</v>
      </c>
      <c r="L24" s="46">
        <f t="shared" ref="L24:L46" si="6">IF(NOT(ISERROR(FIND("x",K24))),RIGHT(K24,1)*$H$2,IF(K24&lt;0,IF(($H$2+K24)&gt;0,$H$2+K24,0),IF(K24="-",0,0)))</f>
        <v>0</v>
      </c>
      <c r="M24" s="57">
        <v>4</v>
      </c>
      <c r="N24" s="46">
        <f>MAX(D24:H24)+3</f>
        <v>16</v>
      </c>
      <c r="O24" s="57">
        <v>0</v>
      </c>
      <c r="P24" s="46">
        <f t="shared" ref="P24:P46" si="7">IF(M24="-","-",M24-L24+O24)</f>
        <v>4</v>
      </c>
      <c r="Q24" s="57"/>
      <c r="R24" s="154"/>
      <c r="S24" s="154"/>
      <c r="T24" s="89"/>
      <c r="U24" s="89"/>
      <c r="V24" s="89"/>
      <c r="W24" s="89"/>
      <c r="X24" s="89"/>
      <c r="Y24" s="89"/>
      <c r="Z24" s="89"/>
      <c r="AA24" s="89"/>
    </row>
    <row r="25" spans="2:27" ht="20.25">
      <c r="B25" s="155" t="s">
        <v>140</v>
      </c>
      <c r="C25" s="92" t="str">
        <f>_xlfn.XLOOKUP(B25,Talente!A:A,Talente!C:C)</f>
        <v>Klugheit</v>
      </c>
      <c r="D25" s="92">
        <f>_xlfn.XLOOKUP(C25,Eigenschaften!$B$20:$B$27,Eigenschaften!$H$20:$H$27,"NaN",1)</f>
        <v>12</v>
      </c>
      <c r="E25" s="92" t="str">
        <f>_xlfn.XLOOKUP(B25,Talente!A:A,Talente!D:D)</f>
        <v>Klugheit</v>
      </c>
      <c r="F25" s="92">
        <f>_xlfn.XLOOKUP(E25,Eigenschaften!$B$20:$B$27,Eigenschaften!$H$20:$H$27,"NaN",1)</f>
        <v>12</v>
      </c>
      <c r="G25" s="92" t="str">
        <f>_xlfn.XLOOKUP(B25,Talente!A:A,Talente!E:E)</f>
        <v>Fingerfertigkeit</v>
      </c>
      <c r="H25" s="92">
        <f>_xlfn.XLOOKUP(G25,Eigenschaften!$B$20:$B$27,Eigenschaften!$H$20:$H$27,"NaN",1)</f>
        <v>10</v>
      </c>
      <c r="I25" s="262" t="str">
        <f t="shared" si="5"/>
        <v>Klugheit: 12 | Klugheit: 12 | Fingerfertigkeit: 10</v>
      </c>
      <c r="J25" s="46" t="str">
        <f>_xlfn.XLOOKUP(B25,Talente!A:A,Talente!F:F)</f>
        <v>B</v>
      </c>
      <c r="K25" s="46" t="str">
        <f>_xlfn.XLOOKUP(B25,Talente!A:A,Talente!G:G)</f>
        <v>-</v>
      </c>
      <c r="L25" s="46">
        <f t="shared" si="6"/>
        <v>0</v>
      </c>
      <c r="M25" s="57"/>
      <c r="N25" s="46">
        <f t="shared" ref="N25:N46" si="8">MAX(D25:H25)+3</f>
        <v>15</v>
      </c>
      <c r="O25" s="57">
        <v>0</v>
      </c>
      <c r="P25" s="46">
        <f t="shared" si="7"/>
        <v>0</v>
      </c>
      <c r="Q25" s="57"/>
      <c r="R25" s="154"/>
      <c r="S25" s="154"/>
      <c r="T25" s="89"/>
      <c r="U25" s="89"/>
      <c r="V25" s="89"/>
      <c r="W25" s="89"/>
      <c r="X25" s="89"/>
      <c r="Y25" s="89"/>
      <c r="Z25" s="89"/>
      <c r="AA25" s="89"/>
    </row>
    <row r="26" spans="2:27" ht="20.25">
      <c r="B26" s="155" t="s">
        <v>141</v>
      </c>
      <c r="C26" s="92" t="str">
        <f>_xlfn.XLOOKUP(B26,Talente!A:A,Talente!C:C)</f>
        <v>Klugheit</v>
      </c>
      <c r="D26" s="92">
        <f>_xlfn.XLOOKUP(C26,Eigenschaften!$B$20:$B$27,Eigenschaften!$H$20:$H$27,"NaN",1)</f>
        <v>12</v>
      </c>
      <c r="E26" s="92" t="str">
        <f>_xlfn.XLOOKUP(B26,Talente!A:A,Talente!D:D)</f>
        <v>Klugheit</v>
      </c>
      <c r="F26" s="92">
        <f>_xlfn.XLOOKUP(E26,Eigenschaften!$B$20:$B$27,Eigenschaften!$H$20:$H$27,"NaN",1)</f>
        <v>12</v>
      </c>
      <c r="G26" s="92" t="str">
        <f>_xlfn.XLOOKUP(B26,Talente!A:A,Talente!E:E)</f>
        <v>Intuition</v>
      </c>
      <c r="H26" s="92">
        <f>_xlfn.XLOOKUP(G26,Eigenschaften!$B$20:$B$27,Eigenschaften!$H$20:$H$27,"NaN",1)</f>
        <v>15</v>
      </c>
      <c r="I26" s="262" t="str">
        <f t="shared" si="5"/>
        <v>Klugheit: 12 | Klugheit: 12 | Intuition: 15</v>
      </c>
      <c r="J26" s="46" t="str">
        <f>_xlfn.XLOOKUP(B26,Talente!A:A,Talente!F:F)</f>
        <v>B</v>
      </c>
      <c r="K26" s="46" t="str">
        <f>_xlfn.XLOOKUP(B26,Talente!A:A,Talente!G:G)</f>
        <v>-</v>
      </c>
      <c r="L26" s="46">
        <f t="shared" si="6"/>
        <v>0</v>
      </c>
      <c r="M26" s="57"/>
      <c r="N26" s="46">
        <f t="shared" si="8"/>
        <v>18</v>
      </c>
      <c r="O26" s="57">
        <v>0</v>
      </c>
      <c r="P26" s="46">
        <f t="shared" si="7"/>
        <v>0</v>
      </c>
      <c r="Q26" s="57"/>
      <c r="R26" s="154"/>
      <c r="S26" s="154"/>
      <c r="T26" s="89"/>
      <c r="U26" s="89"/>
      <c r="V26" s="89"/>
      <c r="W26" s="89"/>
      <c r="X26" s="89"/>
      <c r="Y26" s="89"/>
      <c r="Z26" s="89"/>
      <c r="AA26" s="89"/>
    </row>
    <row r="27" spans="2:27" ht="20.25">
      <c r="B27" s="155" t="s">
        <v>142</v>
      </c>
      <c r="C27" s="92" t="str">
        <f>_xlfn.XLOOKUP(B27,Talente!A:A,Talente!C:C)</f>
        <v>Klugheit</v>
      </c>
      <c r="D27" s="92">
        <f>_xlfn.XLOOKUP(C27,Eigenschaften!$B$20:$B$27,Eigenschaften!$H$20:$H$27,"NaN",1)</f>
        <v>12</v>
      </c>
      <c r="E27" s="92" t="str">
        <f>_xlfn.XLOOKUP(B27,Talente!A:A,Talente!D:D)</f>
        <v>Klugheit</v>
      </c>
      <c r="F27" s="92">
        <f>_xlfn.XLOOKUP(E27,Eigenschaften!$B$20:$B$27,Eigenschaften!$H$20:$H$27,"NaN",1)</f>
        <v>12</v>
      </c>
      <c r="G27" s="92" t="str">
        <f>_xlfn.XLOOKUP(B27,Talente!A:A,Talente!E:E)</f>
        <v>Intuition</v>
      </c>
      <c r="H27" s="92">
        <f>_xlfn.XLOOKUP(G27,Eigenschaften!$B$20:$B$27,Eigenschaften!$H$20:$H$27,"NaN",1)</f>
        <v>15</v>
      </c>
      <c r="I27" s="262" t="str">
        <f t="shared" si="5"/>
        <v>Klugheit: 12 | Klugheit: 12 | Intuition: 15</v>
      </c>
      <c r="J27" s="46" t="str">
        <f>_xlfn.XLOOKUP(B27,Talente!A:A,Talente!F:F)</f>
        <v>B</v>
      </c>
      <c r="K27" s="46" t="str">
        <f>_xlfn.XLOOKUP(B27,Talente!A:A,Talente!G:G)</f>
        <v>-</v>
      </c>
      <c r="L27" s="46">
        <f t="shared" si="6"/>
        <v>0</v>
      </c>
      <c r="M27" s="57"/>
      <c r="N27" s="46">
        <f t="shared" si="8"/>
        <v>18</v>
      </c>
      <c r="O27" s="57">
        <v>0</v>
      </c>
      <c r="P27" s="46">
        <f t="shared" si="7"/>
        <v>0</v>
      </c>
      <c r="Q27" s="57"/>
      <c r="R27" s="154"/>
      <c r="S27" s="154"/>
      <c r="T27" s="89"/>
      <c r="U27" s="89"/>
      <c r="V27" s="89"/>
      <c r="W27" s="89"/>
      <c r="X27" s="89"/>
      <c r="Y27" s="89"/>
      <c r="Z27" s="89"/>
      <c r="AA27" s="89"/>
    </row>
    <row r="28" spans="2:27" ht="20.25">
      <c r="B28" s="155" t="s">
        <v>143</v>
      </c>
      <c r="C28" s="92" t="str">
        <f>_xlfn.XLOOKUP(B28,Talente!A:A,Talente!C:C)</f>
        <v>Klugheit</v>
      </c>
      <c r="D28" s="92">
        <f>_xlfn.XLOOKUP(C28,Eigenschaften!$B$20:$B$27,Eigenschaften!$H$20:$H$27,"NaN",1)</f>
        <v>12</v>
      </c>
      <c r="E28" s="92" t="str">
        <f>_xlfn.XLOOKUP(B28,Talente!A:A,Talente!D:D)</f>
        <v>Klugheit</v>
      </c>
      <c r="F28" s="92">
        <f>_xlfn.XLOOKUP(E28,Eigenschaften!$B$20:$B$27,Eigenschaften!$H$20:$H$27,"NaN",1)</f>
        <v>12</v>
      </c>
      <c r="G28" s="92" t="str">
        <f>_xlfn.XLOOKUP(B28,Talente!A:A,Talente!E:E)</f>
        <v>Intuition</v>
      </c>
      <c r="H28" s="92">
        <f>_xlfn.XLOOKUP(G28,Eigenschaften!$B$20:$B$27,Eigenschaften!$H$20:$H$27,"NaN",1)</f>
        <v>15</v>
      </c>
      <c r="I28" s="262" t="str">
        <f t="shared" si="5"/>
        <v>Klugheit: 12 | Klugheit: 12 | Intuition: 15</v>
      </c>
      <c r="J28" s="46" t="str">
        <f>_xlfn.XLOOKUP(B28,Talente!A:A,Talente!F:F)</f>
        <v>B</v>
      </c>
      <c r="K28" s="46" t="str">
        <f>_xlfn.XLOOKUP(B28,Talente!A:A,Talente!G:G)</f>
        <v>-</v>
      </c>
      <c r="L28" s="46">
        <f t="shared" si="6"/>
        <v>0</v>
      </c>
      <c r="M28" s="57"/>
      <c r="N28" s="46">
        <f t="shared" si="8"/>
        <v>18</v>
      </c>
      <c r="O28" s="57">
        <v>0</v>
      </c>
      <c r="P28" s="46">
        <f t="shared" si="7"/>
        <v>0</v>
      </c>
      <c r="Q28" s="57"/>
      <c r="R28" s="154"/>
      <c r="S28" s="154"/>
      <c r="T28" s="89"/>
      <c r="U28" s="89"/>
      <c r="V28" s="89"/>
      <c r="W28" s="89"/>
      <c r="X28" s="89"/>
      <c r="Y28" s="89"/>
      <c r="Z28" s="89"/>
      <c r="AA28" s="89"/>
    </row>
    <row r="29" spans="2:27" ht="20.25">
      <c r="B29" s="155" t="s">
        <v>144</v>
      </c>
      <c r="C29" s="92" t="str">
        <f>_xlfn.XLOOKUP(B29,Talente!A:A,Talente!C:C)</f>
        <v>Klugheit</v>
      </c>
      <c r="D29" s="92">
        <f>_xlfn.XLOOKUP(C29,Eigenschaften!$B$20:$B$27,Eigenschaften!$H$20:$H$27,"NaN",1)</f>
        <v>12</v>
      </c>
      <c r="E29" s="92" t="str">
        <f>_xlfn.XLOOKUP(B29,Talente!A:A,Talente!D:D)</f>
        <v>Intuition</v>
      </c>
      <c r="F29" s="92">
        <f>_xlfn.XLOOKUP(E29,Eigenschaften!$B$20:$B$27,Eigenschaften!$H$20:$H$27,"NaN",1)</f>
        <v>15</v>
      </c>
      <c r="G29" s="92" t="str">
        <f>_xlfn.XLOOKUP(B29,Talente!A:A,Talente!E:E)</f>
        <v>Fingerfertigkeit</v>
      </c>
      <c r="H29" s="92">
        <f>_xlfn.XLOOKUP(G29,Eigenschaften!$B$20:$B$27,Eigenschaften!$H$20:$H$27,"NaN",1)</f>
        <v>10</v>
      </c>
      <c r="I29" s="262" t="str">
        <f t="shared" si="5"/>
        <v>Klugheit: 12 | Intuition: 15 | Fingerfertigkeit: 10</v>
      </c>
      <c r="J29" s="46" t="str">
        <f>_xlfn.XLOOKUP(B29,Talente!A:A,Talente!F:F)</f>
        <v>B</v>
      </c>
      <c r="K29" s="46" t="str">
        <f>_xlfn.XLOOKUP(B29,Talente!A:A,Talente!G:G)</f>
        <v>-</v>
      </c>
      <c r="L29" s="46">
        <f t="shared" si="6"/>
        <v>0</v>
      </c>
      <c r="M29" s="57"/>
      <c r="N29" s="46">
        <f t="shared" si="8"/>
        <v>18</v>
      </c>
      <c r="O29" s="57">
        <v>0</v>
      </c>
      <c r="P29" s="46">
        <f t="shared" si="7"/>
        <v>0</v>
      </c>
      <c r="Q29" s="57"/>
      <c r="R29" s="154"/>
      <c r="S29" s="154"/>
      <c r="T29" s="89"/>
      <c r="U29" s="89"/>
      <c r="V29" s="89"/>
      <c r="W29" s="89"/>
      <c r="X29" s="89"/>
      <c r="Y29" s="89"/>
      <c r="Z29" s="89"/>
      <c r="AA29" s="89"/>
    </row>
    <row r="30" spans="2:27" ht="20.25">
      <c r="B30" s="155" t="s">
        <v>135</v>
      </c>
      <c r="C30" s="92" t="str">
        <f>_xlfn.XLOOKUP(B30,Talente!A:A,Talente!C:C)</f>
        <v>Klugheit</v>
      </c>
      <c r="D30" s="92">
        <f>_xlfn.XLOOKUP(C30,Eigenschaften!$B$20:$B$27,Eigenschaften!$H$20:$H$27,"NaN",1)</f>
        <v>12</v>
      </c>
      <c r="E30" s="92" t="str">
        <f>_xlfn.XLOOKUP(B30,Talente!A:A,Talente!D:D)</f>
        <v>Klugheit</v>
      </c>
      <c r="F30" s="92">
        <f>_xlfn.XLOOKUP(E30,Eigenschaften!$B$20:$B$27,Eigenschaften!$H$20:$H$27,"NaN",1)</f>
        <v>12</v>
      </c>
      <c r="G30" s="92" t="str">
        <f>_xlfn.XLOOKUP(B30,Talente!A:A,Talente!E:E)</f>
        <v>Intuition</v>
      </c>
      <c r="H30" s="92">
        <f>_xlfn.XLOOKUP(G30,Eigenschaften!$B$20:$B$27,Eigenschaften!$H$20:$H$27,"NaN",1)</f>
        <v>15</v>
      </c>
      <c r="I30" s="262" t="str">
        <f t="shared" si="5"/>
        <v>Klugheit: 12 | Klugheit: 12 | Intuition: 15</v>
      </c>
      <c r="J30" s="46" t="str">
        <f>_xlfn.XLOOKUP(B30,Talente!A:A,Talente!F:F)</f>
        <v>B</v>
      </c>
      <c r="K30" s="46" t="str">
        <f>_xlfn.XLOOKUP(B30,Talente!A:A,Talente!G:G)</f>
        <v>-</v>
      </c>
      <c r="L30" s="46">
        <f t="shared" si="6"/>
        <v>0</v>
      </c>
      <c r="M30" s="57">
        <v>6</v>
      </c>
      <c r="N30" s="46">
        <f t="shared" si="8"/>
        <v>18</v>
      </c>
      <c r="O30" s="57">
        <v>0</v>
      </c>
      <c r="P30" s="46">
        <f t="shared" si="7"/>
        <v>6</v>
      </c>
      <c r="Q30" s="57"/>
      <c r="R30" s="154"/>
      <c r="S30" s="154"/>
      <c r="T30" s="89"/>
      <c r="U30" s="89"/>
      <c r="V30" s="89"/>
      <c r="W30" s="89"/>
      <c r="X30" s="89"/>
      <c r="Y30" s="89"/>
      <c r="Z30" s="89"/>
      <c r="AA30" s="89"/>
    </row>
    <row r="31" spans="2:27" ht="20.25">
      <c r="B31" s="155" t="s">
        <v>145</v>
      </c>
      <c r="C31" s="92" t="str">
        <f>_xlfn.XLOOKUP(B31,Talente!A:A,Talente!C:C)</f>
        <v>Klugheit</v>
      </c>
      <c r="D31" s="92">
        <f>_xlfn.XLOOKUP(C31,Eigenschaften!$B$20:$B$27,Eigenschaften!$H$20:$H$27,"NaN",1)</f>
        <v>12</v>
      </c>
      <c r="E31" s="92" t="str">
        <f>_xlfn.XLOOKUP(B31,Talente!A:A,Talente!D:D)</f>
        <v>Klugheit</v>
      </c>
      <c r="F31" s="92">
        <f>_xlfn.XLOOKUP(E31,Eigenschaften!$B$20:$B$27,Eigenschaften!$H$20:$H$27,"NaN",1)</f>
        <v>12</v>
      </c>
      <c r="G31" s="92" t="str">
        <f>_xlfn.XLOOKUP(B31,Talente!A:A,Talente!E:E)</f>
        <v>Fingerfertigkeit</v>
      </c>
      <c r="H31" s="92">
        <f>_xlfn.XLOOKUP(G31,Eigenschaften!$B$20:$B$27,Eigenschaften!$H$20:$H$27,"NaN",1)</f>
        <v>10</v>
      </c>
      <c r="I31" s="262" t="str">
        <f t="shared" si="5"/>
        <v>Klugheit: 12 | Klugheit: 12 | Fingerfertigkeit: 10</v>
      </c>
      <c r="J31" s="46" t="str">
        <f>_xlfn.XLOOKUP(B31,Talente!A:A,Talente!F:F)</f>
        <v>B</v>
      </c>
      <c r="K31" s="46" t="str">
        <f>_xlfn.XLOOKUP(B31,Talente!A:A,Talente!G:G)</f>
        <v>-</v>
      </c>
      <c r="L31" s="46">
        <f t="shared" si="6"/>
        <v>0</v>
      </c>
      <c r="M31" s="57"/>
      <c r="N31" s="46">
        <f t="shared" si="8"/>
        <v>15</v>
      </c>
      <c r="O31" s="57">
        <v>0</v>
      </c>
      <c r="P31" s="46">
        <f t="shared" si="7"/>
        <v>0</v>
      </c>
      <c r="Q31" s="57"/>
      <c r="R31" s="154"/>
      <c r="S31" s="154"/>
      <c r="T31" s="89"/>
      <c r="U31" s="89"/>
      <c r="V31" s="89"/>
      <c r="W31" s="89"/>
      <c r="X31" s="89"/>
      <c r="Y31" s="89"/>
      <c r="Z31" s="89"/>
      <c r="AA31" s="89"/>
    </row>
    <row r="32" spans="2:27" ht="20.25">
      <c r="B32" s="155" t="s">
        <v>146</v>
      </c>
      <c r="C32" s="92" t="str">
        <f>_xlfn.XLOOKUP(B32,Talente!A:A,Talente!C:C)</f>
        <v>Klugheit</v>
      </c>
      <c r="D32" s="92">
        <f>_xlfn.XLOOKUP(C32,Eigenschaften!$B$20:$B$27,Eigenschaften!$H$20:$H$27,"NaN",1)</f>
        <v>12</v>
      </c>
      <c r="E32" s="92" t="str">
        <f>_xlfn.XLOOKUP(B32,Talente!A:A,Talente!D:D)</f>
        <v>Intuition</v>
      </c>
      <c r="F32" s="92">
        <f>_xlfn.XLOOKUP(E32,Eigenschaften!$B$20:$B$27,Eigenschaften!$H$20:$H$27,"NaN",1)</f>
        <v>15</v>
      </c>
      <c r="G32" s="92" t="str">
        <f>_xlfn.XLOOKUP(B32,Talente!A:A,Talente!E:E)</f>
        <v>Konstitution</v>
      </c>
      <c r="H32" s="92">
        <f>_xlfn.XLOOKUP(G32,Eigenschaften!$B$20:$B$27,Eigenschaften!$H$20:$H$27,"NaN",1)</f>
        <v>12</v>
      </c>
      <c r="I32" s="262" t="str">
        <f t="shared" si="5"/>
        <v>Klugheit: 12 | Intuition: 15 | Konstitution: 12</v>
      </c>
      <c r="J32" s="46" t="str">
        <f>_xlfn.XLOOKUP(B32,Talente!A:A,Talente!F:F)</f>
        <v>B</v>
      </c>
      <c r="K32" s="46" t="str">
        <f>_xlfn.XLOOKUP(B32,Talente!A:A,Talente!G:G)</f>
        <v>-</v>
      </c>
      <c r="L32" s="46">
        <f t="shared" si="6"/>
        <v>0</v>
      </c>
      <c r="M32" s="57"/>
      <c r="N32" s="46">
        <f t="shared" si="8"/>
        <v>18</v>
      </c>
      <c r="O32" s="57">
        <v>0</v>
      </c>
      <c r="P32" s="46">
        <f t="shared" si="7"/>
        <v>0</v>
      </c>
      <c r="Q32" s="57"/>
      <c r="R32" s="154"/>
      <c r="S32" s="154"/>
      <c r="T32" s="89"/>
      <c r="U32" s="89"/>
      <c r="V32" s="89"/>
      <c r="W32" s="89"/>
      <c r="X32" s="89"/>
      <c r="Y32" s="89"/>
      <c r="Z32" s="89"/>
      <c r="AA32" s="89"/>
    </row>
    <row r="33" spans="1:29" ht="20.25">
      <c r="B33" s="155" t="s">
        <v>147</v>
      </c>
      <c r="C33" s="92" t="str">
        <f>_xlfn.XLOOKUP(B33,Talente!A:A,Talente!C:C)</f>
        <v>Mut</v>
      </c>
      <c r="D33" s="92">
        <f>_xlfn.XLOOKUP(C33,Eigenschaften!$B$20:$B$27,Eigenschaften!$H$20:$H$27,"NaN",1)</f>
        <v>13</v>
      </c>
      <c r="E33" s="92" t="str">
        <f>_xlfn.XLOOKUP(B33,Talente!A:A,Talente!D:D)</f>
        <v>Klugheit</v>
      </c>
      <c r="F33" s="92">
        <f>_xlfn.XLOOKUP(E33,Eigenschaften!$B$20:$B$27,Eigenschaften!$H$20:$H$27,"NaN",1)</f>
        <v>12</v>
      </c>
      <c r="G33" s="92" t="str">
        <f>_xlfn.XLOOKUP(B33,Talente!A:A,Talente!E:E)</f>
        <v>Charisma</v>
      </c>
      <c r="H33" s="92">
        <f>_xlfn.XLOOKUP(G33,Eigenschaften!$B$20:$B$27,Eigenschaften!$H$20:$H$27,"NaN",1)</f>
        <v>15</v>
      </c>
      <c r="I33" s="262" t="str">
        <f t="shared" si="5"/>
        <v>Mut: 13 | Klugheit: 12 | Charisma: 15</v>
      </c>
      <c r="J33" s="46" t="str">
        <f>_xlfn.XLOOKUP(B33,Talente!A:A,Talente!F:F)</f>
        <v>B</v>
      </c>
      <c r="K33" s="46" t="str">
        <f>_xlfn.XLOOKUP(B33,Talente!A:A,Talente!G:G)</f>
        <v>-</v>
      </c>
      <c r="L33" s="46">
        <f t="shared" si="6"/>
        <v>0</v>
      </c>
      <c r="M33" s="57"/>
      <c r="N33" s="46">
        <f t="shared" si="8"/>
        <v>18</v>
      </c>
      <c r="O33" s="57">
        <v>0</v>
      </c>
      <c r="P33" s="46">
        <f t="shared" si="7"/>
        <v>0</v>
      </c>
      <c r="Q33" s="57"/>
      <c r="R33" s="154"/>
      <c r="S33" s="154"/>
      <c r="T33" s="89"/>
      <c r="U33" s="89"/>
      <c r="V33" s="89"/>
      <c r="W33" s="89"/>
      <c r="X33" s="89"/>
      <c r="Y33" s="89"/>
      <c r="Z33" s="89"/>
      <c r="AA33" s="89"/>
    </row>
    <row r="34" spans="1:29" ht="20.25">
      <c r="B34" s="342" t="s">
        <v>148</v>
      </c>
      <c r="C34" s="92" t="str">
        <f>_xlfn.XLOOKUP(B34,Talente!A:A,Talente!C:C)</f>
        <v>Klugheit</v>
      </c>
      <c r="D34" s="92">
        <f>_xlfn.XLOOKUP(C34,Eigenschaften!$B$20:$B$27,Eigenschaften!$H$20:$H$27,"NaN",1)</f>
        <v>12</v>
      </c>
      <c r="E34" s="92" t="str">
        <f>_xlfn.XLOOKUP(B34,Talente!A:A,Talente!D:D)</f>
        <v>Klugheit</v>
      </c>
      <c r="F34" s="92">
        <f>_xlfn.XLOOKUP(E34,Eigenschaften!$B$20:$B$27,Eigenschaften!$H$20:$H$27,"NaN",1)</f>
        <v>12</v>
      </c>
      <c r="G34" s="92" t="str">
        <f>_xlfn.XLOOKUP(B34,Talente!A:A,Talente!E:E)</f>
        <v>Intuition</v>
      </c>
      <c r="H34" s="92">
        <f>_xlfn.XLOOKUP(G34,Eigenschaften!$B$20:$B$27,Eigenschaften!$H$20:$H$27,"NaN",1)</f>
        <v>15</v>
      </c>
      <c r="I34" s="262" t="str">
        <f t="shared" si="5"/>
        <v>Klugheit: 12 | Klugheit: 12 | Intuition: 15</v>
      </c>
      <c r="J34" s="46" t="str">
        <f>_xlfn.XLOOKUP(B34,Talente!A:A,Talente!F:F)</f>
        <v>B</v>
      </c>
      <c r="K34" s="46" t="str">
        <f>_xlfn.XLOOKUP(B34,Talente!A:A,Talente!G:G)</f>
        <v>-</v>
      </c>
      <c r="L34" s="46">
        <f t="shared" si="6"/>
        <v>0</v>
      </c>
      <c r="M34" s="57"/>
      <c r="N34" s="46">
        <f t="shared" si="8"/>
        <v>18</v>
      </c>
      <c r="O34" s="57">
        <v>0</v>
      </c>
      <c r="P34" s="46">
        <f t="shared" si="7"/>
        <v>0</v>
      </c>
      <c r="Q34" s="57"/>
      <c r="R34" s="154"/>
      <c r="S34" s="154"/>
      <c r="T34" s="89"/>
      <c r="U34" s="89"/>
      <c r="V34" s="89"/>
      <c r="W34" s="89"/>
      <c r="X34" s="89"/>
      <c r="Y34" s="89"/>
      <c r="Z34" s="89"/>
      <c r="AA34" s="89"/>
    </row>
    <row r="35" spans="1:29" ht="20.25">
      <c r="B35" s="155" t="s">
        <v>149</v>
      </c>
      <c r="C35" s="92" t="str">
        <f>_xlfn.XLOOKUP(B35,Talente!A:A,Talente!C:C)</f>
        <v>Klugheit</v>
      </c>
      <c r="D35" s="92">
        <f>_xlfn.XLOOKUP(C35,Eigenschaften!$B$20:$B$27,Eigenschaften!$H$20:$H$27,"NaN",1)</f>
        <v>12</v>
      </c>
      <c r="E35" s="92" t="str">
        <f>_xlfn.XLOOKUP(B35,Talente!A:A,Talente!D:D)</f>
        <v>Klugheit</v>
      </c>
      <c r="F35" s="92">
        <f>_xlfn.XLOOKUP(E35,Eigenschaften!$B$20:$B$27,Eigenschaften!$H$20:$H$27,"NaN",1)</f>
        <v>12</v>
      </c>
      <c r="G35" s="92" t="str">
        <f>_xlfn.XLOOKUP(B35,Talente!A:A,Talente!E:E)</f>
        <v>Intuition</v>
      </c>
      <c r="H35" s="92">
        <f>_xlfn.XLOOKUP(G35,Eigenschaften!$B$20:$B$27,Eigenschaften!$H$20:$H$27,"NaN",1)</f>
        <v>15</v>
      </c>
      <c r="I35" s="262" t="str">
        <f t="shared" si="5"/>
        <v>Klugheit: 12 | Klugheit: 12 | Intuition: 15</v>
      </c>
      <c r="J35" s="46" t="str">
        <f>_xlfn.XLOOKUP(B35,Talente!A:A,Talente!F:F)</f>
        <v>B</v>
      </c>
      <c r="K35" s="46" t="str">
        <f>_xlfn.XLOOKUP(B35,Talente!A:A,Talente!G:G)</f>
        <v>-</v>
      </c>
      <c r="L35" s="46">
        <f t="shared" si="6"/>
        <v>0</v>
      </c>
      <c r="M35" s="57">
        <v>6</v>
      </c>
      <c r="N35" s="46">
        <f t="shared" si="8"/>
        <v>18</v>
      </c>
      <c r="O35" s="57">
        <v>0</v>
      </c>
      <c r="P35" s="46">
        <f t="shared" si="7"/>
        <v>6</v>
      </c>
      <c r="Q35" s="57"/>
      <c r="R35" s="154"/>
      <c r="S35" s="154"/>
      <c r="T35" s="89"/>
      <c r="U35" s="89"/>
      <c r="V35" s="89"/>
      <c r="W35" s="89"/>
      <c r="X35" s="89"/>
      <c r="Y35" s="89"/>
      <c r="Z35" s="89"/>
      <c r="AA35" s="89"/>
    </row>
    <row r="36" spans="1:29" ht="20.25">
      <c r="B36" s="155" t="s">
        <v>150</v>
      </c>
      <c r="C36" s="92" t="str">
        <f>_xlfn.XLOOKUP(B36,Talente!A:A,Talente!C:C)</f>
        <v>Klugheit</v>
      </c>
      <c r="D36" s="92">
        <f>_xlfn.XLOOKUP(C36,Eigenschaften!$B$20:$B$27,Eigenschaften!$H$20:$H$27,"NaN",1)</f>
        <v>12</v>
      </c>
      <c r="E36" s="92" t="str">
        <f>_xlfn.XLOOKUP(B36,Talente!A:A,Talente!D:D)</f>
        <v>Klugheit</v>
      </c>
      <c r="F36" s="92">
        <f>_xlfn.XLOOKUP(E36,Eigenschaften!$B$20:$B$27,Eigenschaften!$H$20:$H$27,"NaN",1)</f>
        <v>12</v>
      </c>
      <c r="G36" s="92" t="str">
        <f>_xlfn.XLOOKUP(B36,Talente!A:A,Talente!E:E)</f>
        <v>Fingerfertigkeit</v>
      </c>
      <c r="H36" s="92">
        <f>_xlfn.XLOOKUP(G36,Eigenschaften!$B$20:$B$27,Eigenschaften!$H$20:$H$27,"NaN",1)</f>
        <v>10</v>
      </c>
      <c r="I36" s="262" t="str">
        <f t="shared" si="5"/>
        <v>Klugheit: 12 | Klugheit: 12 | Fingerfertigkeit: 10</v>
      </c>
      <c r="J36" s="46" t="str">
        <f>_xlfn.XLOOKUP(B36,Talente!A:A,Talente!F:F)</f>
        <v>B</v>
      </c>
      <c r="K36" s="46" t="str">
        <f>_xlfn.XLOOKUP(B36,Talente!A:A,Talente!G:G)</f>
        <v>-</v>
      </c>
      <c r="L36" s="46">
        <f t="shared" si="6"/>
        <v>0</v>
      </c>
      <c r="M36" s="57"/>
      <c r="N36" s="46">
        <f t="shared" si="8"/>
        <v>15</v>
      </c>
      <c r="O36" s="57">
        <v>0</v>
      </c>
      <c r="P36" s="46">
        <f t="shared" si="7"/>
        <v>0</v>
      </c>
      <c r="Q36" s="57"/>
      <c r="R36" s="154"/>
      <c r="S36" s="154"/>
      <c r="T36" s="89"/>
      <c r="U36" s="89"/>
      <c r="V36" s="89"/>
      <c r="W36" s="89"/>
      <c r="X36" s="89"/>
      <c r="Y36" s="89"/>
      <c r="Z36" s="89"/>
      <c r="AA36" s="89"/>
    </row>
    <row r="37" spans="1:29" ht="20.25">
      <c r="B37" s="238" t="s">
        <v>151</v>
      </c>
      <c r="C37" s="92" t="str">
        <f>_xlfn.XLOOKUP(B37,Talente!A:A,Talente!C:C)</f>
        <v>Klugheit</v>
      </c>
      <c r="D37" s="92">
        <f>_xlfn.XLOOKUP(C37,Eigenschaften!$B$20:$B$27,Eigenschaften!$H$20:$H$27,"NaN",1)</f>
        <v>12</v>
      </c>
      <c r="E37" s="92" t="str">
        <f>_xlfn.XLOOKUP(B37,Talente!A:A,Talente!D:D)</f>
        <v>Intuition</v>
      </c>
      <c r="F37" s="92">
        <f>_xlfn.XLOOKUP(E37,Eigenschaften!$B$20:$B$27,Eigenschaften!$H$20:$H$27,"NaN",1)</f>
        <v>15</v>
      </c>
      <c r="G37" s="92" t="str">
        <f>_xlfn.XLOOKUP(B37,Talente!A:A,Talente!E:E)</f>
        <v>Fingerfertigkeit</v>
      </c>
      <c r="H37" s="92">
        <f>_xlfn.XLOOKUP(G37,Eigenschaften!$B$20:$B$27,Eigenschaften!$H$20:$H$27,"NaN",1)</f>
        <v>10</v>
      </c>
      <c r="I37" s="262" t="str">
        <f t="shared" si="5"/>
        <v>Klugheit: 12 | Intuition: 15 | Fingerfertigkeit: 10</v>
      </c>
      <c r="J37" s="46" t="str">
        <f>_xlfn.XLOOKUP(B37,Talente!A:A,Talente!F:F)</f>
        <v>B</v>
      </c>
      <c r="K37" s="46" t="str">
        <f>_xlfn.XLOOKUP(B37,Talente!A:A,Talente!G:G)</f>
        <v>-</v>
      </c>
      <c r="L37" s="46">
        <f t="shared" si="6"/>
        <v>0</v>
      </c>
      <c r="M37" s="57">
        <v>11</v>
      </c>
      <c r="N37" s="46">
        <f t="shared" si="8"/>
        <v>18</v>
      </c>
      <c r="O37" s="57">
        <v>0</v>
      </c>
      <c r="P37" s="46">
        <f t="shared" si="7"/>
        <v>11</v>
      </c>
      <c r="Q37" s="57"/>
      <c r="R37" s="154"/>
      <c r="S37" s="154"/>
      <c r="T37" s="89"/>
      <c r="U37" s="89"/>
      <c r="V37" s="89"/>
      <c r="W37" s="89"/>
      <c r="X37" s="89"/>
      <c r="Y37" s="89"/>
      <c r="Z37" s="89"/>
      <c r="AA37" s="89"/>
    </row>
    <row r="38" spans="1:29" ht="20.25">
      <c r="B38" s="155" t="s">
        <v>152</v>
      </c>
      <c r="C38" s="92" t="str">
        <f>_xlfn.XLOOKUP(B38,Talente!A:A,Talente!C:C)</f>
        <v>Klugheit</v>
      </c>
      <c r="D38" s="92">
        <f>_xlfn.XLOOKUP(C38,Eigenschaften!$B$20:$B$27,Eigenschaften!$H$20:$H$27,"NaN",1)</f>
        <v>12</v>
      </c>
      <c r="E38" s="92" t="str">
        <f>_xlfn.XLOOKUP(B38,Talente!A:A,Talente!D:D)</f>
        <v>Klugheit</v>
      </c>
      <c r="F38" s="92">
        <f>_xlfn.XLOOKUP(E38,Eigenschaften!$B$20:$B$27,Eigenschaften!$H$20:$H$27,"NaN",1)</f>
        <v>12</v>
      </c>
      <c r="G38" s="92" t="str">
        <f>_xlfn.XLOOKUP(B38,Talente!A:A,Talente!E:E)</f>
        <v>Intuition</v>
      </c>
      <c r="H38" s="92">
        <f>_xlfn.XLOOKUP(G38,Eigenschaften!$B$20:$B$27,Eigenschaften!$H$20:$H$27,"NaN",1)</f>
        <v>15</v>
      </c>
      <c r="I38" s="262" t="str">
        <f t="shared" si="5"/>
        <v>Klugheit: 12 | Klugheit: 12 | Intuition: 15</v>
      </c>
      <c r="J38" s="46" t="str">
        <f>_xlfn.XLOOKUP(B38,Talente!A:A,Talente!F:F)</f>
        <v>B</v>
      </c>
      <c r="K38" s="46" t="str">
        <f>_xlfn.XLOOKUP(B38,Talente!A:A,Talente!G:G)</f>
        <v>-</v>
      </c>
      <c r="L38" s="46">
        <f t="shared" si="6"/>
        <v>0</v>
      </c>
      <c r="M38" s="57">
        <v>2</v>
      </c>
      <c r="N38" s="46">
        <f t="shared" si="8"/>
        <v>18</v>
      </c>
      <c r="O38" s="57">
        <v>0</v>
      </c>
      <c r="P38" s="46">
        <f t="shared" si="7"/>
        <v>2</v>
      </c>
      <c r="Q38" s="57"/>
      <c r="R38" s="154"/>
      <c r="S38" s="154"/>
      <c r="T38" s="89"/>
      <c r="U38" s="89"/>
      <c r="V38" s="89"/>
      <c r="W38" s="89"/>
      <c r="X38" s="89"/>
      <c r="Y38" s="89"/>
      <c r="Z38" s="89"/>
      <c r="AA38" s="89"/>
    </row>
    <row r="39" spans="1:29" ht="20.25">
      <c r="B39" s="155" t="s">
        <v>137</v>
      </c>
      <c r="C39" s="92" t="str">
        <f>_xlfn.XLOOKUP(B39,Talente!A:A,Talente!C:C)</f>
        <v>Klugheit</v>
      </c>
      <c r="D39" s="92">
        <f>_xlfn.XLOOKUP(C39,Eigenschaften!$B$20:$B$27,Eigenschaften!$H$20:$H$27,"NaN",1)</f>
        <v>12</v>
      </c>
      <c r="E39" s="92" t="str">
        <f>_xlfn.XLOOKUP(B39,Talente!A:A,Talente!D:D)</f>
        <v>Klugheit</v>
      </c>
      <c r="F39" s="92">
        <f>_xlfn.XLOOKUP(E39,Eigenschaften!$B$20:$B$27,Eigenschaften!$H$20:$H$27,"NaN",1)</f>
        <v>12</v>
      </c>
      <c r="G39" s="92" t="str">
        <f>_xlfn.XLOOKUP(B39,Talente!A:A,Talente!E:E)</f>
        <v>Intuition</v>
      </c>
      <c r="H39" s="92">
        <f>_xlfn.XLOOKUP(G39,Eigenschaften!$B$20:$B$27,Eigenschaften!$H$20:$H$27,"NaN",1)</f>
        <v>15</v>
      </c>
      <c r="I39" s="262" t="str">
        <f t="shared" si="5"/>
        <v>Klugheit: 12 | Klugheit: 12 | Intuition: 15</v>
      </c>
      <c r="J39" s="46" t="str">
        <f>_xlfn.XLOOKUP(B39,Talente!A:A,Talente!F:F)</f>
        <v>B</v>
      </c>
      <c r="K39" s="46" t="str">
        <f>_xlfn.XLOOKUP(B39,Talente!A:A,Talente!G:G)</f>
        <v>-</v>
      </c>
      <c r="L39" s="46">
        <f t="shared" si="6"/>
        <v>0</v>
      </c>
      <c r="M39" s="57">
        <v>4</v>
      </c>
      <c r="N39" s="46">
        <f t="shared" si="8"/>
        <v>18</v>
      </c>
      <c r="O39" s="57">
        <v>0</v>
      </c>
      <c r="P39" s="46">
        <f t="shared" si="7"/>
        <v>4</v>
      </c>
      <c r="Q39" s="57"/>
      <c r="R39" s="154"/>
      <c r="S39" s="154"/>
      <c r="T39" s="89"/>
      <c r="U39" s="89"/>
      <c r="V39" s="89"/>
      <c r="W39" s="89"/>
      <c r="X39" s="89"/>
      <c r="Y39" s="89"/>
      <c r="Z39" s="89"/>
      <c r="AA39" s="89"/>
      <c r="AB39" s="89"/>
      <c r="AC39" s="89"/>
    </row>
    <row r="40" spans="1:29" ht="20.25">
      <c r="B40" s="155" t="s">
        <v>153</v>
      </c>
      <c r="C40" s="92" t="str">
        <f>_xlfn.XLOOKUP(B40,Talente!A:A,Talente!C:C)</f>
        <v>Klugheit</v>
      </c>
      <c r="D40" s="92">
        <f>_xlfn.XLOOKUP(C40,Eigenschaften!$B$20:$B$27,Eigenschaften!$H$20:$H$27,"NaN",1)</f>
        <v>12</v>
      </c>
      <c r="E40" s="92" t="str">
        <f>_xlfn.XLOOKUP(B40,Talente!A:A,Talente!D:D)</f>
        <v>Klugheit</v>
      </c>
      <c r="F40" s="92">
        <f>_xlfn.XLOOKUP(E40,Eigenschaften!$B$20:$B$27,Eigenschaften!$H$20:$H$27,"NaN",1)</f>
        <v>12</v>
      </c>
      <c r="G40" s="92" t="str">
        <f>_xlfn.XLOOKUP(B40,Talente!A:A,Talente!E:E)</f>
        <v>Intuition</v>
      </c>
      <c r="H40" s="92">
        <f>_xlfn.XLOOKUP(G40,Eigenschaften!$B$20:$B$27,Eigenschaften!$H$20:$H$27,"NaN",1)</f>
        <v>15</v>
      </c>
      <c r="I40" s="262" t="str">
        <f t="shared" si="5"/>
        <v>Klugheit: 12 | Klugheit: 12 | Intuition: 15</v>
      </c>
      <c r="J40" s="46" t="str">
        <f>_xlfn.XLOOKUP(B40,Talente!A:A,Talente!F:F)</f>
        <v>B</v>
      </c>
      <c r="K40" s="46" t="str">
        <f>_xlfn.XLOOKUP(B40,Talente!A:A,Talente!G:G)</f>
        <v>-</v>
      </c>
      <c r="L40" s="46">
        <f t="shared" si="6"/>
        <v>0</v>
      </c>
      <c r="M40" s="57"/>
      <c r="N40" s="46">
        <f t="shared" si="8"/>
        <v>18</v>
      </c>
      <c r="O40" s="57">
        <v>0</v>
      </c>
      <c r="P40" s="46">
        <f t="shared" si="7"/>
        <v>0</v>
      </c>
      <c r="Q40" s="57"/>
      <c r="R40" s="154"/>
      <c r="S40" s="154"/>
      <c r="T40" s="89"/>
      <c r="U40" s="89"/>
      <c r="V40" s="89"/>
      <c r="W40" s="89"/>
      <c r="X40" s="89"/>
      <c r="Y40" s="89"/>
      <c r="Z40" s="89"/>
      <c r="AA40" s="89"/>
      <c r="AB40" s="89"/>
      <c r="AC40" s="89"/>
    </row>
    <row r="41" spans="1:29" ht="20.25">
      <c r="B41" s="155" t="s">
        <v>138</v>
      </c>
      <c r="C41" s="92" t="str">
        <f>_xlfn.XLOOKUP(B41,Talente!A:A,Talente!C:C)</f>
        <v>Klugheit</v>
      </c>
      <c r="D41" s="92">
        <f>_xlfn.XLOOKUP(C41,Eigenschaften!$B$20:$B$27,Eigenschaften!$H$20:$H$27,"NaN",1)</f>
        <v>12</v>
      </c>
      <c r="E41" s="92" t="str">
        <f>_xlfn.XLOOKUP(B41,Talente!A:A,Talente!D:D)</f>
        <v>Intuition</v>
      </c>
      <c r="F41" s="92">
        <f>_xlfn.XLOOKUP(E41,Eigenschaften!$B$20:$B$27,Eigenschaften!$H$20:$H$27,"NaN",1)</f>
        <v>15</v>
      </c>
      <c r="G41" s="92" t="str">
        <f>_xlfn.XLOOKUP(B41,Talente!A:A,Talente!E:E)</f>
        <v>Charisma</v>
      </c>
      <c r="H41" s="92">
        <f>_xlfn.XLOOKUP(G41,Eigenschaften!$B$20:$B$27,Eigenschaften!$H$20:$H$27,"NaN",1)</f>
        <v>15</v>
      </c>
      <c r="I41" s="262" t="str">
        <f t="shared" si="5"/>
        <v>Klugheit: 12 | Intuition: 15 | Charisma: 15</v>
      </c>
      <c r="J41" s="46" t="str">
        <f>_xlfn.XLOOKUP(B41,Talente!A:A,Talente!F:F)</f>
        <v>B</v>
      </c>
      <c r="K41" s="46" t="str">
        <f>_xlfn.XLOOKUP(B41,Talente!A:A,Talente!G:G)</f>
        <v>-</v>
      </c>
      <c r="L41" s="46">
        <f t="shared" si="6"/>
        <v>0</v>
      </c>
      <c r="M41" s="57">
        <v>6</v>
      </c>
      <c r="N41" s="46">
        <f t="shared" si="8"/>
        <v>18</v>
      </c>
      <c r="O41" s="57">
        <v>0</v>
      </c>
      <c r="P41" s="46">
        <f t="shared" si="7"/>
        <v>6</v>
      </c>
      <c r="Q41" s="57"/>
      <c r="R41" s="154"/>
      <c r="S41" s="154"/>
      <c r="T41" s="89"/>
      <c r="U41" s="89"/>
      <c r="V41" s="89"/>
      <c r="W41" s="89"/>
      <c r="X41" s="89"/>
      <c r="Y41" s="89"/>
      <c r="Z41" s="89"/>
      <c r="AA41" s="89"/>
      <c r="AB41" s="89"/>
      <c r="AC41" s="89"/>
    </row>
    <row r="42" spans="1:29" ht="20.25">
      <c r="B42" s="155" t="s">
        <v>154</v>
      </c>
      <c r="C42" s="92" t="str">
        <f>_xlfn.XLOOKUP(B42,Talente!A:A,Talente!C:C)</f>
        <v>Klugheit</v>
      </c>
      <c r="D42" s="92">
        <f>_xlfn.XLOOKUP(C42,Eigenschaften!$B$20:$B$27,Eigenschaften!$H$20:$H$27,"NaN",1)</f>
        <v>12</v>
      </c>
      <c r="E42" s="92" t="str">
        <f>_xlfn.XLOOKUP(B42,Talente!A:A,Talente!D:D)</f>
        <v>Intuition</v>
      </c>
      <c r="F42" s="92">
        <f>_xlfn.XLOOKUP(E42,Eigenschaften!$B$20:$B$27,Eigenschaften!$H$20:$H$27,"NaN",1)</f>
        <v>15</v>
      </c>
      <c r="G42" s="92" t="str">
        <f>_xlfn.XLOOKUP(B42,Talente!A:A,Talente!E:E)</f>
        <v>Intuition</v>
      </c>
      <c r="H42" s="92">
        <f>_xlfn.XLOOKUP(G42,Eigenschaften!$B$20:$B$27,Eigenschaften!$H$20:$H$27,"NaN",1)</f>
        <v>15</v>
      </c>
      <c r="I42" s="262" t="str">
        <f t="shared" si="5"/>
        <v>Klugheit: 12 | Intuition: 15 | Intuition: 15</v>
      </c>
      <c r="J42" s="46" t="str">
        <f>_xlfn.XLOOKUP(B42,Talente!A:A,Talente!F:F)</f>
        <v>B</v>
      </c>
      <c r="K42" s="46" t="str">
        <f>_xlfn.XLOOKUP(B42,Talente!A:A,Talente!G:G)</f>
        <v>-</v>
      </c>
      <c r="L42" s="46">
        <f t="shared" si="6"/>
        <v>0</v>
      </c>
      <c r="M42" s="57"/>
      <c r="N42" s="46">
        <f t="shared" si="8"/>
        <v>18</v>
      </c>
      <c r="O42" s="57">
        <v>0</v>
      </c>
      <c r="P42" s="46">
        <f t="shared" si="7"/>
        <v>0</v>
      </c>
      <c r="Q42" s="57"/>
      <c r="R42" s="154"/>
      <c r="S42" s="154"/>
      <c r="T42" s="89"/>
      <c r="U42" s="89"/>
      <c r="V42" s="89"/>
      <c r="W42" s="89"/>
      <c r="X42" s="89"/>
      <c r="Y42" s="89"/>
      <c r="Z42" s="89"/>
      <c r="AA42" s="89"/>
      <c r="AB42" s="89"/>
      <c r="AC42" s="89"/>
    </row>
    <row r="43" spans="1:29" ht="20.25">
      <c r="B43" s="155" t="s">
        <v>155</v>
      </c>
      <c r="C43" s="92" t="str">
        <f>_xlfn.XLOOKUP(B43,Talente!A:A,Talente!C:C)</f>
        <v>Klugheit</v>
      </c>
      <c r="D43" s="92">
        <f>_xlfn.XLOOKUP(C43,Eigenschaften!$B$20:$B$27,Eigenschaften!$H$20:$H$27,"NaN",1)</f>
        <v>12</v>
      </c>
      <c r="E43" s="92" t="str">
        <f>_xlfn.XLOOKUP(B43,Talente!A:A,Talente!D:D)</f>
        <v>Klugheit</v>
      </c>
      <c r="F43" s="92">
        <f>_xlfn.XLOOKUP(E43,Eigenschaften!$B$20:$B$27,Eigenschaften!$H$20:$H$27,"NaN",1)</f>
        <v>12</v>
      </c>
      <c r="G43" s="92" t="str">
        <f>_xlfn.XLOOKUP(B43,Talente!A:A,Talente!E:E)</f>
        <v>Intuition</v>
      </c>
      <c r="H43" s="92">
        <f>_xlfn.XLOOKUP(G43,Eigenschaften!$B$20:$B$27,Eigenschaften!$H$20:$H$27,"NaN",1)</f>
        <v>15</v>
      </c>
      <c r="I43" s="262" t="str">
        <f t="shared" si="5"/>
        <v>Klugheit: 12 | Klugheit: 12 | Intuition: 15</v>
      </c>
      <c r="J43" s="46" t="str">
        <f>_xlfn.XLOOKUP(B43,Talente!A:A,Talente!F:F)</f>
        <v>B</v>
      </c>
      <c r="K43" s="46" t="str">
        <f>_xlfn.XLOOKUP(B43,Talente!A:A,Talente!G:G)</f>
        <v>-</v>
      </c>
      <c r="L43" s="46">
        <f t="shared" si="6"/>
        <v>0</v>
      </c>
      <c r="M43" s="57"/>
      <c r="N43" s="46">
        <f t="shared" si="8"/>
        <v>18</v>
      </c>
      <c r="O43" s="57">
        <v>0</v>
      </c>
      <c r="P43" s="46">
        <f t="shared" si="7"/>
        <v>0</v>
      </c>
      <c r="Q43" s="57"/>
      <c r="R43" s="154"/>
      <c r="S43" s="154"/>
      <c r="T43" s="89"/>
      <c r="U43" s="89"/>
      <c r="V43" s="89"/>
      <c r="W43" s="89"/>
      <c r="X43" s="89"/>
      <c r="Y43" s="89"/>
      <c r="Z43" s="89"/>
      <c r="AA43" s="89"/>
      <c r="AB43" s="89"/>
      <c r="AC43" s="89"/>
    </row>
    <row r="44" spans="1:29" ht="20.25">
      <c r="B44" s="155" t="s">
        <v>156</v>
      </c>
      <c r="C44" s="92" t="str">
        <f>_xlfn.XLOOKUP(B44,Talente!A:A,Talente!C:C)</f>
        <v>Klugheit</v>
      </c>
      <c r="D44" s="92">
        <f>_xlfn.XLOOKUP(C44,Eigenschaften!$B$20:$B$27,Eigenschaften!$H$20:$H$27,"NaN",1)</f>
        <v>12</v>
      </c>
      <c r="E44" s="92" t="str">
        <f>_xlfn.XLOOKUP(B44,Talente!A:A,Talente!D:D)</f>
        <v>Intuition</v>
      </c>
      <c r="F44" s="92">
        <f>_xlfn.XLOOKUP(E44,Eigenschaften!$B$20:$B$27,Eigenschaften!$H$20:$H$27,"NaN",1)</f>
        <v>15</v>
      </c>
      <c r="G44" s="92" t="str">
        <f>_xlfn.XLOOKUP(B44,Talente!A:A,Talente!E:E)</f>
        <v>Charisma</v>
      </c>
      <c r="H44" s="92">
        <f>_xlfn.XLOOKUP(G44,Eigenschaften!$B$20:$B$27,Eigenschaften!$H$20:$H$27,"NaN",1)</f>
        <v>15</v>
      </c>
      <c r="I44" s="262" t="str">
        <f t="shared" si="5"/>
        <v>Klugheit: 12 | Intuition: 15 | Charisma: 15</v>
      </c>
      <c r="J44" s="46" t="str">
        <f>_xlfn.XLOOKUP(B44,Talente!A:A,Talente!F:F)</f>
        <v>B</v>
      </c>
      <c r="K44" s="46" t="str">
        <f>_xlfn.XLOOKUP(B44,Talente!A:A,Talente!G:G)</f>
        <v>-</v>
      </c>
      <c r="L44" s="46">
        <f t="shared" si="6"/>
        <v>0</v>
      </c>
      <c r="M44" s="57"/>
      <c r="N44" s="46">
        <f t="shared" si="8"/>
        <v>18</v>
      </c>
      <c r="O44" s="57">
        <v>0</v>
      </c>
      <c r="P44" s="46">
        <f t="shared" si="7"/>
        <v>0</v>
      </c>
      <c r="Q44" s="57"/>
      <c r="R44" s="154"/>
      <c r="S44" s="154"/>
      <c r="T44" s="89"/>
      <c r="U44" s="89"/>
      <c r="V44" s="89"/>
      <c r="W44" s="89"/>
      <c r="X44" s="89"/>
      <c r="Y44" s="89"/>
      <c r="Z44" s="89"/>
      <c r="AA44" s="89"/>
      <c r="AB44" s="89"/>
      <c r="AC44" s="89"/>
    </row>
    <row r="45" spans="1:29" ht="20.25">
      <c r="B45" s="155" t="s">
        <v>157</v>
      </c>
      <c r="C45" s="92" t="str">
        <f>_xlfn.XLOOKUP(B45,Talente!A:A,Talente!C:C)</f>
        <v>Klugheit</v>
      </c>
      <c r="D45" s="92">
        <f>_xlfn.XLOOKUP(C45,Eigenschaften!$B$20:$B$27,Eigenschaften!$H$20:$H$27,"NaN",1)</f>
        <v>12</v>
      </c>
      <c r="E45" s="92" t="str">
        <f>_xlfn.XLOOKUP(B45,Talente!A:A,Talente!D:D)</f>
        <v>Klugheit</v>
      </c>
      <c r="F45" s="92">
        <f>_xlfn.XLOOKUP(E45,Eigenschaften!$B$20:$B$27,Eigenschaften!$H$20:$H$27,"NaN",1)</f>
        <v>12</v>
      </c>
      <c r="G45" s="92" t="str">
        <f>_xlfn.XLOOKUP(B45,Talente!A:A,Talente!E:E)</f>
        <v>Intuition</v>
      </c>
      <c r="H45" s="92">
        <f>_xlfn.XLOOKUP(G45,Eigenschaften!$B$20:$B$27,Eigenschaften!$H$20:$H$27,"NaN",1)</f>
        <v>15</v>
      </c>
      <c r="I45" s="262" t="str">
        <f t="shared" si="5"/>
        <v>Klugheit: 12 | Klugheit: 12 | Intuition: 15</v>
      </c>
      <c r="J45" s="46" t="str">
        <f>_xlfn.XLOOKUP(B45,Talente!A:A,Talente!F:F)</f>
        <v>B</v>
      </c>
      <c r="K45" s="46" t="str">
        <f>_xlfn.XLOOKUP(B45,Talente!A:A,Talente!G:G)</f>
        <v>-</v>
      </c>
      <c r="L45" s="46">
        <f t="shared" si="6"/>
        <v>0</v>
      </c>
      <c r="M45" s="57">
        <v>5</v>
      </c>
      <c r="N45" s="46">
        <f t="shared" si="8"/>
        <v>18</v>
      </c>
      <c r="O45" s="57">
        <v>0</v>
      </c>
      <c r="P45" s="46">
        <f t="shared" si="7"/>
        <v>5</v>
      </c>
      <c r="Q45" s="57"/>
      <c r="R45" s="154"/>
      <c r="S45" s="154"/>
      <c r="T45" s="89"/>
      <c r="U45" s="89"/>
      <c r="V45" s="89"/>
      <c r="W45" s="89"/>
      <c r="X45" s="89"/>
      <c r="Y45" s="89"/>
      <c r="Z45" s="89"/>
      <c r="AA45" s="89"/>
      <c r="AB45" s="89"/>
      <c r="AC45" s="89"/>
    </row>
    <row r="46" spans="1:29" ht="20.25">
      <c r="B46" s="238" t="s">
        <v>158</v>
      </c>
      <c r="C46" s="92" t="str">
        <f>_xlfn.XLOOKUP(B46,Talente!A:A,Talente!C:C)</f>
        <v>Mut</v>
      </c>
      <c r="D46" s="92">
        <f>_xlfn.XLOOKUP(C46,Eigenschaften!$B$20:$B$27,Eigenschaften!$H$20:$H$27,"NaN",1)</f>
        <v>13</v>
      </c>
      <c r="E46" s="92" t="str">
        <f>_xlfn.XLOOKUP(B46,Talente!A:A,Talente!D:D)</f>
        <v>Klugheit</v>
      </c>
      <c r="F46" s="92">
        <f>_xlfn.XLOOKUP(E46,Eigenschaften!$B$20:$B$27,Eigenschaften!$H$20:$H$27,"NaN",1)</f>
        <v>12</v>
      </c>
      <c r="G46" s="92" t="str">
        <f>_xlfn.XLOOKUP(B46,Talente!A:A,Talente!E:E)</f>
        <v>Intuition</v>
      </c>
      <c r="H46" s="92">
        <f>_xlfn.XLOOKUP(G46,Eigenschaften!$B$20:$B$27,Eigenschaften!$H$20:$H$27,"NaN",1)</f>
        <v>15</v>
      </c>
      <c r="I46" s="262" t="str">
        <f t="shared" si="5"/>
        <v>Mut: 13 | Klugheit: 12 | Intuition: 15</v>
      </c>
      <c r="J46" s="46" t="str">
        <f>_xlfn.XLOOKUP(B46,Talente!A:A,Talente!F:F)</f>
        <v>B</v>
      </c>
      <c r="K46" s="46" t="str">
        <f>_xlfn.XLOOKUP(B46,Talente!A:A,Talente!G:G)</f>
        <v>-</v>
      </c>
      <c r="L46" s="46">
        <f t="shared" si="6"/>
        <v>0</v>
      </c>
      <c r="M46" s="57">
        <v>8</v>
      </c>
      <c r="N46" s="46">
        <f t="shared" si="8"/>
        <v>18</v>
      </c>
      <c r="O46" s="57">
        <v>0</v>
      </c>
      <c r="P46" s="46">
        <f t="shared" si="7"/>
        <v>8</v>
      </c>
      <c r="Q46" s="57"/>
      <c r="R46" s="154"/>
      <c r="S46" s="154"/>
      <c r="T46" s="89"/>
      <c r="U46" s="89"/>
      <c r="V46" s="89"/>
      <c r="W46" s="89"/>
      <c r="X46" s="89"/>
      <c r="Y46" s="89"/>
      <c r="Z46" s="89"/>
      <c r="AA46" s="89"/>
      <c r="AB46" s="89"/>
      <c r="AC46" s="89"/>
    </row>
    <row r="47" spans="1:29" ht="20.25">
      <c r="A47" s="89"/>
      <c r="B47" s="155"/>
      <c r="C47" s="89"/>
      <c r="D47" s="89"/>
      <c r="E47" s="89"/>
      <c r="F47" s="89"/>
      <c r="G47" s="89"/>
      <c r="H47" s="89"/>
      <c r="I47" s="93"/>
      <c r="J47" s="89"/>
      <c r="K47" s="89"/>
      <c r="L47" s="89"/>
      <c r="M47" s="89"/>
      <c r="N47" s="89"/>
      <c r="O47" s="89"/>
      <c r="P47" s="89"/>
      <c r="Q47" s="89"/>
      <c r="R47" s="89"/>
      <c r="S47" s="89"/>
      <c r="T47" s="89"/>
      <c r="U47" s="89"/>
      <c r="V47" s="89"/>
      <c r="W47" s="89"/>
      <c r="X47" s="89"/>
      <c r="Y47" s="89"/>
      <c r="Z47" s="89"/>
      <c r="AA47" s="89"/>
      <c r="AB47" s="89"/>
      <c r="AC47" s="89"/>
    </row>
    <row r="48" spans="1:29" ht="20.25">
      <c r="A48" s="89"/>
      <c r="B48" s="155" t="s">
        <v>160</v>
      </c>
      <c r="C48" s="155" t="s">
        <v>232</v>
      </c>
      <c r="D48" s="155" t="s">
        <v>232</v>
      </c>
      <c r="E48" s="155" t="s">
        <v>233</v>
      </c>
      <c r="F48" s="155" t="s">
        <v>233</v>
      </c>
      <c r="G48" s="155" t="s">
        <v>234</v>
      </c>
      <c r="H48" s="155" t="s">
        <v>234</v>
      </c>
      <c r="I48" s="155" t="str">
        <f>I23</f>
        <v>Eigenschaften</v>
      </c>
      <c r="J48" s="155" t="str">
        <f t="shared" ref="J48:R48" si="9">J23</f>
        <v>Kompl.</v>
      </c>
      <c r="K48" s="155" t="str">
        <f t="shared" si="9"/>
        <v>BE</v>
      </c>
      <c r="L48" s="155" t="str">
        <f t="shared" si="9"/>
        <v>eBE</v>
      </c>
      <c r="M48" s="155" t="str">
        <f t="shared" si="9"/>
        <v>TaW</v>
      </c>
      <c r="N48" s="155" t="str">
        <f t="shared" si="9"/>
        <v>max. TaW</v>
      </c>
      <c r="O48" s="155" t="str">
        <f t="shared" si="9"/>
        <v>Mod</v>
      </c>
      <c r="P48" s="155" t="str">
        <f t="shared" si="9"/>
        <v>TaW</v>
      </c>
      <c r="Q48" s="155" t="str">
        <f t="shared" si="9"/>
        <v>SE</v>
      </c>
      <c r="R48" s="155" t="str">
        <f t="shared" si="9"/>
        <v>Spezialisierung</v>
      </c>
      <c r="S48" s="155" t="str">
        <f>S3</f>
        <v>Sonderfertigkeiten</v>
      </c>
      <c r="T48" s="89"/>
      <c r="U48" s="89"/>
      <c r="V48" s="89"/>
      <c r="W48" s="89"/>
      <c r="X48" s="89"/>
      <c r="Y48" s="89"/>
      <c r="Z48" s="89"/>
      <c r="AA48" s="89"/>
      <c r="AB48" s="89"/>
      <c r="AC48" s="89"/>
    </row>
    <row r="49" spans="1:29" ht="20.25">
      <c r="A49" s="89"/>
      <c r="B49" s="155" t="s">
        <v>162</v>
      </c>
      <c r="C49" s="92" t="str">
        <f>_xlfn.XLOOKUP(B49,Talente!A:A,Talente!C:C)</f>
        <v>Intuition</v>
      </c>
      <c r="D49" s="92">
        <f>_xlfn.XLOOKUP(C49,Eigenschaften!$B$20:$B$27,Eigenschaften!$H$20:$H$27,"NaN",1)</f>
        <v>15</v>
      </c>
      <c r="E49" s="92" t="str">
        <f>_xlfn.XLOOKUP(B49,Talente!A:A,Talente!D:D)</f>
        <v>Charisma</v>
      </c>
      <c r="F49" s="92">
        <f>_xlfn.XLOOKUP(E49,Eigenschaften!$B$20:$B$27,Eigenschaften!$H$20:$H$27,"NaN",1)</f>
        <v>15</v>
      </c>
      <c r="G49" s="92" t="str">
        <f>_xlfn.XLOOKUP(B49,Talente!A:A,Talente!E:E)</f>
        <v>Charisma</v>
      </c>
      <c r="H49" s="92">
        <f>_xlfn.XLOOKUP(G49,Eigenschaften!$B$20:$B$27,Eigenschaften!$H$20:$H$27,"NaN",1)</f>
        <v>15</v>
      </c>
      <c r="I49" s="262" t="str">
        <f t="shared" ref="I49:I58" si="10">C49&amp;": "&amp;D49&amp;" | "&amp;E49&amp;": "&amp;F49&amp;" | "&amp;G49&amp;": "&amp;H49</f>
        <v>Intuition: 15 | Charisma: 15 | Charisma: 15</v>
      </c>
      <c r="J49" s="46" t="str">
        <f>_xlfn.XLOOKUP(B49,Talente!A:A,Talente!F:F)</f>
        <v>B</v>
      </c>
      <c r="K49" s="46" t="str">
        <f>_xlfn.XLOOKUP(B49,Talente!A:A,Talente!G:G)</f>
        <v>-</v>
      </c>
      <c r="L49" s="46">
        <f t="shared" ref="L49:L58" si="11">IF(NOT(ISERROR(FIND("x",K49))),RIGHT(K49,1)*$H$2,IF(K49&lt;0,IF(($H$2+K49)&gt;0,$H$2+K49,0),IF(K49="-",0,0)))</f>
        <v>0</v>
      </c>
      <c r="M49" s="57">
        <v>2</v>
      </c>
      <c r="N49" s="46">
        <f t="shared" ref="N49:N58" si="12">MAX(D49:H49)+3</f>
        <v>18</v>
      </c>
      <c r="O49" s="57">
        <v>0</v>
      </c>
      <c r="P49" s="46">
        <f t="shared" ref="P49:P58" si="13">IF(M49="-","-",M49-L49+O49)</f>
        <v>2</v>
      </c>
      <c r="Q49" s="57"/>
      <c r="R49" s="154"/>
      <c r="S49" s="154"/>
      <c r="T49" s="89"/>
      <c r="U49" s="89"/>
      <c r="V49" s="89"/>
      <c r="W49" s="89"/>
      <c r="X49" s="89"/>
      <c r="Y49" s="89"/>
      <c r="Z49" s="89"/>
      <c r="AA49" s="89"/>
      <c r="AB49" s="89"/>
      <c r="AC49" s="89"/>
    </row>
    <row r="50" spans="1:29" ht="20.25">
      <c r="A50" s="89"/>
      <c r="B50" s="155" t="s">
        <v>163</v>
      </c>
      <c r="C50" s="92" t="str">
        <f>_xlfn.XLOOKUP(B50,Talente!A:A,Talente!C:C)</f>
        <v>Klugheit</v>
      </c>
      <c r="D50" s="92">
        <f>_xlfn.XLOOKUP(C50,Eigenschaften!$B$20:$B$27,Eigenschaften!$H$20:$H$27,"NaN",1)</f>
        <v>12</v>
      </c>
      <c r="E50" s="92" t="str">
        <f>_xlfn.XLOOKUP(B50,Talente!A:A,Talente!D:D)</f>
        <v>Intuition</v>
      </c>
      <c r="F50" s="92">
        <f>_xlfn.XLOOKUP(E50,Eigenschaften!$B$20:$B$27,Eigenschaften!$H$20:$H$27,"NaN",1)</f>
        <v>15</v>
      </c>
      <c r="G50" s="92" t="str">
        <f>_xlfn.XLOOKUP(B50,Talente!A:A,Talente!E:E)</f>
        <v>Charisma</v>
      </c>
      <c r="H50" s="92">
        <f>_xlfn.XLOOKUP(G50,Eigenschaften!$B$20:$B$27,Eigenschaften!$H$20:$H$27,"NaN",1)</f>
        <v>15</v>
      </c>
      <c r="I50" s="262" t="str">
        <f t="shared" si="10"/>
        <v>Klugheit: 12 | Intuition: 15 | Charisma: 15</v>
      </c>
      <c r="J50" s="46" t="str">
        <f>_xlfn.XLOOKUP(B50,Talente!A:A,Talente!F:F)</f>
        <v>B</v>
      </c>
      <c r="K50" s="46" t="str">
        <f>_xlfn.XLOOKUP(B50,Talente!A:A,Talente!G:G)</f>
        <v>-</v>
      </c>
      <c r="L50" s="46">
        <f t="shared" si="11"/>
        <v>0</v>
      </c>
      <c r="M50" s="57">
        <v>3</v>
      </c>
      <c r="N50" s="46">
        <f t="shared" si="12"/>
        <v>18</v>
      </c>
      <c r="O50" s="57">
        <v>0</v>
      </c>
      <c r="P50" s="46">
        <f t="shared" si="13"/>
        <v>3</v>
      </c>
      <c r="Q50" s="57"/>
      <c r="R50" s="154"/>
      <c r="S50" s="154"/>
      <c r="T50" s="89"/>
      <c r="U50" s="89"/>
      <c r="V50" s="89"/>
      <c r="W50" s="89"/>
      <c r="X50" s="89"/>
      <c r="Y50" s="89"/>
      <c r="Z50" s="89"/>
      <c r="AA50" s="89"/>
    </row>
    <row r="51" spans="1:29" ht="20.25">
      <c r="A51" s="89"/>
      <c r="B51" s="155" t="s">
        <v>164</v>
      </c>
      <c r="C51" s="92" t="str">
        <f>_xlfn.XLOOKUP(B51,Talente!A:A,Talente!C:C)</f>
        <v>Klugheit</v>
      </c>
      <c r="D51" s="92">
        <f>_xlfn.XLOOKUP(C51,Eigenschaften!$B$20:$B$27,Eigenschaften!$H$20:$H$27,"NaN",1)</f>
        <v>12</v>
      </c>
      <c r="E51" s="92" t="str">
        <f>_xlfn.XLOOKUP(B51,Talente!A:A,Talente!D:D)</f>
        <v>Intuition</v>
      </c>
      <c r="F51" s="92">
        <f>_xlfn.XLOOKUP(E51,Eigenschaften!$B$20:$B$27,Eigenschaften!$H$20:$H$27,"NaN",1)</f>
        <v>15</v>
      </c>
      <c r="G51" s="92" t="str">
        <f>_xlfn.XLOOKUP(B51,Talente!A:A,Talente!E:E)</f>
        <v>Charisma</v>
      </c>
      <c r="H51" s="92">
        <f>_xlfn.XLOOKUP(G51,Eigenschaften!$B$20:$B$27,Eigenschaften!$H$20:$H$27,"NaN",1)</f>
        <v>15</v>
      </c>
      <c r="I51" s="262" t="str">
        <f t="shared" si="10"/>
        <v>Klugheit: 12 | Intuition: 15 | Charisma: 15</v>
      </c>
      <c r="J51" s="46" t="str">
        <f>_xlfn.XLOOKUP(B51,Talente!A:A,Talente!F:F)</f>
        <v>B</v>
      </c>
      <c r="K51" s="46" t="str">
        <f>_xlfn.XLOOKUP(B51,Talente!A:A,Talente!G:G)</f>
        <v>-</v>
      </c>
      <c r="L51" s="46">
        <f t="shared" si="11"/>
        <v>0</v>
      </c>
      <c r="M51" s="57">
        <v>1</v>
      </c>
      <c r="N51" s="46">
        <f t="shared" si="12"/>
        <v>18</v>
      </c>
      <c r="O51" s="57">
        <v>0</v>
      </c>
      <c r="P51" s="46">
        <f t="shared" si="13"/>
        <v>1</v>
      </c>
      <c r="Q51" s="57"/>
      <c r="R51" s="154"/>
      <c r="S51" s="154"/>
      <c r="T51" s="89"/>
      <c r="U51" s="89"/>
      <c r="V51" s="89"/>
      <c r="W51" s="89"/>
      <c r="X51" s="89"/>
      <c r="Y51" s="89"/>
      <c r="Z51" s="89"/>
      <c r="AA51" s="89"/>
    </row>
    <row r="52" spans="1:29" ht="20.25">
      <c r="A52" s="89"/>
      <c r="B52" s="155" t="s">
        <v>165</v>
      </c>
      <c r="C52" s="92" t="str">
        <f>_xlfn.XLOOKUP(B52,Talente!A:A,Talente!C:C)</f>
        <v>Klugheit</v>
      </c>
      <c r="D52" s="92">
        <f>_xlfn.XLOOKUP(C52,Eigenschaften!$B$20:$B$27,Eigenschaften!$H$20:$H$27,"NaN",1)</f>
        <v>12</v>
      </c>
      <c r="E52" s="92" t="str">
        <f>_xlfn.XLOOKUP(B52,Talente!A:A,Talente!D:D)</f>
        <v>Intuition</v>
      </c>
      <c r="F52" s="92">
        <f>_xlfn.XLOOKUP(E52,Eigenschaften!$B$20:$B$27,Eigenschaften!$H$20:$H$27,"NaN",1)</f>
        <v>15</v>
      </c>
      <c r="G52" s="92" t="str">
        <f>_xlfn.XLOOKUP(B52,Talente!A:A,Talente!E:E)</f>
        <v>Charisma</v>
      </c>
      <c r="H52" s="92">
        <f>_xlfn.XLOOKUP(G52,Eigenschaften!$B$20:$B$27,Eigenschaften!$H$20:$H$27,"NaN",1)</f>
        <v>15</v>
      </c>
      <c r="I52" s="262" t="str">
        <f t="shared" si="10"/>
        <v>Klugheit: 12 | Intuition: 15 | Charisma: 15</v>
      </c>
      <c r="J52" s="46" t="str">
        <f>_xlfn.XLOOKUP(B52,Talente!A:A,Talente!F:F)</f>
        <v>B</v>
      </c>
      <c r="K52" s="46" t="str">
        <f>_xlfn.XLOOKUP(B52,Talente!A:A,Talente!G:G)</f>
        <v>-</v>
      </c>
      <c r="L52" s="46">
        <f t="shared" si="11"/>
        <v>0</v>
      </c>
      <c r="M52" s="57"/>
      <c r="N52" s="46">
        <f t="shared" si="12"/>
        <v>18</v>
      </c>
      <c r="O52" s="57">
        <v>0</v>
      </c>
      <c r="P52" s="46">
        <f t="shared" si="13"/>
        <v>0</v>
      </c>
      <c r="Q52" s="57"/>
      <c r="R52" s="154"/>
      <c r="S52" s="154"/>
      <c r="T52" s="89"/>
      <c r="U52" s="89"/>
      <c r="V52" s="89"/>
      <c r="W52" s="89"/>
      <c r="X52" s="89"/>
      <c r="Y52" s="89"/>
      <c r="Z52" s="89"/>
      <c r="AA52" s="89"/>
    </row>
    <row r="53" spans="1:29" ht="20.25">
      <c r="A53" s="89"/>
      <c r="B53" s="342" t="s">
        <v>159</v>
      </c>
      <c r="C53" s="92" t="str">
        <f>_xlfn.XLOOKUP(B53,Talente!A:A,Talente!C:C)</f>
        <v>Klugheit</v>
      </c>
      <c r="D53" s="92">
        <f>_xlfn.XLOOKUP(C53,Eigenschaften!$B$20:$B$27,Eigenschaften!$H$20:$H$27,"NaN",1)</f>
        <v>12</v>
      </c>
      <c r="E53" s="92" t="str">
        <f>_xlfn.XLOOKUP(B53,Talente!A:A,Talente!D:D)</f>
        <v>Intuition</v>
      </c>
      <c r="F53" s="92">
        <f>_xlfn.XLOOKUP(E53,Eigenschaften!$B$20:$B$27,Eigenschaften!$H$20:$H$27,"NaN",1)</f>
        <v>15</v>
      </c>
      <c r="G53" s="92" t="str">
        <f>_xlfn.XLOOKUP(B53,Talente!A:A,Talente!E:E)</f>
        <v>Charisma</v>
      </c>
      <c r="H53" s="92">
        <f>_xlfn.XLOOKUP(G53,Eigenschaften!$B$20:$B$27,Eigenschaften!$H$20:$H$27,"NaN",1)</f>
        <v>15</v>
      </c>
      <c r="I53" s="262" t="str">
        <f t="shared" si="10"/>
        <v>Klugheit: 12 | Intuition: 15 | Charisma: 15</v>
      </c>
      <c r="J53" s="46" t="str">
        <f>_xlfn.XLOOKUP(B53,Talente!A:A,Talente!F:F)</f>
        <v>B</v>
      </c>
      <c r="K53" s="46" t="str">
        <f>_xlfn.XLOOKUP(B53,Talente!A:A,Talente!G:G)</f>
        <v>-</v>
      </c>
      <c r="L53" s="46">
        <f t="shared" si="11"/>
        <v>0</v>
      </c>
      <c r="M53" s="57">
        <v>9</v>
      </c>
      <c r="N53" s="46">
        <f t="shared" si="12"/>
        <v>18</v>
      </c>
      <c r="O53" s="57">
        <v>0</v>
      </c>
      <c r="P53" s="46">
        <f t="shared" si="13"/>
        <v>9</v>
      </c>
      <c r="Q53" s="57"/>
      <c r="R53" s="154"/>
      <c r="S53" s="154"/>
      <c r="T53" s="89"/>
      <c r="U53" s="89"/>
      <c r="V53" s="89"/>
      <c r="W53" s="89"/>
      <c r="X53" s="89"/>
      <c r="Y53" s="89"/>
      <c r="Z53" s="89"/>
      <c r="AA53" s="89"/>
    </row>
    <row r="54" spans="1:29" ht="20.25">
      <c r="A54" s="89"/>
      <c r="B54" s="155" t="s">
        <v>166</v>
      </c>
      <c r="C54" s="92" t="str">
        <f>_xlfn.XLOOKUP(B54,Talente!A:A,Talente!C:C)</f>
        <v>Mut</v>
      </c>
      <c r="D54" s="92">
        <f>_xlfn.XLOOKUP(C54,Eigenschaften!$B$20:$B$27,Eigenschaften!$H$20:$H$27,"NaN",1)</f>
        <v>13</v>
      </c>
      <c r="E54" s="92" t="str">
        <f>_xlfn.XLOOKUP(B54,Talente!A:A,Talente!D:D)</f>
        <v>Klugheit</v>
      </c>
      <c r="F54" s="92">
        <f>_xlfn.XLOOKUP(E54,Eigenschaften!$B$20:$B$27,Eigenschaften!$H$20:$H$27,"NaN",1)</f>
        <v>12</v>
      </c>
      <c r="G54" s="92" t="str">
        <f>_xlfn.XLOOKUP(B54,Talente!A:A,Talente!E:E)</f>
        <v>Charisma</v>
      </c>
      <c r="H54" s="92">
        <f>_xlfn.XLOOKUP(G54,Eigenschaften!$B$20:$B$27,Eigenschaften!$H$20:$H$27,"NaN",1)</f>
        <v>15</v>
      </c>
      <c r="I54" s="262" t="str">
        <f t="shared" si="10"/>
        <v>Mut: 13 | Klugheit: 12 | Charisma: 15</v>
      </c>
      <c r="J54" s="46" t="str">
        <f>_xlfn.XLOOKUP(B54,Talente!A:A,Talente!F:F)</f>
        <v>B</v>
      </c>
      <c r="K54" s="46" t="str">
        <f>_xlfn.XLOOKUP(B54,Talente!A:A,Talente!G:G)</f>
        <v>-</v>
      </c>
      <c r="L54" s="46">
        <f t="shared" si="11"/>
        <v>0</v>
      </c>
      <c r="M54" s="57"/>
      <c r="N54" s="46">
        <f t="shared" si="12"/>
        <v>18</v>
      </c>
      <c r="O54" s="57">
        <v>0</v>
      </c>
      <c r="P54" s="46">
        <f t="shared" si="13"/>
        <v>0</v>
      </c>
      <c r="Q54" s="57"/>
      <c r="R54" s="154"/>
      <c r="S54" s="154"/>
      <c r="T54" s="89"/>
      <c r="U54" s="89"/>
      <c r="V54" s="89"/>
      <c r="W54" s="89"/>
      <c r="X54" s="89"/>
      <c r="Y54" s="89"/>
      <c r="Z54" s="89"/>
      <c r="AA54" s="89"/>
    </row>
    <row r="55" spans="1:29" ht="20.25">
      <c r="A55" s="89"/>
      <c r="B55" s="155" t="s">
        <v>167</v>
      </c>
      <c r="C55" s="92" t="str">
        <f>_xlfn.XLOOKUP(B55,Talente!A:A,Talente!C:C)</f>
        <v>Klugheit</v>
      </c>
      <c r="D55" s="92">
        <f>_xlfn.XLOOKUP(C55,Eigenschaften!$B$20:$B$27,Eigenschaften!$H$20:$H$27,"NaN",1)</f>
        <v>12</v>
      </c>
      <c r="E55" s="92" t="str">
        <f>_xlfn.XLOOKUP(B55,Talente!A:A,Talente!D:D)</f>
        <v>Intuition</v>
      </c>
      <c r="F55" s="92">
        <f>_xlfn.XLOOKUP(E55,Eigenschaften!$B$20:$B$27,Eigenschaften!$H$20:$H$27,"NaN",1)</f>
        <v>15</v>
      </c>
      <c r="G55" s="92" t="str">
        <f>_xlfn.XLOOKUP(B55,Talente!A:A,Talente!E:E)</f>
        <v>Intuition</v>
      </c>
      <c r="H55" s="92">
        <f>_xlfn.XLOOKUP(G55,Eigenschaften!$B$20:$B$27,Eigenschaften!$H$20:$H$27,"NaN",1)</f>
        <v>15</v>
      </c>
      <c r="I55" s="262" t="str">
        <f t="shared" si="10"/>
        <v>Klugheit: 12 | Intuition: 15 | Intuition: 15</v>
      </c>
      <c r="J55" s="46" t="str">
        <f>_xlfn.XLOOKUP(B55,Talente!A:A,Talente!F:F)</f>
        <v>B</v>
      </c>
      <c r="K55" s="46" t="str">
        <f>_xlfn.XLOOKUP(B55,Talente!A:A,Talente!G:G)</f>
        <v>-</v>
      </c>
      <c r="L55" s="46">
        <f t="shared" si="11"/>
        <v>0</v>
      </c>
      <c r="M55" s="57"/>
      <c r="N55" s="46">
        <f t="shared" si="12"/>
        <v>18</v>
      </c>
      <c r="O55" s="57">
        <v>0</v>
      </c>
      <c r="P55" s="46">
        <f t="shared" si="13"/>
        <v>0</v>
      </c>
      <c r="Q55" s="57"/>
      <c r="R55" s="154"/>
      <c r="S55" s="154"/>
      <c r="T55" s="89"/>
      <c r="U55" s="89"/>
      <c r="V55" s="89"/>
      <c r="W55" s="89"/>
      <c r="X55" s="89"/>
      <c r="Y55" s="89"/>
      <c r="Z55" s="89"/>
      <c r="AA55" s="89"/>
    </row>
    <row r="56" spans="1:29" ht="20.25">
      <c r="A56" s="89"/>
      <c r="B56" s="155" t="s">
        <v>168</v>
      </c>
      <c r="C56" s="92" t="str">
        <f>_xlfn.XLOOKUP(B56,Talente!A:A,Talente!C:C)</f>
        <v>Mut</v>
      </c>
      <c r="D56" s="92">
        <f>_xlfn.XLOOKUP(C56,Eigenschaften!$B$20:$B$27,Eigenschaften!$H$20:$H$27,"NaN",1)</f>
        <v>13</v>
      </c>
      <c r="E56" s="92" t="str">
        <f>_xlfn.XLOOKUP(B56,Talente!A:A,Talente!D:D)</f>
        <v>Charisma</v>
      </c>
      <c r="F56" s="92">
        <f>_xlfn.XLOOKUP(E56,Eigenschaften!$B$20:$B$27,Eigenschaften!$H$20:$H$27,"NaN",1)</f>
        <v>15</v>
      </c>
      <c r="G56" s="92" t="str">
        <f>_xlfn.XLOOKUP(B56,Talente!A:A,Talente!E:E)</f>
        <v>Gewandheit</v>
      </c>
      <c r="H56" s="92">
        <f>_xlfn.XLOOKUP(G56,Eigenschaften!$B$20:$B$27,Eigenschaften!$H$20:$H$27,"NaN",1)</f>
        <v>14</v>
      </c>
      <c r="I56" s="262" t="str">
        <f t="shared" si="10"/>
        <v>Mut: 13 | Charisma: 15 | Gewandheit: 14</v>
      </c>
      <c r="J56" s="46" t="str">
        <f>_xlfn.XLOOKUP(B56,Talente!A:A,Talente!F:F)</f>
        <v>B</v>
      </c>
      <c r="K56" s="46" t="str">
        <f>_xlfn.XLOOKUP(B56,Talente!A:A,Talente!G:G)</f>
        <v>-</v>
      </c>
      <c r="L56" s="46">
        <f t="shared" si="11"/>
        <v>0</v>
      </c>
      <c r="M56" s="57">
        <v>2</v>
      </c>
      <c r="N56" s="46">
        <f t="shared" si="12"/>
        <v>18</v>
      </c>
      <c r="O56" s="57">
        <v>0</v>
      </c>
      <c r="P56" s="46">
        <f t="shared" si="13"/>
        <v>2</v>
      </c>
      <c r="Q56" s="57"/>
      <c r="R56" s="154"/>
      <c r="S56" s="154"/>
      <c r="T56" s="89"/>
      <c r="U56" s="89"/>
      <c r="V56" s="89"/>
      <c r="W56" s="89"/>
      <c r="X56" s="89"/>
      <c r="Y56" s="89"/>
      <c r="Z56" s="89"/>
      <c r="AA56" s="89"/>
    </row>
    <row r="57" spans="1:29" ht="20.25">
      <c r="A57" s="89"/>
      <c r="B57" s="342" t="s">
        <v>161</v>
      </c>
      <c r="C57" s="92" t="str">
        <f>_xlfn.XLOOKUP(B57,Talente!A:A,Talente!C:C)</f>
        <v>Mut</v>
      </c>
      <c r="D57" s="92">
        <f>_xlfn.XLOOKUP(C57,Eigenschaften!$B$20:$B$27,Eigenschaften!$H$20:$H$27,"NaN",1)</f>
        <v>13</v>
      </c>
      <c r="E57" s="92" t="str">
        <f>_xlfn.XLOOKUP(B57,Talente!A:A,Talente!D:D)</f>
        <v>Intuition</v>
      </c>
      <c r="F57" s="92">
        <f>_xlfn.XLOOKUP(E57,Eigenschaften!$B$20:$B$27,Eigenschaften!$H$20:$H$27,"NaN",1)</f>
        <v>15</v>
      </c>
      <c r="G57" s="92" t="str">
        <f>_xlfn.XLOOKUP(B57,Talente!A:A,Talente!E:E)</f>
        <v>Charisma</v>
      </c>
      <c r="H57" s="92">
        <f>_xlfn.XLOOKUP(G57,Eigenschaften!$B$20:$B$27,Eigenschaften!$H$20:$H$27,"NaN",1)</f>
        <v>15</v>
      </c>
      <c r="I57" s="262" t="str">
        <f t="shared" si="10"/>
        <v>Mut: 13 | Intuition: 15 | Charisma: 15</v>
      </c>
      <c r="J57" s="46" t="str">
        <f>_xlfn.XLOOKUP(B57,Talente!A:A,Talente!F:F)</f>
        <v>B</v>
      </c>
      <c r="K57" s="46" t="str">
        <f>_xlfn.XLOOKUP(B57,Talente!A:A,Talente!G:G)</f>
        <v>-</v>
      </c>
      <c r="L57" s="46">
        <f t="shared" si="11"/>
        <v>0</v>
      </c>
      <c r="M57" s="57">
        <v>6</v>
      </c>
      <c r="N57" s="46">
        <f t="shared" si="12"/>
        <v>18</v>
      </c>
      <c r="O57" s="57">
        <v>0</v>
      </c>
      <c r="P57" s="46">
        <f t="shared" si="13"/>
        <v>6</v>
      </c>
      <c r="Q57" s="57"/>
      <c r="R57" s="154"/>
      <c r="S57" s="154"/>
      <c r="T57" s="89"/>
      <c r="U57" s="89"/>
      <c r="V57" s="89"/>
      <c r="W57" s="89"/>
      <c r="X57" s="89"/>
      <c r="Y57" s="89"/>
      <c r="Z57" s="89"/>
      <c r="AA57" s="89"/>
    </row>
    <row r="58" spans="1:29" ht="20.25">
      <c r="A58" s="89"/>
      <c r="B58" s="342" t="s">
        <v>169</v>
      </c>
      <c r="C58" s="92" t="str">
        <f>_xlfn.XLOOKUP(B58,Talente!A:A,Talente!C:C)</f>
        <v>Klugheit</v>
      </c>
      <c r="D58" s="92">
        <f>_xlfn.XLOOKUP(C58,Eigenschaften!$B$20:$B$27,Eigenschaften!$H$20:$H$27,"NaN",1)</f>
        <v>12</v>
      </c>
      <c r="E58" s="92" t="str">
        <f>_xlfn.XLOOKUP(B58,Talente!A:A,Talente!D:D)</f>
        <v>Intuition</v>
      </c>
      <c r="F58" s="92">
        <f>_xlfn.XLOOKUP(E58,Eigenschaften!$B$20:$B$27,Eigenschaften!$H$20:$H$27,"NaN",1)</f>
        <v>15</v>
      </c>
      <c r="G58" s="92" t="str">
        <f>_xlfn.XLOOKUP(B58,Talente!A:A,Talente!E:E)</f>
        <v>Charisma</v>
      </c>
      <c r="H58" s="92">
        <f>_xlfn.XLOOKUP(G58,Eigenschaften!$B$20:$B$27,Eigenschaften!$H$20:$H$27,"NaN",1)</f>
        <v>15</v>
      </c>
      <c r="I58" s="262" t="str">
        <f t="shared" si="10"/>
        <v>Klugheit: 12 | Intuition: 15 | Charisma: 15</v>
      </c>
      <c r="J58" s="46" t="str">
        <f>_xlfn.XLOOKUP(B58,Talente!A:A,Talente!F:F)</f>
        <v>B</v>
      </c>
      <c r="K58" s="46" t="str">
        <f>_xlfn.XLOOKUP(B58,Talente!A:A,Talente!G:G)</f>
        <v>-</v>
      </c>
      <c r="L58" s="46">
        <f t="shared" si="11"/>
        <v>0</v>
      </c>
      <c r="M58" s="57">
        <v>3</v>
      </c>
      <c r="N58" s="46">
        <f t="shared" si="12"/>
        <v>18</v>
      </c>
      <c r="O58" s="57">
        <v>0</v>
      </c>
      <c r="P58" s="46">
        <f t="shared" si="13"/>
        <v>3</v>
      </c>
      <c r="Q58" s="57"/>
      <c r="R58" s="154"/>
      <c r="S58" s="154"/>
      <c r="T58" s="89"/>
      <c r="U58" s="89"/>
      <c r="V58" s="89"/>
      <c r="W58" s="89"/>
      <c r="X58" s="89"/>
      <c r="Y58" s="89"/>
      <c r="Z58" s="89"/>
      <c r="AA58" s="89"/>
    </row>
    <row r="59" spans="1:29" ht="20.25">
      <c r="A59" s="89"/>
      <c r="B59" s="155"/>
      <c r="C59" s="89"/>
      <c r="D59" s="93"/>
      <c r="E59" s="89"/>
      <c r="F59" s="89"/>
      <c r="G59" s="89"/>
      <c r="H59" s="89"/>
      <c r="I59" s="93"/>
      <c r="J59" s="89"/>
      <c r="K59" s="93"/>
      <c r="L59" s="93"/>
      <c r="M59" s="93"/>
      <c r="N59" s="93"/>
      <c r="O59" s="93"/>
      <c r="P59" s="93"/>
      <c r="Q59" s="93"/>
      <c r="R59" s="89"/>
      <c r="S59" s="89"/>
      <c r="T59" s="89"/>
      <c r="U59" s="89"/>
      <c r="V59" s="89"/>
      <c r="W59" s="89"/>
      <c r="X59" s="89"/>
      <c r="Y59" s="89"/>
      <c r="Z59" s="89"/>
      <c r="AA59" s="89"/>
    </row>
    <row r="60" spans="1:29" ht="21">
      <c r="A60" s="89"/>
      <c r="B60" s="155" t="s">
        <v>171</v>
      </c>
      <c r="C60" s="91" t="s">
        <v>232</v>
      </c>
      <c r="D60" s="91" t="s">
        <v>232</v>
      </c>
      <c r="E60" s="91" t="s">
        <v>233</v>
      </c>
      <c r="F60" s="91" t="s">
        <v>233</v>
      </c>
      <c r="G60" s="91" t="s">
        <v>234</v>
      </c>
      <c r="H60" s="91" t="s">
        <v>234</v>
      </c>
      <c r="I60" s="155" t="str">
        <f>I48</f>
        <v>Eigenschaften</v>
      </c>
      <c r="J60" s="155" t="str">
        <f t="shared" ref="J60:R60" si="14">J48</f>
        <v>Kompl.</v>
      </c>
      <c r="K60" s="155" t="str">
        <f t="shared" si="14"/>
        <v>BE</v>
      </c>
      <c r="L60" s="155" t="str">
        <f t="shared" si="14"/>
        <v>eBE</v>
      </c>
      <c r="M60" s="155" t="str">
        <f t="shared" si="14"/>
        <v>TaW</v>
      </c>
      <c r="N60" s="155" t="str">
        <f t="shared" si="14"/>
        <v>max. TaW</v>
      </c>
      <c r="O60" s="155" t="str">
        <f t="shared" si="14"/>
        <v>Mod</v>
      </c>
      <c r="P60" s="155" t="str">
        <f t="shared" si="14"/>
        <v>TaW</v>
      </c>
      <c r="Q60" s="155" t="str">
        <f t="shared" si="14"/>
        <v>SE</v>
      </c>
      <c r="R60" s="155" t="str">
        <f t="shared" si="14"/>
        <v>Spezialisierung</v>
      </c>
      <c r="S60" s="155" t="str">
        <f>S3</f>
        <v>Sonderfertigkeiten</v>
      </c>
      <c r="T60" s="89"/>
      <c r="U60" s="89"/>
      <c r="V60" s="89"/>
      <c r="W60" s="89"/>
      <c r="X60" s="89"/>
      <c r="Y60" s="89"/>
      <c r="Z60" s="89"/>
      <c r="AA60" s="89"/>
    </row>
    <row r="61" spans="1:29" ht="20.25">
      <c r="A61" s="89"/>
      <c r="B61" s="155" t="s">
        <v>170</v>
      </c>
      <c r="C61" s="92" t="str">
        <f>_xlfn.XLOOKUP(B61,Talente!A:A,Talente!C:C)</f>
        <v>Klugheit</v>
      </c>
      <c r="D61" s="92">
        <f>_xlfn.XLOOKUP(C61,Eigenschaften!$B$20:$B$27,Eigenschaften!$H$20:$H$27,"NaN",1)</f>
        <v>12</v>
      </c>
      <c r="E61" s="92" t="str">
        <f>_xlfn.XLOOKUP(B61,Talente!A:A,Talente!D:D)</f>
        <v>Intuition</v>
      </c>
      <c r="F61" s="92">
        <f>_xlfn.XLOOKUP(E61,Eigenschaften!$B$20:$B$27,Eigenschaften!$H$20:$H$27,"NaN",1)</f>
        <v>15</v>
      </c>
      <c r="G61" s="92" t="str">
        <f>_xlfn.XLOOKUP(B61,Talente!A:A,Talente!E:E)</f>
        <v>Charisma</v>
      </c>
      <c r="H61" s="92">
        <f>_xlfn.XLOOKUP(G61,Eigenschaften!$B$20:$B$27,Eigenschaften!$H$20:$H$27,"NaN",1)</f>
        <v>15</v>
      </c>
      <c r="I61" s="262" t="str">
        <f t="shared" ref="I61:I67" si="15">C61&amp;": "&amp;D61&amp;" | "&amp;E61&amp;": "&amp;F61&amp;" | "&amp;G61&amp;": "&amp;H61</f>
        <v>Klugheit: 12 | Intuition: 15 | Charisma: 15</v>
      </c>
      <c r="J61" s="46" t="str">
        <f>_xlfn.XLOOKUP(B61,Talente!A:A,Talente!F:F)</f>
        <v>B</v>
      </c>
      <c r="K61" s="46" t="str">
        <f>_xlfn.XLOOKUP(B61,Talente!A:A,Talente!G:G)</f>
        <v>-</v>
      </c>
      <c r="L61" s="46">
        <f t="shared" ref="L61:L67" si="16">IF(NOT(ISERROR(FIND("x",K61))),RIGHT(K61,1)*$H$2,IF(K61&lt;0,IF(($H$2+K61)&gt;0,$H$2+K61,0),IF(K61="-",0,0)))</f>
        <v>0</v>
      </c>
      <c r="M61" s="57">
        <v>4</v>
      </c>
      <c r="N61" s="46">
        <f t="shared" ref="N61:N67" si="17">MAX(D61:H61)+3</f>
        <v>18</v>
      </c>
      <c r="O61" s="57">
        <v>0</v>
      </c>
      <c r="P61" s="46">
        <f t="shared" ref="P61:P67" si="18">IF(M61="-","-",M61-L61+O61)</f>
        <v>4</v>
      </c>
      <c r="Q61" s="57"/>
      <c r="R61" s="154"/>
      <c r="S61" s="154"/>
      <c r="T61" s="89"/>
      <c r="U61" s="89"/>
      <c r="V61" s="89"/>
      <c r="W61" s="89"/>
      <c r="X61" s="89"/>
      <c r="Y61" s="89"/>
      <c r="Z61" s="89"/>
      <c r="AA61" s="89"/>
    </row>
    <row r="62" spans="1:29" ht="20.25">
      <c r="A62" s="89"/>
      <c r="B62" s="155" t="s">
        <v>174</v>
      </c>
      <c r="C62" s="92" t="str">
        <f>_xlfn.XLOOKUP(B62,Talente!A:A,Talente!C:C)</f>
        <v>Klugheit</v>
      </c>
      <c r="D62" s="92">
        <f>_xlfn.XLOOKUP(C62,Eigenschaften!$B$20:$B$27,Eigenschaften!$H$20:$H$27,"NaN",1)</f>
        <v>12</v>
      </c>
      <c r="E62" s="92" t="str">
        <f>_xlfn.XLOOKUP(B62,Talente!A:A,Talente!D:D)</f>
        <v>Fingerfertigkeit</v>
      </c>
      <c r="F62" s="92">
        <f>_xlfn.XLOOKUP(E62,Eigenschaften!$B$20:$B$27,Eigenschaften!$H$20:$H$27,"NaN",1)</f>
        <v>10</v>
      </c>
      <c r="G62" s="92" t="str">
        <f>_xlfn.XLOOKUP(B62,Talente!A:A,Talente!E:E)</f>
        <v>Körperkraft</v>
      </c>
      <c r="H62" s="92">
        <f>_xlfn.XLOOKUP(G62,Eigenschaften!$B$20:$B$27,Eigenschaften!$H$20:$H$27,"NaN",1)</f>
        <v>12</v>
      </c>
      <c r="I62" s="262" t="str">
        <f t="shared" si="15"/>
        <v>Klugheit: 12 | Fingerfertigkeit: 10 | Körperkraft: 12</v>
      </c>
      <c r="J62" s="46" t="str">
        <f>_xlfn.XLOOKUP(B62,Talente!A:A,Talente!F:F)</f>
        <v>B</v>
      </c>
      <c r="K62" s="46" t="str">
        <f>_xlfn.XLOOKUP(B62,Talente!A:A,Talente!G:G)</f>
        <v>-</v>
      </c>
      <c r="L62" s="46">
        <f t="shared" si="16"/>
        <v>0</v>
      </c>
      <c r="M62" s="57"/>
      <c r="N62" s="46">
        <f t="shared" si="17"/>
        <v>15</v>
      </c>
      <c r="O62" s="57">
        <v>0</v>
      </c>
      <c r="P62" s="46">
        <f t="shared" si="18"/>
        <v>0</v>
      </c>
      <c r="Q62" s="57"/>
      <c r="R62" s="154"/>
      <c r="S62" s="154"/>
      <c r="T62" s="89"/>
      <c r="U62" s="89"/>
      <c r="V62" s="89"/>
      <c r="W62" s="89"/>
      <c r="X62" s="89"/>
      <c r="Y62" s="89"/>
      <c r="Z62" s="89"/>
      <c r="AA62" s="89"/>
    </row>
    <row r="63" spans="1:29" ht="20.25">
      <c r="A63" s="89"/>
      <c r="B63" s="155" t="s">
        <v>175</v>
      </c>
      <c r="C63" s="92" t="str">
        <f>_xlfn.XLOOKUP(B63,Talente!A:A,Talente!C:C)</f>
        <v>Fingerfertigkeit</v>
      </c>
      <c r="D63" s="92">
        <f>_xlfn.XLOOKUP(C63,Eigenschaften!$B$20:$B$27,Eigenschaften!$H$20:$H$27,"NaN",1)</f>
        <v>10</v>
      </c>
      <c r="E63" s="92" t="str">
        <f>_xlfn.XLOOKUP(B63,Talente!A:A,Talente!D:D)</f>
        <v>Gewandheit</v>
      </c>
      <c r="F63" s="92">
        <f>_xlfn.XLOOKUP(E63,Eigenschaften!$B$20:$B$27,Eigenschaften!$H$20:$H$27,"NaN",1)</f>
        <v>14</v>
      </c>
      <c r="G63" s="92" t="str">
        <f>_xlfn.XLOOKUP(B63,Talente!A:A,Talente!E:E)</f>
        <v>Körperkraft</v>
      </c>
      <c r="H63" s="92">
        <f>_xlfn.XLOOKUP(G63,Eigenschaften!$B$20:$B$27,Eigenschaften!$H$20:$H$27,"NaN",1)</f>
        <v>12</v>
      </c>
      <c r="I63" s="262" t="str">
        <f t="shared" si="15"/>
        <v>Fingerfertigkeit: 10 | Gewandheit: 14 | Körperkraft: 12</v>
      </c>
      <c r="J63" s="46" t="str">
        <f>_xlfn.XLOOKUP(B63,Talente!A:A,Talente!F:F)</f>
        <v>B</v>
      </c>
      <c r="K63" s="46" t="str">
        <f>_xlfn.XLOOKUP(B63,Talente!A:A,Talente!G:G)</f>
        <v>-</v>
      </c>
      <c r="L63" s="46">
        <f t="shared" si="16"/>
        <v>0</v>
      </c>
      <c r="M63" s="57">
        <v>2</v>
      </c>
      <c r="N63" s="46">
        <f t="shared" si="17"/>
        <v>17</v>
      </c>
      <c r="O63" s="57">
        <v>0</v>
      </c>
      <c r="P63" s="46">
        <f t="shared" si="18"/>
        <v>2</v>
      </c>
      <c r="Q63" s="57"/>
      <c r="R63" s="154"/>
      <c r="S63" s="154"/>
      <c r="T63" s="89"/>
      <c r="U63" s="89"/>
      <c r="V63" s="89"/>
      <c r="W63" s="89"/>
      <c r="X63" s="89"/>
      <c r="Y63" s="89"/>
      <c r="Z63" s="89"/>
      <c r="AA63" s="89"/>
    </row>
    <row r="64" spans="1:29" ht="20.25">
      <c r="A64" s="89"/>
      <c r="B64" s="155" t="s">
        <v>172</v>
      </c>
      <c r="C64" s="92" t="str">
        <f>_xlfn.XLOOKUP(B64,Talente!A:A,Talente!C:C)</f>
        <v>Klugheit</v>
      </c>
      <c r="D64" s="92">
        <f>_xlfn.XLOOKUP(C64,Eigenschaften!$B$20:$B$27,Eigenschaften!$H$20:$H$27,"NaN",1)</f>
        <v>12</v>
      </c>
      <c r="E64" s="92" t="str">
        <f>_xlfn.XLOOKUP(B64,Talente!A:A,Talente!D:D)</f>
        <v>Intuition</v>
      </c>
      <c r="F64" s="92">
        <f>_xlfn.XLOOKUP(E64,Eigenschaften!$B$20:$B$27,Eigenschaften!$H$20:$H$27,"NaN",1)</f>
        <v>15</v>
      </c>
      <c r="G64" s="92" t="str">
        <f>_xlfn.XLOOKUP(B64,Talente!A:A,Talente!E:E)</f>
        <v>Intuition</v>
      </c>
      <c r="H64" s="92">
        <f>_xlfn.XLOOKUP(G64,Eigenschaften!$B$20:$B$27,Eigenschaften!$H$20:$H$27,"NaN",1)</f>
        <v>15</v>
      </c>
      <c r="I64" s="262" t="str">
        <f t="shared" si="15"/>
        <v>Klugheit: 12 | Intuition: 15 | Intuition: 15</v>
      </c>
      <c r="J64" s="46" t="str">
        <f>_xlfn.XLOOKUP(B64,Talente!A:A,Talente!F:F)</f>
        <v>B</v>
      </c>
      <c r="K64" s="46" t="str">
        <f>_xlfn.XLOOKUP(B64,Talente!A:A,Talente!G:G)</f>
        <v>-</v>
      </c>
      <c r="L64" s="46">
        <f t="shared" si="16"/>
        <v>0</v>
      </c>
      <c r="M64" s="57">
        <v>7</v>
      </c>
      <c r="N64" s="46">
        <f t="shared" si="17"/>
        <v>18</v>
      </c>
      <c r="O64" s="57">
        <v>0</v>
      </c>
      <c r="P64" s="46">
        <f t="shared" si="18"/>
        <v>7</v>
      </c>
      <c r="Q64" s="57"/>
      <c r="R64" s="154"/>
      <c r="S64" s="154"/>
      <c r="T64" s="89"/>
      <c r="U64" s="89"/>
      <c r="V64" s="89"/>
      <c r="W64" s="89"/>
      <c r="X64" s="89"/>
      <c r="Y64" s="89"/>
      <c r="Z64" s="89"/>
      <c r="AA64" s="89"/>
    </row>
    <row r="65" spans="1:27" ht="20.25">
      <c r="A65" s="89"/>
      <c r="B65" s="155" t="s">
        <v>173</v>
      </c>
      <c r="C65" s="92" t="str">
        <f>_xlfn.XLOOKUP(B65,Talente!A:A,Talente!C:C)</f>
        <v>Intuition</v>
      </c>
      <c r="D65" s="92">
        <f>_xlfn.XLOOKUP(C65,Eigenschaften!$B$20:$B$27,Eigenschaften!$H$20:$H$27,"NaN",1)</f>
        <v>15</v>
      </c>
      <c r="E65" s="92" t="str">
        <f>_xlfn.XLOOKUP(B65,Talente!A:A,Talente!D:D)</f>
        <v>Gewandheit</v>
      </c>
      <c r="F65" s="92">
        <f>_xlfn.XLOOKUP(E65,Eigenschaften!$B$20:$B$27,Eigenschaften!$H$20:$H$27,"NaN",1)</f>
        <v>14</v>
      </c>
      <c r="G65" s="92" t="str">
        <f>_xlfn.XLOOKUP(B65,Talente!A:A,Talente!E:E)</f>
        <v>Konstitution</v>
      </c>
      <c r="H65" s="92">
        <f>_xlfn.XLOOKUP(G65,Eigenschaften!$B$20:$B$27,Eigenschaften!$H$20:$H$27,"NaN",1)</f>
        <v>12</v>
      </c>
      <c r="I65" s="262" t="str">
        <f t="shared" si="15"/>
        <v>Intuition: 15 | Gewandheit: 14 | Konstitution: 12</v>
      </c>
      <c r="J65" s="46" t="str">
        <f>_xlfn.XLOOKUP(B65,Talente!A:A,Talente!F:F)</f>
        <v>B</v>
      </c>
      <c r="K65" s="46" t="str">
        <f>_xlfn.XLOOKUP(B65,Talente!A:A,Talente!G:G)</f>
        <v>-</v>
      </c>
      <c r="L65" s="46">
        <f t="shared" si="16"/>
        <v>0</v>
      </c>
      <c r="M65" s="57">
        <v>6</v>
      </c>
      <c r="N65" s="46">
        <f t="shared" si="17"/>
        <v>18</v>
      </c>
      <c r="O65" s="57">
        <v>0</v>
      </c>
      <c r="P65" s="46">
        <f t="shared" si="18"/>
        <v>6</v>
      </c>
      <c r="Q65" s="57"/>
      <c r="R65" s="154"/>
      <c r="S65" s="154"/>
      <c r="T65" s="89"/>
      <c r="U65" s="89"/>
      <c r="V65" s="89"/>
      <c r="W65" s="89"/>
      <c r="X65" s="89"/>
      <c r="Y65" s="89"/>
      <c r="Z65" s="89"/>
      <c r="AA65" s="89"/>
    </row>
    <row r="66" spans="1:27" ht="20.25">
      <c r="A66" s="89"/>
      <c r="B66" s="155" t="s">
        <v>176</v>
      </c>
      <c r="C66" s="92" t="str">
        <f>_xlfn.XLOOKUP(B66,Talente!A:A,Talente!C:C)</f>
        <v>Intuition</v>
      </c>
      <c r="D66" s="92">
        <f>_xlfn.XLOOKUP(C66,Eigenschaften!$B$20:$B$27,Eigenschaften!$H$20:$H$27,"NaN",1)</f>
        <v>15</v>
      </c>
      <c r="E66" s="92" t="str">
        <f>_xlfn.XLOOKUP(B66,Talente!A:A,Talente!D:D)</f>
        <v>Fingerfertigkeit</v>
      </c>
      <c r="F66" s="92">
        <f>_xlfn.XLOOKUP(E66,Eigenschaften!$B$20:$B$27,Eigenschaften!$H$20:$H$27,"NaN",1)</f>
        <v>10</v>
      </c>
      <c r="G66" s="92" t="str">
        <f>_xlfn.XLOOKUP(B66,Talente!A:A,Talente!E:E)</f>
        <v>Körperkraft</v>
      </c>
      <c r="H66" s="92">
        <f>_xlfn.XLOOKUP(G66,Eigenschaften!$B$20:$B$27,Eigenschaften!$H$20:$H$27,"NaN",1)</f>
        <v>12</v>
      </c>
      <c r="I66" s="262" t="str">
        <f t="shared" si="15"/>
        <v>Intuition: 15 | Fingerfertigkeit: 10 | Körperkraft: 12</v>
      </c>
      <c r="J66" s="46" t="str">
        <f>_xlfn.XLOOKUP(B66,Talente!A:A,Talente!F:F)</f>
        <v>B</v>
      </c>
      <c r="K66" s="46" t="str">
        <f>_xlfn.XLOOKUP(B66,Talente!A:A,Talente!G:G)</f>
        <v>-</v>
      </c>
      <c r="L66" s="46">
        <f t="shared" si="16"/>
        <v>0</v>
      </c>
      <c r="M66" s="57">
        <v>2</v>
      </c>
      <c r="N66" s="46">
        <f t="shared" si="17"/>
        <v>18</v>
      </c>
      <c r="O66" s="57">
        <v>0</v>
      </c>
      <c r="P66" s="46">
        <f t="shared" si="18"/>
        <v>2</v>
      </c>
      <c r="Q66" s="57"/>
      <c r="R66" s="154"/>
      <c r="S66" s="154"/>
      <c r="T66" s="89"/>
      <c r="U66" s="89"/>
      <c r="V66" s="89"/>
      <c r="W66" s="89"/>
      <c r="X66" s="89"/>
      <c r="Y66" s="89"/>
      <c r="Z66" s="89"/>
      <c r="AA66" s="89"/>
    </row>
    <row r="67" spans="1:27" ht="20.25">
      <c r="A67" s="89"/>
      <c r="B67" s="155" t="s">
        <v>177</v>
      </c>
      <c r="C67" s="92" t="str">
        <f>_xlfn.XLOOKUP(B67,Talente!A:A,Talente!C:C)</f>
        <v>Klugheit</v>
      </c>
      <c r="D67" s="92">
        <f>_xlfn.XLOOKUP(C67,Eigenschaften!$B$20:$B$27,Eigenschaften!$H$20:$H$27,"NaN",1)</f>
        <v>12</v>
      </c>
      <c r="E67" s="92" t="str">
        <f>_xlfn.XLOOKUP(B67,Talente!A:A,Talente!D:D)</f>
        <v>Intuition</v>
      </c>
      <c r="F67" s="92">
        <f>_xlfn.XLOOKUP(E67,Eigenschaften!$B$20:$B$27,Eigenschaften!$H$20:$H$27,"NaN",1)</f>
        <v>15</v>
      </c>
      <c r="G67" s="92" t="str">
        <f>_xlfn.XLOOKUP(B67,Talente!A:A,Talente!E:E)</f>
        <v>Intuition</v>
      </c>
      <c r="H67" s="92">
        <f>_xlfn.XLOOKUP(G67,Eigenschaften!$B$20:$B$27,Eigenschaften!$H$20:$H$27,"NaN",1)</f>
        <v>15</v>
      </c>
      <c r="I67" s="262" t="str">
        <f t="shared" si="15"/>
        <v>Klugheit: 12 | Intuition: 15 | Intuition: 15</v>
      </c>
      <c r="J67" s="46" t="str">
        <f>_xlfn.XLOOKUP(B67,Talente!A:A,Talente!F:F)</f>
        <v>B</v>
      </c>
      <c r="K67" s="46" t="str">
        <f>_xlfn.XLOOKUP(B67,Talente!A:A,Talente!G:G)</f>
        <v>-</v>
      </c>
      <c r="L67" s="46">
        <f t="shared" si="16"/>
        <v>0</v>
      </c>
      <c r="M67" s="57">
        <v>5</v>
      </c>
      <c r="N67" s="46">
        <f t="shared" si="17"/>
        <v>18</v>
      </c>
      <c r="O67" s="57">
        <v>0</v>
      </c>
      <c r="P67" s="46">
        <f t="shared" si="18"/>
        <v>5</v>
      </c>
      <c r="Q67" s="57"/>
      <c r="R67" s="154"/>
      <c r="S67" s="154"/>
      <c r="T67" s="89"/>
      <c r="U67" s="89"/>
      <c r="V67" s="89"/>
      <c r="W67" s="89"/>
      <c r="X67" s="89"/>
      <c r="Y67" s="89"/>
      <c r="Z67" s="89"/>
      <c r="AA67" s="89"/>
    </row>
    <row r="68" spans="1:27" ht="20.25">
      <c r="A68" s="89"/>
      <c r="B68" s="155"/>
      <c r="C68" s="89"/>
      <c r="D68" s="89"/>
      <c r="E68" s="89"/>
      <c r="F68" s="93"/>
      <c r="G68" s="89"/>
      <c r="H68" s="93"/>
      <c r="I68" s="93"/>
      <c r="J68" s="89"/>
      <c r="K68" s="93"/>
      <c r="L68" s="93"/>
      <c r="M68" s="93"/>
      <c r="N68" s="93"/>
      <c r="O68" s="93"/>
      <c r="P68" s="93"/>
      <c r="Q68" s="93"/>
      <c r="R68" s="89"/>
      <c r="S68" s="89"/>
      <c r="T68" s="89"/>
      <c r="U68" s="89"/>
      <c r="V68" s="89"/>
      <c r="W68" s="89"/>
      <c r="X68" s="89"/>
      <c r="Y68" s="89"/>
      <c r="Z68" s="89"/>
      <c r="AA68" s="89"/>
    </row>
    <row r="69" spans="1:27" ht="21">
      <c r="A69" s="89"/>
      <c r="B69" s="155" t="s">
        <v>179</v>
      </c>
      <c r="C69" s="91" t="s">
        <v>232</v>
      </c>
      <c r="D69" s="91" t="s">
        <v>232</v>
      </c>
      <c r="E69" s="91" t="s">
        <v>233</v>
      </c>
      <c r="F69" s="91" t="s">
        <v>233</v>
      </c>
      <c r="G69" s="91" t="s">
        <v>234</v>
      </c>
      <c r="H69" s="91" t="s">
        <v>234</v>
      </c>
      <c r="I69" s="155" t="str">
        <f>I60</f>
        <v>Eigenschaften</v>
      </c>
      <c r="J69" s="155" t="str">
        <f t="shared" ref="J69:R69" si="19">J60</f>
        <v>Kompl.</v>
      </c>
      <c r="K69" s="155" t="str">
        <f t="shared" si="19"/>
        <v>BE</v>
      </c>
      <c r="L69" s="155" t="str">
        <f t="shared" si="19"/>
        <v>eBE</v>
      </c>
      <c r="M69" s="155" t="str">
        <f t="shared" si="19"/>
        <v>TaW</v>
      </c>
      <c r="N69" s="155" t="str">
        <f t="shared" si="19"/>
        <v>max. TaW</v>
      </c>
      <c r="O69" s="155" t="str">
        <f t="shared" si="19"/>
        <v>Mod</v>
      </c>
      <c r="P69" s="155" t="str">
        <f t="shared" si="19"/>
        <v>TaW</v>
      </c>
      <c r="Q69" s="155" t="str">
        <f t="shared" si="19"/>
        <v>SE</v>
      </c>
      <c r="R69" s="155" t="str">
        <f t="shared" si="19"/>
        <v>Spezialisierung</v>
      </c>
      <c r="S69" s="155" t="str">
        <f>S3</f>
        <v>Sonderfertigkeiten</v>
      </c>
      <c r="T69" s="89"/>
      <c r="U69" s="89"/>
      <c r="V69" s="89"/>
      <c r="W69" s="89"/>
      <c r="X69" s="89"/>
      <c r="Y69" s="89"/>
      <c r="Z69" s="89"/>
      <c r="AA69" s="89"/>
    </row>
    <row r="70" spans="1:27" ht="20.25">
      <c r="A70" s="89"/>
      <c r="B70" s="155" t="s">
        <v>185</v>
      </c>
      <c r="C70" s="92" t="str">
        <f>_xlfn.XLOOKUP(B70,Talente!A:A,Talente!C:C)</f>
        <v>Mut</v>
      </c>
      <c r="D70" s="92">
        <f>_xlfn.XLOOKUP(C70,Eigenschaften!$B$20:$B$27,Eigenschaften!$H$20:$H$27,"NaN",1)</f>
        <v>13</v>
      </c>
      <c r="E70" s="92" t="str">
        <f>_xlfn.XLOOKUP(B70,Talente!A:A,Talente!D:D)</f>
        <v>Intuition</v>
      </c>
      <c r="F70" s="92">
        <f>_xlfn.XLOOKUP(E70,Eigenschaften!$B$20:$B$27,Eigenschaften!$H$20:$H$27,"NaN",1)</f>
        <v>15</v>
      </c>
      <c r="G70" s="92" t="str">
        <f>_xlfn.XLOOKUP(B70,Talente!A:A,Talente!E:E)</f>
        <v>Charisma</v>
      </c>
      <c r="H70" s="92">
        <f>_xlfn.XLOOKUP(G70,Eigenschaften!$B$20:$B$27,Eigenschaften!$H$20:$H$27,"NaN",1)</f>
        <v>15</v>
      </c>
      <c r="I70" s="262" t="str">
        <f t="shared" ref="I70:I116" si="20">C70&amp;": "&amp;D70&amp;" | "&amp;E70&amp;": "&amp;F70&amp;" | "&amp;G70&amp;": "&amp;H70</f>
        <v>Mut: 13 | Intuition: 15 | Charisma: 15</v>
      </c>
      <c r="J70" s="46" t="str">
        <f>_xlfn.XLOOKUP(B70,Talente!A:A,Talente!F:F)</f>
        <v>B</v>
      </c>
      <c r="K70" s="46" t="str">
        <f>_xlfn.XLOOKUP(B70,Talente!A:A,Talente!G:G)</f>
        <v>-</v>
      </c>
      <c r="L70" s="46">
        <f t="shared" ref="L70:L116" si="21">IF(NOT(ISERROR(FIND("x",K70))),RIGHT(K70,1)*$H$2,IF(K70&lt;0,IF(($H$2+K70)&gt;0,$H$2+K70,0),IF(K70="-",0,0)))</f>
        <v>0</v>
      </c>
      <c r="M70" s="57">
        <v>3</v>
      </c>
      <c r="N70" s="46">
        <f t="shared" ref="N70:N116" si="22">MAX(D70:H70)+3</f>
        <v>18</v>
      </c>
      <c r="O70" s="57">
        <v>0</v>
      </c>
      <c r="P70" s="46">
        <f t="shared" ref="P70:P116" si="23">IF(M70="-","-",M70-L70+O70)</f>
        <v>3</v>
      </c>
      <c r="Q70" s="57"/>
      <c r="R70" s="154"/>
      <c r="S70" s="154"/>
      <c r="T70" s="89"/>
      <c r="U70" s="89"/>
      <c r="V70" s="89"/>
      <c r="W70" s="89"/>
      <c r="X70" s="89"/>
      <c r="Y70" s="89"/>
      <c r="Z70" s="89"/>
      <c r="AA70" s="89"/>
    </row>
    <row r="71" spans="1:27" ht="20.25">
      <c r="A71" s="89"/>
      <c r="B71" s="155" t="s">
        <v>186</v>
      </c>
      <c r="C71" s="92" t="str">
        <f>_xlfn.XLOOKUP(B71,Talente!A:A,Talente!C:C)</f>
        <v>Intuition</v>
      </c>
      <c r="D71" s="92">
        <f>_xlfn.XLOOKUP(C71,Eigenschaften!$B$20:$B$27,Eigenschaften!$H$20:$H$27,"NaN",1)</f>
        <v>15</v>
      </c>
      <c r="E71" s="92" t="str">
        <f>_xlfn.XLOOKUP(B71,Talente!A:A,Talente!D:D)</f>
        <v>Fingerfertigkeit</v>
      </c>
      <c r="F71" s="92">
        <f>_xlfn.XLOOKUP(E71,Eigenschaften!$B$20:$B$27,Eigenschaften!$H$20:$H$27,"NaN",1)</f>
        <v>10</v>
      </c>
      <c r="G71" s="92" t="str">
        <f>_xlfn.XLOOKUP(B71,Talente!A:A,Talente!E:E)</f>
        <v>Konstitution</v>
      </c>
      <c r="H71" s="92">
        <f>_xlfn.XLOOKUP(G71,Eigenschaften!$B$20:$B$27,Eigenschaften!$H$20:$H$27,"NaN",1)</f>
        <v>12</v>
      </c>
      <c r="I71" s="262" t="str">
        <f t="shared" si="20"/>
        <v>Intuition: 15 | Fingerfertigkeit: 10 | Konstitution: 12</v>
      </c>
      <c r="J71" s="46" t="str">
        <f>_xlfn.XLOOKUP(B71,Talente!A:A,Talente!F:F)</f>
        <v>B</v>
      </c>
      <c r="K71" s="46" t="str">
        <f>_xlfn.XLOOKUP(B71,Talente!A:A,Talente!G:G)</f>
        <v>-</v>
      </c>
      <c r="L71" s="46">
        <f t="shared" si="21"/>
        <v>0</v>
      </c>
      <c r="M71" s="57">
        <v>1</v>
      </c>
      <c r="N71" s="46">
        <f t="shared" si="22"/>
        <v>18</v>
      </c>
      <c r="O71" s="57">
        <v>0</v>
      </c>
      <c r="P71" s="46">
        <f t="shared" si="23"/>
        <v>1</v>
      </c>
      <c r="Q71" s="57"/>
      <c r="R71" s="154"/>
      <c r="S71" s="154"/>
      <c r="T71" s="89"/>
      <c r="U71" s="89"/>
      <c r="V71" s="89"/>
      <c r="W71" s="89"/>
      <c r="X71" s="89"/>
      <c r="Y71" s="89"/>
      <c r="Z71" s="89"/>
      <c r="AA71" s="89"/>
    </row>
    <row r="72" spans="1:27" ht="20.25">
      <c r="A72" s="89"/>
      <c r="B72" s="155" t="s">
        <v>187</v>
      </c>
      <c r="C72" s="92" t="str">
        <f>_xlfn.XLOOKUP(B72,Talente!A:A,Talente!C:C)</f>
        <v>Mut</v>
      </c>
      <c r="D72" s="92">
        <f>_xlfn.XLOOKUP(C72,Eigenschaften!$B$20:$B$27,Eigenschaften!$H$20:$H$27,"NaN",1)</f>
        <v>13</v>
      </c>
      <c r="E72" s="92" t="str">
        <f>_xlfn.XLOOKUP(B72,Talente!A:A,Talente!D:D)</f>
        <v>Klugheit</v>
      </c>
      <c r="F72" s="92">
        <f>_xlfn.XLOOKUP(E72,Eigenschaften!$B$20:$B$27,Eigenschaften!$H$20:$H$27,"NaN",1)</f>
        <v>12</v>
      </c>
      <c r="G72" s="92" t="str">
        <f>_xlfn.XLOOKUP(B72,Talente!A:A,Talente!E:E)</f>
        <v>Fingerfertigkeit</v>
      </c>
      <c r="H72" s="92">
        <f>_xlfn.XLOOKUP(G72,Eigenschaften!$B$20:$B$27,Eigenschaften!$H$20:$H$27,"NaN",1)</f>
        <v>10</v>
      </c>
      <c r="I72" s="262" t="str">
        <f t="shared" si="20"/>
        <v>Mut: 13 | Klugheit: 12 | Fingerfertigkeit: 10</v>
      </c>
      <c r="J72" s="46" t="s">
        <v>128</v>
      </c>
      <c r="K72" s="46" t="str">
        <f>_xlfn.XLOOKUP(B72,Talente!A:A,Talente!G:G)</f>
        <v>-</v>
      </c>
      <c r="L72" s="46">
        <f t="shared" si="21"/>
        <v>0</v>
      </c>
      <c r="M72" s="57">
        <v>10</v>
      </c>
      <c r="N72" s="46">
        <f t="shared" si="22"/>
        <v>16</v>
      </c>
      <c r="O72" s="57">
        <v>0</v>
      </c>
      <c r="P72" s="46">
        <f t="shared" si="23"/>
        <v>10</v>
      </c>
      <c r="Q72" s="57"/>
      <c r="R72" s="154"/>
      <c r="S72" s="154"/>
      <c r="T72" s="89"/>
      <c r="U72" s="89"/>
      <c r="V72" s="89"/>
      <c r="W72" s="89"/>
      <c r="X72" s="89"/>
      <c r="Y72" s="89"/>
      <c r="Z72" s="89"/>
      <c r="AA72" s="89"/>
    </row>
    <row r="73" spans="1:27" ht="20.25" hidden="1">
      <c r="A73" s="89"/>
      <c r="B73" s="155" t="s">
        <v>188</v>
      </c>
      <c r="C73" s="92" t="str">
        <f>_xlfn.XLOOKUP(B73,Talente!A:A,Talente!C:C)</f>
        <v>Intuition</v>
      </c>
      <c r="D73" s="92">
        <f>_xlfn.XLOOKUP(C73,Eigenschaften!$B$20:$B$27,Eigenschaften!$H$20:$H$27,"NaN",1)</f>
        <v>15</v>
      </c>
      <c r="E73" s="92" t="str">
        <f>_xlfn.XLOOKUP(B73,Talente!A:A,Talente!D:D)</f>
        <v>Konstitution</v>
      </c>
      <c r="F73" s="92">
        <f>_xlfn.XLOOKUP(E73,Eigenschaften!$B$20:$B$27,Eigenschaften!$H$20:$H$27,"NaN",1)</f>
        <v>12</v>
      </c>
      <c r="G73" s="92" t="str">
        <f>_xlfn.XLOOKUP(B73,Talente!A:A,Talente!E:E)</f>
        <v>Körperkraft</v>
      </c>
      <c r="H73" s="92">
        <f>_xlfn.XLOOKUP(G73,Eigenschaften!$B$20:$B$27,Eigenschaften!$H$20:$H$27,"NaN",1)</f>
        <v>12</v>
      </c>
      <c r="I73" s="262" t="str">
        <f t="shared" si="20"/>
        <v>Intuition: 15 | Konstitution: 12 | Körperkraft: 12</v>
      </c>
      <c r="J73" s="46" t="str">
        <f>_xlfn.XLOOKUP(B73,Talente!A:A,Talente!F:F)</f>
        <v>B</v>
      </c>
      <c r="K73" s="46" t="str">
        <f>_xlfn.XLOOKUP(B73,Talente!A:A,Talente!G:G)</f>
        <v>-</v>
      </c>
      <c r="L73" s="46">
        <f t="shared" si="21"/>
        <v>0</v>
      </c>
      <c r="M73" s="57"/>
      <c r="N73" s="46">
        <f t="shared" si="22"/>
        <v>18</v>
      </c>
      <c r="O73" s="57">
        <v>0</v>
      </c>
      <c r="P73" s="46">
        <f t="shared" si="23"/>
        <v>0</v>
      </c>
      <c r="Q73" s="57"/>
      <c r="R73" s="154"/>
      <c r="S73" s="154"/>
      <c r="T73" s="89"/>
      <c r="U73" s="89"/>
      <c r="V73" s="89"/>
      <c r="W73" s="89"/>
      <c r="X73" s="89"/>
      <c r="Y73" s="89"/>
      <c r="Z73" s="89"/>
      <c r="AA73" s="89"/>
    </row>
    <row r="74" spans="1:27" ht="20.25" hidden="1">
      <c r="A74" s="89"/>
      <c r="B74" s="155" t="s">
        <v>189</v>
      </c>
      <c r="C74" s="92" t="str">
        <f>_xlfn.XLOOKUP(B74,Talente!A:A,Talente!C:C)</f>
        <v>Klugheit</v>
      </c>
      <c r="D74" s="92">
        <f>_xlfn.XLOOKUP(C74,Eigenschaften!$B$20:$B$27,Eigenschaften!$H$20:$H$27,"NaN",1)</f>
        <v>12</v>
      </c>
      <c r="E74" s="92" t="str">
        <f>_xlfn.XLOOKUP(B74,Talente!A:A,Talente!D:D)</f>
        <v>Intuition</v>
      </c>
      <c r="F74" s="92">
        <f>_xlfn.XLOOKUP(E74,Eigenschaften!$B$20:$B$27,Eigenschaften!$H$20:$H$27,"NaN",1)</f>
        <v>15</v>
      </c>
      <c r="G74" s="92" t="str">
        <f>_xlfn.XLOOKUP(B74,Talente!A:A,Talente!E:E)</f>
        <v>Fingerfertigkeit</v>
      </c>
      <c r="H74" s="92">
        <f>_xlfn.XLOOKUP(G74,Eigenschaften!$B$20:$B$27,Eigenschaften!$H$20:$H$27,"NaN",1)</f>
        <v>10</v>
      </c>
      <c r="I74" s="262" t="str">
        <f t="shared" si="20"/>
        <v>Klugheit: 12 | Intuition: 15 | Fingerfertigkeit: 10</v>
      </c>
      <c r="J74" s="46" t="str">
        <f>_xlfn.XLOOKUP(B74,Talente!A:A,Talente!F:F)</f>
        <v>B</v>
      </c>
      <c r="K74" s="46" t="str">
        <f>_xlfn.XLOOKUP(B74,Talente!A:A,Talente!G:G)</f>
        <v>-</v>
      </c>
      <c r="L74" s="46">
        <f t="shared" si="21"/>
        <v>0</v>
      </c>
      <c r="M74" s="57"/>
      <c r="N74" s="46">
        <f t="shared" si="22"/>
        <v>18</v>
      </c>
      <c r="O74" s="57">
        <v>0</v>
      </c>
      <c r="P74" s="46">
        <f t="shared" si="23"/>
        <v>0</v>
      </c>
      <c r="Q74" s="57"/>
      <c r="R74" s="154"/>
      <c r="S74" s="154"/>
      <c r="T74" s="89"/>
      <c r="U74" s="89"/>
      <c r="V74" s="89"/>
      <c r="W74" s="89"/>
      <c r="X74" s="89"/>
      <c r="Y74" s="89"/>
      <c r="Z74" s="89"/>
      <c r="AA74" s="89"/>
    </row>
    <row r="75" spans="1:27" ht="20.25" hidden="1">
      <c r="B75" s="155" t="s">
        <v>190</v>
      </c>
      <c r="C75" s="92" t="str">
        <f>_xlfn.XLOOKUP(B75,Talente!A:A,Talente!C:C)</f>
        <v>Gewandheit</v>
      </c>
      <c r="D75" s="92">
        <f>_xlfn.XLOOKUP(C75,Eigenschaften!$B$20:$B$27,Eigenschaften!$H$20:$H$27,"NaN",1)</f>
        <v>14</v>
      </c>
      <c r="E75" s="92" t="str">
        <f>_xlfn.XLOOKUP(B75,Talente!A:A,Talente!D:D)</f>
        <v>Konstitution</v>
      </c>
      <c r="F75" s="92">
        <f>_xlfn.XLOOKUP(E75,Eigenschaften!$B$20:$B$27,Eigenschaften!$H$20:$H$27,"NaN",1)</f>
        <v>12</v>
      </c>
      <c r="G75" s="92" t="str">
        <f>_xlfn.XLOOKUP(B75,Talente!A:A,Talente!E:E)</f>
        <v>Körperkraft</v>
      </c>
      <c r="H75" s="92">
        <f>_xlfn.XLOOKUP(G75,Eigenschaften!$B$20:$B$27,Eigenschaften!$H$20:$H$27,"NaN",1)</f>
        <v>12</v>
      </c>
      <c r="I75" s="262" t="str">
        <f t="shared" si="20"/>
        <v>Gewandheit: 14 | Konstitution: 12 | Körperkraft: 12</v>
      </c>
      <c r="J75" s="46" t="str">
        <f>_xlfn.XLOOKUP(B75,Talente!A:A,Talente!F:F)</f>
        <v>B</v>
      </c>
      <c r="K75" s="46" t="str">
        <f>_xlfn.XLOOKUP(B75,Talente!A:A,Talente!G:G)</f>
        <v>-</v>
      </c>
      <c r="L75" s="46">
        <f t="shared" si="21"/>
        <v>0</v>
      </c>
      <c r="M75" s="57"/>
      <c r="N75" s="46">
        <f t="shared" si="22"/>
        <v>17</v>
      </c>
      <c r="O75" s="57">
        <v>0</v>
      </c>
      <c r="P75" s="46">
        <f t="shared" si="23"/>
        <v>0</v>
      </c>
      <c r="Q75" s="57"/>
      <c r="R75" s="154"/>
      <c r="S75" s="154"/>
      <c r="T75" s="89"/>
      <c r="U75" s="89"/>
      <c r="V75" s="89"/>
      <c r="W75" s="89"/>
      <c r="X75" s="89"/>
      <c r="Y75" s="89"/>
      <c r="Z75" s="89"/>
      <c r="AA75" s="89"/>
    </row>
    <row r="76" spans="1:27" ht="20.25" hidden="1">
      <c r="B76" s="155" t="s">
        <v>191</v>
      </c>
      <c r="C76" s="92" t="str">
        <f>_xlfn.XLOOKUP(B76,Talente!A:A,Talente!C:C)</f>
        <v>Klugheit</v>
      </c>
      <c r="D76" s="92">
        <f>_xlfn.XLOOKUP(C76,Eigenschaften!$B$20:$B$27,Eigenschaften!$H$20:$H$27,"NaN",1)</f>
        <v>12</v>
      </c>
      <c r="E76" s="92" t="str">
        <f>_xlfn.XLOOKUP(B76,Talente!A:A,Talente!D:D)</f>
        <v>Fingerfertigkeit</v>
      </c>
      <c r="F76" s="92">
        <f>_xlfn.XLOOKUP(E76,Eigenschaften!$B$20:$B$27,Eigenschaften!$H$20:$H$27,"NaN",1)</f>
        <v>10</v>
      </c>
      <c r="G76" s="92" t="str">
        <f>_xlfn.XLOOKUP(B76,Talente!A:A,Talente!E:E)</f>
        <v>Körperkraft</v>
      </c>
      <c r="H76" s="92">
        <f>_xlfn.XLOOKUP(G76,Eigenschaften!$B$20:$B$27,Eigenschaften!$H$20:$H$27,"NaN",1)</f>
        <v>12</v>
      </c>
      <c r="I76" s="262" t="str">
        <f t="shared" si="20"/>
        <v>Klugheit: 12 | Fingerfertigkeit: 10 | Körperkraft: 12</v>
      </c>
      <c r="J76" s="46" t="str">
        <f>_xlfn.XLOOKUP(B76,Talente!A:A,Talente!F:F)</f>
        <v>B</v>
      </c>
      <c r="K76" s="46" t="str">
        <f>_xlfn.XLOOKUP(B76,Talente!A:A,Talente!G:G)</f>
        <v>-</v>
      </c>
      <c r="L76" s="46">
        <f t="shared" si="21"/>
        <v>0</v>
      </c>
      <c r="M76" s="57"/>
      <c r="N76" s="46">
        <f t="shared" si="22"/>
        <v>15</v>
      </c>
      <c r="O76" s="57">
        <v>0</v>
      </c>
      <c r="P76" s="46">
        <f t="shared" si="23"/>
        <v>0</v>
      </c>
      <c r="Q76" s="57"/>
      <c r="R76" s="154"/>
      <c r="S76" s="154"/>
      <c r="T76" s="89"/>
      <c r="U76" s="89"/>
      <c r="V76" s="89"/>
      <c r="W76" s="89"/>
      <c r="X76" s="89"/>
      <c r="Y76" s="89"/>
      <c r="Z76" s="89"/>
      <c r="AA76" s="89"/>
    </row>
    <row r="77" spans="1:27" ht="20.25" hidden="1">
      <c r="B77" s="155" t="s">
        <v>192</v>
      </c>
      <c r="C77" s="92" t="str">
        <f>_xlfn.XLOOKUP(B77,Talente!A:A,Talente!C:C)</f>
        <v>Klugheit</v>
      </c>
      <c r="D77" s="92">
        <f>_xlfn.XLOOKUP(C77,Eigenschaften!$B$20:$B$27,Eigenschaften!$H$20:$H$27,"NaN",1)</f>
        <v>12</v>
      </c>
      <c r="E77" s="92" t="str">
        <f>_xlfn.XLOOKUP(B77,Talente!A:A,Talente!D:D)</f>
        <v>Fingerfertigkeit</v>
      </c>
      <c r="F77" s="92">
        <f>_xlfn.XLOOKUP(E77,Eigenschaften!$B$20:$B$27,Eigenschaften!$H$20:$H$27,"NaN",1)</f>
        <v>10</v>
      </c>
      <c r="G77" s="92" t="str">
        <f>_xlfn.XLOOKUP(B77,Talente!A:A,Talente!E:E)</f>
        <v>Körperkraft</v>
      </c>
      <c r="H77" s="92">
        <f>_xlfn.XLOOKUP(G77,Eigenschaften!$B$20:$B$27,Eigenschaften!$H$20:$H$27,"NaN",1)</f>
        <v>12</v>
      </c>
      <c r="I77" s="262" t="str">
        <f t="shared" si="20"/>
        <v>Klugheit: 12 | Fingerfertigkeit: 10 | Körperkraft: 12</v>
      </c>
      <c r="J77" s="46" t="str">
        <f>_xlfn.XLOOKUP(B77,Talente!A:A,Talente!F:F)</f>
        <v>B</v>
      </c>
      <c r="K77" s="46" t="str">
        <f>_xlfn.XLOOKUP(B77,Talente!A:A,Talente!G:G)</f>
        <v>-</v>
      </c>
      <c r="L77" s="46">
        <f t="shared" si="21"/>
        <v>0</v>
      </c>
      <c r="M77" s="57"/>
      <c r="N77" s="46">
        <f t="shared" si="22"/>
        <v>15</v>
      </c>
      <c r="O77" s="57">
        <v>0</v>
      </c>
      <c r="P77" s="46">
        <f t="shared" si="23"/>
        <v>0</v>
      </c>
      <c r="Q77" s="57"/>
      <c r="R77" s="154"/>
      <c r="S77" s="154"/>
      <c r="T77" s="89"/>
      <c r="U77" s="89"/>
      <c r="V77" s="89"/>
      <c r="W77" s="89"/>
      <c r="X77" s="89"/>
      <c r="Y77" s="89"/>
      <c r="Z77" s="89"/>
      <c r="AA77" s="89"/>
    </row>
    <row r="78" spans="1:27" ht="20.25" hidden="1">
      <c r="B78" s="155" t="s">
        <v>193</v>
      </c>
      <c r="C78" s="92" t="str">
        <f>_xlfn.XLOOKUP(B78,Talente!A:A,Talente!C:C)</f>
        <v>Intuition</v>
      </c>
      <c r="D78" s="92">
        <f>_xlfn.XLOOKUP(C78,Eigenschaften!$B$20:$B$27,Eigenschaften!$H$20:$H$27,"NaN",1)</f>
        <v>15</v>
      </c>
      <c r="E78" s="92" t="str">
        <f>_xlfn.XLOOKUP(B78,Talente!A:A,Talente!D:D)</f>
        <v>Charisma</v>
      </c>
      <c r="F78" s="92">
        <f>_xlfn.XLOOKUP(E78,Eigenschaften!$B$20:$B$27,Eigenschaften!$H$20:$H$27,"NaN",1)</f>
        <v>15</v>
      </c>
      <c r="G78" s="92" t="str">
        <f>_xlfn.XLOOKUP(B78,Talente!A:A,Talente!E:E)</f>
        <v>Fingerfertigkeit</v>
      </c>
      <c r="H78" s="92">
        <f>_xlfn.XLOOKUP(G78,Eigenschaften!$B$20:$B$27,Eigenschaften!$H$20:$H$27,"NaN",1)</f>
        <v>10</v>
      </c>
      <c r="I78" s="262" t="str">
        <f t="shared" si="20"/>
        <v>Intuition: 15 | Charisma: 15 | Fingerfertigkeit: 10</v>
      </c>
      <c r="J78" s="46" t="str">
        <f>_xlfn.XLOOKUP(B78,Talente!A:A,Talente!F:F)</f>
        <v>B</v>
      </c>
      <c r="K78" s="46" t="str">
        <f>_xlfn.XLOOKUP(B78,Talente!A:A,Talente!G:G)</f>
        <v>-</v>
      </c>
      <c r="L78" s="46">
        <f t="shared" si="21"/>
        <v>0</v>
      </c>
      <c r="M78" s="57"/>
      <c r="N78" s="46">
        <f t="shared" si="22"/>
        <v>18</v>
      </c>
      <c r="O78" s="57">
        <v>0</v>
      </c>
      <c r="P78" s="46">
        <f t="shared" si="23"/>
        <v>0</v>
      </c>
      <c r="Q78" s="57"/>
      <c r="R78" s="154"/>
      <c r="S78" s="154"/>
      <c r="T78" s="89"/>
      <c r="U78" s="89"/>
      <c r="V78" s="89"/>
      <c r="W78" s="89"/>
      <c r="X78" s="89"/>
      <c r="Y78" s="89"/>
      <c r="Z78" s="89"/>
      <c r="AA78" s="89"/>
    </row>
    <row r="79" spans="1:27" ht="20.25" hidden="1">
      <c r="B79" s="155" t="s">
        <v>194</v>
      </c>
      <c r="C79" s="92" t="str">
        <f>_xlfn.XLOOKUP(B79,Talente!A:A,Talente!C:C)</f>
        <v>Mut</v>
      </c>
      <c r="D79" s="92">
        <f>_xlfn.XLOOKUP(C79,Eigenschaften!$B$20:$B$27,Eigenschaften!$H$20:$H$27,"NaN",1)</f>
        <v>13</v>
      </c>
      <c r="E79" s="92" t="str">
        <f>_xlfn.XLOOKUP(B79,Talente!A:A,Talente!D:D)</f>
        <v>Charisma</v>
      </c>
      <c r="F79" s="92">
        <f>_xlfn.XLOOKUP(E79,Eigenschaften!$B$20:$B$27,Eigenschaften!$H$20:$H$27,"NaN",1)</f>
        <v>15</v>
      </c>
      <c r="G79" s="92" t="str">
        <f>_xlfn.XLOOKUP(B79,Talente!A:A,Talente!E:E)</f>
        <v>Fingerfertigkeit</v>
      </c>
      <c r="H79" s="92">
        <f>_xlfn.XLOOKUP(G79,Eigenschaften!$B$20:$B$27,Eigenschaften!$H$20:$H$27,"NaN",1)</f>
        <v>10</v>
      </c>
      <c r="I79" s="262" t="str">
        <f t="shared" si="20"/>
        <v>Mut: 13 | Charisma: 15 | Fingerfertigkeit: 10</v>
      </c>
      <c r="J79" s="46" t="str">
        <f>_xlfn.XLOOKUP(B79,Talente!A:A,Talente!F:F)</f>
        <v>B</v>
      </c>
      <c r="K79" s="46" t="str">
        <f>_xlfn.XLOOKUP(B79,Talente!A:A,Talente!G:G)</f>
        <v>-</v>
      </c>
      <c r="L79" s="46">
        <f t="shared" si="21"/>
        <v>0</v>
      </c>
      <c r="M79" s="57"/>
      <c r="N79" s="46">
        <f t="shared" si="22"/>
        <v>18</v>
      </c>
      <c r="O79" s="57">
        <v>0</v>
      </c>
      <c r="P79" s="46">
        <f t="shared" si="23"/>
        <v>0</v>
      </c>
      <c r="Q79" s="57"/>
      <c r="R79" s="154"/>
      <c r="S79" s="154"/>
      <c r="T79" s="89"/>
      <c r="U79" s="89"/>
      <c r="V79" s="89"/>
      <c r="W79" s="89"/>
      <c r="X79" s="89"/>
      <c r="Y79" s="89"/>
      <c r="Z79" s="89"/>
      <c r="AA79" s="89"/>
    </row>
    <row r="80" spans="1:27" ht="20.25" hidden="1">
      <c r="B80" s="155" t="s">
        <v>195</v>
      </c>
      <c r="C80" s="92" t="str">
        <f>_xlfn.XLOOKUP(B80,Talente!A:A,Talente!C:C)</f>
        <v>Klugheit</v>
      </c>
      <c r="D80" s="92">
        <f>_xlfn.XLOOKUP(C80,Eigenschaften!$B$20:$B$27,Eigenschaften!$H$20:$H$27,"NaN",1)</f>
        <v>12</v>
      </c>
      <c r="E80" s="92" t="str">
        <f>_xlfn.XLOOKUP(B80,Talente!A:A,Talente!D:D)</f>
        <v>Fingerfertigkeit</v>
      </c>
      <c r="F80" s="92">
        <f>_xlfn.XLOOKUP(E80,Eigenschaften!$B$20:$B$27,Eigenschaften!$H$20:$H$27,"NaN",1)</f>
        <v>10</v>
      </c>
      <c r="G80" s="92" t="str">
        <f>_xlfn.XLOOKUP(B80,Talente!A:A,Talente!E:E)</f>
        <v>Fingerfertigkeit</v>
      </c>
      <c r="H80" s="92">
        <f>_xlfn.XLOOKUP(G80,Eigenschaften!$B$20:$B$27,Eigenschaften!$H$20:$H$27,"NaN",1)</f>
        <v>10</v>
      </c>
      <c r="I80" s="262" t="str">
        <f t="shared" si="20"/>
        <v>Klugheit: 12 | Fingerfertigkeit: 10 | Fingerfertigkeit: 10</v>
      </c>
      <c r="J80" s="46" t="str">
        <f>_xlfn.XLOOKUP(B80,Talente!A:A,Talente!F:F)</f>
        <v>B</v>
      </c>
      <c r="K80" s="46" t="str">
        <f>_xlfn.XLOOKUP(B80,Talente!A:A,Talente!G:G)</f>
        <v>-</v>
      </c>
      <c r="L80" s="46">
        <f t="shared" si="21"/>
        <v>0</v>
      </c>
      <c r="M80" s="57"/>
      <c r="N80" s="46">
        <f t="shared" si="22"/>
        <v>15</v>
      </c>
      <c r="O80" s="57">
        <v>0</v>
      </c>
      <c r="P80" s="46">
        <f t="shared" si="23"/>
        <v>0</v>
      </c>
      <c r="Q80" s="57"/>
      <c r="R80" s="154"/>
      <c r="S80" s="154"/>
      <c r="T80" s="89"/>
      <c r="U80" s="89"/>
      <c r="V80" s="89"/>
      <c r="W80" s="89"/>
      <c r="X80" s="89"/>
      <c r="Y80" s="89"/>
      <c r="Z80" s="89"/>
      <c r="AA80" s="89"/>
    </row>
    <row r="81" spans="2:27" ht="20.25" hidden="1">
      <c r="B81" s="155" t="s">
        <v>196</v>
      </c>
      <c r="C81" s="92" t="str">
        <f>_xlfn.XLOOKUP(B81,Talente!A:A,Talente!C:C)</f>
        <v>Klugheit</v>
      </c>
      <c r="D81" s="92">
        <f>_xlfn.XLOOKUP(C81,Eigenschaften!$B$20:$B$27,Eigenschaften!$H$20:$H$27,"NaN",1)</f>
        <v>12</v>
      </c>
      <c r="E81" s="92" t="str">
        <f>_xlfn.XLOOKUP(B81,Talente!A:A,Talente!D:D)</f>
        <v>Fingerfertigkeit</v>
      </c>
      <c r="F81" s="92">
        <f>_xlfn.XLOOKUP(E81,Eigenschaften!$B$20:$B$27,Eigenschaften!$H$20:$H$27,"NaN",1)</f>
        <v>10</v>
      </c>
      <c r="G81" s="92" t="str">
        <f>_xlfn.XLOOKUP(B81,Talente!A:A,Talente!E:E)</f>
        <v>Fingerfertigkeit</v>
      </c>
      <c r="H81" s="92">
        <f>_xlfn.XLOOKUP(G81,Eigenschaften!$B$20:$B$27,Eigenschaften!$H$20:$H$27,"NaN",1)</f>
        <v>10</v>
      </c>
      <c r="I81" s="262" t="str">
        <f t="shared" si="20"/>
        <v>Klugheit: 12 | Fingerfertigkeit: 10 | Fingerfertigkeit: 10</v>
      </c>
      <c r="J81" s="46" t="str">
        <f>_xlfn.XLOOKUP(B81,Talente!A:A,Talente!F:F)</f>
        <v>B</v>
      </c>
      <c r="K81" s="46" t="str">
        <f>_xlfn.XLOOKUP(B81,Talente!A:A,Talente!G:G)</f>
        <v>-</v>
      </c>
      <c r="L81" s="46">
        <f t="shared" si="21"/>
        <v>0</v>
      </c>
      <c r="M81" s="57"/>
      <c r="N81" s="46">
        <f t="shared" si="22"/>
        <v>15</v>
      </c>
      <c r="O81" s="57">
        <v>0</v>
      </c>
      <c r="P81" s="46">
        <f t="shared" si="23"/>
        <v>0</v>
      </c>
      <c r="Q81" s="57"/>
      <c r="R81" s="154"/>
      <c r="S81" s="154"/>
      <c r="T81" s="89"/>
      <c r="U81" s="89"/>
      <c r="V81" s="89"/>
      <c r="W81" s="89"/>
      <c r="X81" s="89"/>
      <c r="Y81" s="89"/>
      <c r="Z81" s="89"/>
      <c r="AA81" s="89"/>
    </row>
    <row r="82" spans="2:27" ht="20.25" hidden="1">
      <c r="B82" s="155" t="s">
        <v>197</v>
      </c>
      <c r="C82" s="92" t="str">
        <f>_xlfn.XLOOKUP(B82,Talente!A:A,Talente!C:C)</f>
        <v>Klugheit</v>
      </c>
      <c r="D82" s="92">
        <f>_xlfn.XLOOKUP(C82,Eigenschaften!$B$20:$B$27,Eigenschaften!$H$20:$H$27,"NaN",1)</f>
        <v>12</v>
      </c>
      <c r="E82" s="92" t="str">
        <f>_xlfn.XLOOKUP(B82,Talente!A:A,Talente!D:D)</f>
        <v>Fingerfertigkeit</v>
      </c>
      <c r="F82" s="92">
        <f>_xlfn.XLOOKUP(E82,Eigenschaften!$B$20:$B$27,Eigenschaften!$H$20:$H$27,"NaN",1)</f>
        <v>10</v>
      </c>
      <c r="G82" s="92" t="str">
        <f>_xlfn.XLOOKUP(B82,Talente!A:A,Talente!E:E)</f>
        <v>Körperkraft</v>
      </c>
      <c r="H82" s="92">
        <f>_xlfn.XLOOKUP(G82,Eigenschaften!$B$20:$B$27,Eigenschaften!$H$20:$H$27,"NaN",1)</f>
        <v>12</v>
      </c>
      <c r="I82" s="262" t="str">
        <f t="shared" si="20"/>
        <v>Klugheit: 12 | Fingerfertigkeit: 10 | Körperkraft: 12</v>
      </c>
      <c r="J82" s="46" t="str">
        <f>_xlfn.XLOOKUP(B82,Talente!A:A,Talente!F:F)</f>
        <v>B</v>
      </c>
      <c r="K82" s="46" t="str">
        <f>_xlfn.XLOOKUP(B82,Talente!A:A,Talente!G:G)</f>
        <v>-</v>
      </c>
      <c r="L82" s="46">
        <f t="shared" si="21"/>
        <v>0</v>
      </c>
      <c r="M82" s="57"/>
      <c r="N82" s="46">
        <f t="shared" si="22"/>
        <v>15</v>
      </c>
      <c r="O82" s="57">
        <v>0</v>
      </c>
      <c r="P82" s="46">
        <f t="shared" si="23"/>
        <v>0</v>
      </c>
      <c r="Q82" s="57"/>
      <c r="R82" s="154"/>
      <c r="S82" s="154"/>
      <c r="T82" s="89"/>
      <c r="U82" s="89"/>
      <c r="V82" s="89"/>
      <c r="W82" s="89"/>
      <c r="X82" s="89"/>
      <c r="Y82" s="89"/>
      <c r="Z82" s="89"/>
      <c r="AA82" s="89"/>
    </row>
    <row r="83" spans="2:27" ht="20.25" hidden="1">
      <c r="B83" s="155" t="s">
        <v>198</v>
      </c>
      <c r="C83" s="92" t="str">
        <f>_xlfn.XLOOKUP(B83,Talente!A:A,Talente!C:C)</f>
        <v>Klugheit</v>
      </c>
      <c r="D83" s="92">
        <f>_xlfn.XLOOKUP(C83,Eigenschaften!$B$20:$B$27,Eigenschaften!$H$20:$H$27,"NaN",1)</f>
        <v>12</v>
      </c>
      <c r="E83" s="92" t="str">
        <f>_xlfn.XLOOKUP(B83,Talente!A:A,Talente!D:D)</f>
        <v>Fingerfertigkeit</v>
      </c>
      <c r="F83" s="92">
        <f>_xlfn.XLOOKUP(E83,Eigenschaften!$B$20:$B$27,Eigenschaften!$H$20:$H$27,"NaN",1)</f>
        <v>10</v>
      </c>
      <c r="G83" s="92" t="str">
        <f>_xlfn.XLOOKUP(B83,Talente!A:A,Talente!E:E)</f>
        <v>Konstitution</v>
      </c>
      <c r="H83" s="92">
        <f>_xlfn.XLOOKUP(G83,Eigenschaften!$B$20:$B$27,Eigenschaften!$H$20:$H$27,"NaN",1)</f>
        <v>12</v>
      </c>
      <c r="I83" s="262" t="str">
        <f t="shared" si="20"/>
        <v>Klugheit: 12 | Fingerfertigkeit: 10 | Konstitution: 12</v>
      </c>
      <c r="J83" s="46" t="str">
        <f>_xlfn.XLOOKUP(B83,Talente!A:A,Talente!F:F)</f>
        <v>B</v>
      </c>
      <c r="K83" s="46" t="str">
        <f>_xlfn.XLOOKUP(B83,Talente!A:A,Talente!G:G)</f>
        <v>-</v>
      </c>
      <c r="L83" s="46">
        <f t="shared" si="21"/>
        <v>0</v>
      </c>
      <c r="M83" s="57"/>
      <c r="N83" s="46">
        <f t="shared" si="22"/>
        <v>15</v>
      </c>
      <c r="O83" s="57">
        <v>0</v>
      </c>
      <c r="P83" s="46">
        <f t="shared" si="23"/>
        <v>0</v>
      </c>
      <c r="Q83" s="57"/>
      <c r="R83" s="154"/>
      <c r="S83" s="154"/>
      <c r="T83" s="89"/>
      <c r="U83" s="89"/>
      <c r="V83" s="89"/>
      <c r="W83" s="89"/>
      <c r="X83" s="89"/>
      <c r="Y83" s="89"/>
      <c r="Z83" s="89"/>
      <c r="AA83" s="89"/>
    </row>
    <row r="84" spans="2:27" ht="20.25" hidden="1">
      <c r="B84" s="155" t="s">
        <v>199</v>
      </c>
      <c r="C84" s="92" t="str">
        <f>_xlfn.XLOOKUP(B84,Talente!A:A,Talente!C:C)</f>
        <v>Klugheit</v>
      </c>
      <c r="D84" s="92">
        <f>_xlfn.XLOOKUP(C84,Eigenschaften!$B$20:$B$27,Eigenschaften!$H$20:$H$27,"NaN",1)</f>
        <v>12</v>
      </c>
      <c r="E84" s="92" t="str">
        <f>_xlfn.XLOOKUP(B84,Talente!A:A,Talente!D:D)</f>
        <v>Fingerfertigkeit</v>
      </c>
      <c r="F84" s="92">
        <f>_xlfn.XLOOKUP(E84,Eigenschaften!$B$20:$B$27,Eigenschaften!$H$20:$H$27,"NaN",1)</f>
        <v>10</v>
      </c>
      <c r="G84" s="92" t="str">
        <f>_xlfn.XLOOKUP(B84,Talente!A:A,Talente!E:E)</f>
        <v>Konstitution</v>
      </c>
      <c r="H84" s="92">
        <f>_xlfn.XLOOKUP(G84,Eigenschaften!$B$20:$B$27,Eigenschaften!$H$20:$H$27,"NaN",1)</f>
        <v>12</v>
      </c>
      <c r="I84" s="262" t="str">
        <f t="shared" si="20"/>
        <v>Klugheit: 12 | Fingerfertigkeit: 10 | Konstitution: 12</v>
      </c>
      <c r="J84" s="46" t="str">
        <f>_xlfn.XLOOKUP(B84,Talente!A:A,Talente!F:F)</f>
        <v>B</v>
      </c>
      <c r="K84" s="46" t="str">
        <f>_xlfn.XLOOKUP(B84,Talente!A:A,Talente!G:G)</f>
        <v>-</v>
      </c>
      <c r="L84" s="46">
        <f t="shared" si="21"/>
        <v>0</v>
      </c>
      <c r="M84" s="57"/>
      <c r="N84" s="46">
        <f t="shared" si="22"/>
        <v>15</v>
      </c>
      <c r="O84" s="57">
        <v>0</v>
      </c>
      <c r="P84" s="46">
        <f t="shared" si="23"/>
        <v>0</v>
      </c>
      <c r="Q84" s="57"/>
      <c r="R84" s="154"/>
      <c r="S84" s="154"/>
      <c r="T84" s="89"/>
      <c r="U84" s="89"/>
      <c r="V84" s="89"/>
      <c r="W84" s="89"/>
      <c r="X84" s="89"/>
      <c r="Y84" s="89"/>
      <c r="Z84" s="89"/>
      <c r="AA84" s="89"/>
    </row>
    <row r="85" spans="2:27" ht="20.25" hidden="1">
      <c r="B85" s="155" t="s">
        <v>200</v>
      </c>
      <c r="C85" s="92" t="str">
        <f>_xlfn.XLOOKUP(B85,Talente!A:A,Talente!C:C)</f>
        <v>Fingerfertigkeit</v>
      </c>
      <c r="D85" s="92">
        <f>_xlfn.XLOOKUP(C85,Eigenschaften!$B$20:$B$27,Eigenschaften!$H$20:$H$27,"NaN",1)</f>
        <v>10</v>
      </c>
      <c r="E85" s="92" t="str">
        <f>_xlfn.XLOOKUP(B85,Talente!A:A,Talente!D:D)</f>
        <v>Konstitution</v>
      </c>
      <c r="F85" s="92">
        <f>_xlfn.XLOOKUP(E85,Eigenschaften!$B$20:$B$27,Eigenschaften!$H$20:$H$27,"NaN",1)</f>
        <v>12</v>
      </c>
      <c r="G85" s="92" t="str">
        <f>_xlfn.XLOOKUP(B85,Talente!A:A,Talente!E:E)</f>
        <v>Körperkraft</v>
      </c>
      <c r="H85" s="92">
        <f>_xlfn.XLOOKUP(G85,Eigenschaften!$B$20:$B$27,Eigenschaften!$H$20:$H$27,"NaN",1)</f>
        <v>12</v>
      </c>
      <c r="I85" s="262" t="str">
        <f t="shared" si="20"/>
        <v>Fingerfertigkeit: 10 | Konstitution: 12 | Körperkraft: 12</v>
      </c>
      <c r="J85" s="46" t="str">
        <f>_xlfn.XLOOKUP(B85,Talente!A:A,Talente!F:F)</f>
        <v>B</v>
      </c>
      <c r="K85" s="46" t="str">
        <f>_xlfn.XLOOKUP(B85,Talente!A:A,Talente!G:G)</f>
        <v>-</v>
      </c>
      <c r="L85" s="46">
        <f t="shared" si="21"/>
        <v>0</v>
      </c>
      <c r="M85" s="57"/>
      <c r="N85" s="46">
        <f t="shared" si="22"/>
        <v>15</v>
      </c>
      <c r="O85" s="57">
        <v>0</v>
      </c>
      <c r="P85" s="46">
        <f t="shared" si="23"/>
        <v>0</v>
      </c>
      <c r="Q85" s="57"/>
      <c r="R85" s="154"/>
      <c r="S85" s="154"/>
      <c r="T85" s="89"/>
      <c r="U85" s="89"/>
      <c r="V85" s="89"/>
      <c r="W85" s="89"/>
      <c r="X85" s="89"/>
      <c r="Y85" s="89"/>
      <c r="Z85" s="89"/>
      <c r="AA85" s="89"/>
    </row>
    <row r="86" spans="2:27" ht="20.25" hidden="1">
      <c r="B86" s="155" t="s">
        <v>201</v>
      </c>
      <c r="C86" s="92" t="str">
        <f>_xlfn.XLOOKUP(B86,Talente!A:A,Talente!C:C)</f>
        <v>Klugheit</v>
      </c>
      <c r="D86" s="92">
        <f>_xlfn.XLOOKUP(C86,Eigenschaften!$B$20:$B$27,Eigenschaften!$H$20:$H$27,"NaN",1)</f>
        <v>12</v>
      </c>
      <c r="E86" s="92" t="str">
        <f>_xlfn.XLOOKUP(B86,Talente!A:A,Talente!D:D)</f>
        <v>Intuition</v>
      </c>
      <c r="F86" s="92">
        <f>_xlfn.XLOOKUP(E86,Eigenschaften!$B$20:$B$27,Eigenschaften!$H$20:$H$27,"NaN",1)</f>
        <v>15</v>
      </c>
      <c r="G86" s="92" t="str">
        <f>_xlfn.XLOOKUP(B86,Talente!A:A,Talente!E:E)</f>
        <v>Charisma</v>
      </c>
      <c r="H86" s="92">
        <f>_xlfn.XLOOKUP(G86,Eigenschaften!$B$20:$B$27,Eigenschaften!$H$20:$H$27,"NaN",1)</f>
        <v>15</v>
      </c>
      <c r="I86" s="262" t="str">
        <f t="shared" si="20"/>
        <v>Klugheit: 12 | Intuition: 15 | Charisma: 15</v>
      </c>
      <c r="J86" s="46" t="str">
        <f>_xlfn.XLOOKUP(B86,Talente!A:A,Talente!F:F)</f>
        <v>B</v>
      </c>
      <c r="K86" s="46" t="str">
        <f>_xlfn.XLOOKUP(B86,Talente!A:A,Talente!G:G)</f>
        <v>-</v>
      </c>
      <c r="L86" s="46">
        <f t="shared" si="21"/>
        <v>0</v>
      </c>
      <c r="M86" s="57"/>
      <c r="N86" s="46">
        <f t="shared" si="22"/>
        <v>18</v>
      </c>
      <c r="O86" s="57">
        <v>0</v>
      </c>
      <c r="P86" s="46">
        <f t="shared" si="23"/>
        <v>0</v>
      </c>
      <c r="Q86" s="57"/>
      <c r="R86" s="154"/>
      <c r="S86" s="154"/>
      <c r="T86" s="89"/>
      <c r="U86" s="89"/>
      <c r="V86" s="89"/>
      <c r="W86" s="89"/>
      <c r="X86" s="89"/>
      <c r="Y86" s="89"/>
      <c r="Z86" s="89"/>
      <c r="AA86" s="89"/>
    </row>
    <row r="87" spans="2:27" ht="20.25" hidden="1">
      <c r="B87" s="155" t="s">
        <v>202</v>
      </c>
      <c r="C87" s="92" t="str">
        <f>_xlfn.XLOOKUP(B87,Talente!A:A,Talente!C:C)</f>
        <v>Intuition</v>
      </c>
      <c r="D87" s="92">
        <f>_xlfn.XLOOKUP(C87,Eigenschaften!$B$20:$B$27,Eigenschaften!$H$20:$H$27,"NaN",1)</f>
        <v>15</v>
      </c>
      <c r="E87" s="92" t="str">
        <f>_xlfn.XLOOKUP(B87,Talente!A:A,Talente!D:D)</f>
        <v>Charisma</v>
      </c>
      <c r="F87" s="92">
        <f>_xlfn.XLOOKUP(E87,Eigenschaften!$B$20:$B$27,Eigenschaften!$H$20:$H$27,"NaN",1)</f>
        <v>15</v>
      </c>
      <c r="G87" s="92" t="str">
        <f>_xlfn.XLOOKUP(B87,Talente!A:A,Talente!E:E)</f>
        <v>Fingerfertigkeit</v>
      </c>
      <c r="H87" s="92">
        <f>_xlfn.XLOOKUP(G87,Eigenschaften!$B$20:$B$27,Eigenschaften!$H$20:$H$27,"NaN",1)</f>
        <v>10</v>
      </c>
      <c r="I87" s="262" t="str">
        <f t="shared" si="20"/>
        <v>Intuition: 15 | Charisma: 15 | Fingerfertigkeit: 10</v>
      </c>
      <c r="J87" s="46" t="str">
        <f>_xlfn.XLOOKUP(B87,Talente!A:A,Talente!F:F)</f>
        <v>B</v>
      </c>
      <c r="K87" s="46" t="str">
        <f>_xlfn.XLOOKUP(B87,Talente!A:A,Talente!G:G)</f>
        <v>-</v>
      </c>
      <c r="L87" s="46">
        <f t="shared" si="21"/>
        <v>0</v>
      </c>
      <c r="M87" s="57"/>
      <c r="N87" s="46">
        <f t="shared" si="22"/>
        <v>18</v>
      </c>
      <c r="O87" s="57">
        <v>0</v>
      </c>
      <c r="P87" s="46">
        <f t="shared" si="23"/>
        <v>0</v>
      </c>
      <c r="Q87" s="57"/>
      <c r="R87" s="154"/>
      <c r="S87" s="154"/>
      <c r="T87" s="89"/>
      <c r="U87" s="89"/>
      <c r="V87" s="89"/>
      <c r="W87" s="89"/>
      <c r="X87" s="89"/>
      <c r="Y87" s="89"/>
      <c r="Z87" s="89"/>
      <c r="AA87" s="89"/>
    </row>
    <row r="88" spans="2:27" ht="20.25">
      <c r="B88" s="155" t="s">
        <v>203</v>
      </c>
      <c r="C88" s="92" t="str">
        <f>_xlfn.XLOOKUP(B88,Talente!A:A,Talente!C:C)</f>
        <v>Mut</v>
      </c>
      <c r="D88" s="92">
        <f>_xlfn.XLOOKUP(C88,Eigenschaften!$B$20:$B$27,Eigenschaften!$H$20:$H$27,"NaN",1)</f>
        <v>13</v>
      </c>
      <c r="E88" s="92" t="str">
        <f>_xlfn.XLOOKUP(B88,Talente!A:A,Talente!D:D)</f>
        <v>Klugheit</v>
      </c>
      <c r="F88" s="92">
        <f>_xlfn.XLOOKUP(E88,Eigenschaften!$B$20:$B$27,Eigenschaften!$H$20:$H$27,"NaN",1)</f>
        <v>12</v>
      </c>
      <c r="G88" s="92" t="str">
        <f>_xlfn.XLOOKUP(B88,Talente!A:A,Talente!E:E)</f>
        <v>Intuition</v>
      </c>
      <c r="H88" s="92">
        <f>_xlfn.XLOOKUP(G88,Eigenschaften!$B$20:$B$27,Eigenschaften!$H$20:$H$27,"NaN",1)</f>
        <v>15</v>
      </c>
      <c r="I88" s="262" t="str">
        <f t="shared" si="20"/>
        <v>Mut: 13 | Klugheit: 12 | Intuition: 15</v>
      </c>
      <c r="J88" s="46" t="str">
        <f>_xlfn.XLOOKUP(B88,Talente!A:A,Talente!F:F)</f>
        <v>B</v>
      </c>
      <c r="K88" s="46" t="str">
        <f>_xlfn.XLOOKUP(B88,Talente!A:A,Talente!G:G)</f>
        <v>-</v>
      </c>
      <c r="L88" s="46">
        <f t="shared" si="21"/>
        <v>0</v>
      </c>
      <c r="M88" s="57">
        <v>2</v>
      </c>
      <c r="N88" s="46">
        <f t="shared" si="22"/>
        <v>18</v>
      </c>
      <c r="O88" s="57">
        <v>0</v>
      </c>
      <c r="P88" s="46">
        <f t="shared" si="23"/>
        <v>2</v>
      </c>
      <c r="Q88" s="57"/>
      <c r="R88" s="154"/>
      <c r="S88" s="154"/>
      <c r="T88" s="89"/>
      <c r="U88" s="89"/>
      <c r="V88" s="89"/>
      <c r="W88" s="89"/>
      <c r="X88" s="89"/>
      <c r="Y88" s="89"/>
      <c r="Z88" s="89"/>
      <c r="AA88" s="89"/>
    </row>
    <row r="89" spans="2:27" ht="20.25">
      <c r="B89" s="155" t="s">
        <v>204</v>
      </c>
      <c r="C89" s="92" t="str">
        <f>_xlfn.XLOOKUP(B89,Talente!A:A,Talente!C:C)</f>
        <v>Mut</v>
      </c>
      <c r="D89" s="92">
        <f>_xlfn.XLOOKUP(C89,Eigenschaften!$B$20:$B$27,Eigenschaften!$H$20:$H$27,"NaN",1)</f>
        <v>13</v>
      </c>
      <c r="E89" s="92" t="str">
        <f>_xlfn.XLOOKUP(B89,Talente!A:A,Talente!D:D)</f>
        <v>Klugheit</v>
      </c>
      <c r="F89" s="92">
        <f>_xlfn.XLOOKUP(E89,Eigenschaften!$B$20:$B$27,Eigenschaften!$H$20:$H$27,"NaN",1)</f>
        <v>12</v>
      </c>
      <c r="G89" s="92" t="str">
        <f>_xlfn.XLOOKUP(B89,Talente!A:A,Talente!E:E)</f>
        <v>Charisma</v>
      </c>
      <c r="H89" s="92">
        <f>_xlfn.XLOOKUP(G89,Eigenschaften!$B$20:$B$27,Eigenschaften!$H$20:$H$27,"NaN",1)</f>
        <v>15</v>
      </c>
      <c r="I89" s="262" t="str">
        <f t="shared" si="20"/>
        <v>Mut: 13 | Klugheit: 12 | Charisma: 15</v>
      </c>
      <c r="J89" s="46" t="str">
        <f>_xlfn.XLOOKUP(B89,Talente!A:A,Talente!F:F)</f>
        <v>B</v>
      </c>
      <c r="K89" s="46" t="str">
        <f>_xlfn.XLOOKUP(B89,Talente!A:A,Talente!G:G)</f>
        <v>-</v>
      </c>
      <c r="L89" s="46">
        <f t="shared" si="21"/>
        <v>0</v>
      </c>
      <c r="M89" s="57">
        <v>3</v>
      </c>
      <c r="N89" s="46">
        <f t="shared" si="22"/>
        <v>18</v>
      </c>
      <c r="O89" s="57">
        <v>0</v>
      </c>
      <c r="P89" s="46">
        <f t="shared" si="23"/>
        <v>3</v>
      </c>
      <c r="Q89" s="57"/>
      <c r="R89" s="154"/>
      <c r="S89" s="154"/>
      <c r="T89" s="89"/>
      <c r="U89" s="89"/>
      <c r="V89" s="89"/>
      <c r="W89" s="89"/>
      <c r="X89" s="89"/>
      <c r="Y89" s="89"/>
      <c r="Z89" s="89"/>
      <c r="AA89" s="89"/>
    </row>
    <row r="90" spans="2:27" ht="20.25">
      <c r="B90" s="155" t="s">
        <v>205</v>
      </c>
      <c r="C90" s="92" t="str">
        <f>_xlfn.XLOOKUP(B90,Talente!A:A,Talente!C:C)</f>
        <v>Intuition</v>
      </c>
      <c r="D90" s="92">
        <f>_xlfn.XLOOKUP(C90,Eigenschaften!$B$20:$B$27,Eigenschaften!$H$20:$H$27,"NaN",1)</f>
        <v>15</v>
      </c>
      <c r="E90" s="92" t="str">
        <f>_xlfn.XLOOKUP(B90,Talente!A:A,Talente!D:D)</f>
        <v>Charisma</v>
      </c>
      <c r="F90" s="92">
        <f>_xlfn.XLOOKUP(E90,Eigenschaften!$B$20:$B$27,Eigenschaften!$H$20:$H$27,"NaN",1)</f>
        <v>15</v>
      </c>
      <c r="G90" s="92" t="str">
        <f>_xlfn.XLOOKUP(B90,Talente!A:A,Talente!E:E)</f>
        <v>Charisma</v>
      </c>
      <c r="H90" s="92">
        <f>_xlfn.XLOOKUP(G90,Eigenschaften!$B$20:$B$27,Eigenschaften!$H$20:$H$27,"NaN",1)</f>
        <v>15</v>
      </c>
      <c r="I90" s="262" t="str">
        <f t="shared" si="20"/>
        <v>Intuition: 15 | Charisma: 15 | Charisma: 15</v>
      </c>
      <c r="J90" s="46" t="str">
        <f>_xlfn.XLOOKUP(B90,Talente!A:A,Talente!F:F)</f>
        <v>B</v>
      </c>
      <c r="K90" s="46" t="str">
        <f>_xlfn.XLOOKUP(B90,Talente!A:A,Talente!G:G)</f>
        <v>-</v>
      </c>
      <c r="L90" s="46">
        <f t="shared" si="21"/>
        <v>0</v>
      </c>
      <c r="M90" s="57"/>
      <c r="N90" s="46">
        <f t="shared" si="22"/>
        <v>18</v>
      </c>
      <c r="O90" s="57">
        <v>0</v>
      </c>
      <c r="P90" s="46">
        <f t="shared" si="23"/>
        <v>0</v>
      </c>
      <c r="Q90" s="57"/>
      <c r="R90" s="154"/>
      <c r="S90" s="154"/>
      <c r="T90" s="89"/>
      <c r="U90" s="89"/>
      <c r="V90" s="89"/>
      <c r="W90" s="89"/>
      <c r="X90" s="89"/>
      <c r="Y90" s="89"/>
      <c r="Z90" s="89"/>
      <c r="AA90" s="89"/>
    </row>
    <row r="91" spans="2:27" ht="20.25">
      <c r="B91" s="239" t="s">
        <v>178</v>
      </c>
      <c r="C91" s="92" t="str">
        <f>_xlfn.XLOOKUP(B91,Talente!A:A,Talente!C:C)</f>
        <v>Klugheit</v>
      </c>
      <c r="D91" s="92">
        <f>_xlfn.XLOOKUP(C91,Eigenschaften!$B$20:$B$27,Eigenschaften!$H$20:$H$27,"NaN",1)</f>
        <v>12</v>
      </c>
      <c r="E91" s="92" t="str">
        <f>_xlfn.XLOOKUP(B91,Talente!A:A,Talente!D:D)</f>
        <v>Intuition</v>
      </c>
      <c r="F91" s="92">
        <f>_xlfn.XLOOKUP(E91,Eigenschaften!$B$20:$B$27,Eigenschaften!$H$20:$H$27,"NaN",1)</f>
        <v>15</v>
      </c>
      <c r="G91" s="92" t="str">
        <f>_xlfn.XLOOKUP(B91,Talente!A:A,Talente!E:E)</f>
        <v>Charisma</v>
      </c>
      <c r="H91" s="92">
        <f>_xlfn.XLOOKUP(G91,Eigenschaften!$B$20:$B$27,Eigenschaften!$H$20:$H$27,"NaN",1)</f>
        <v>15</v>
      </c>
      <c r="I91" s="262" t="str">
        <f t="shared" si="20"/>
        <v>Klugheit: 12 | Intuition: 15 | Charisma: 15</v>
      </c>
      <c r="J91" s="46" t="str">
        <f>_xlfn.XLOOKUP(B91,Talente!A:A,Talente!F:F)</f>
        <v>B</v>
      </c>
      <c r="K91" s="46" t="str">
        <f>_xlfn.XLOOKUP(B91,Talente!A:A,Talente!G:G)</f>
        <v>-</v>
      </c>
      <c r="L91" s="46">
        <f t="shared" si="21"/>
        <v>0</v>
      </c>
      <c r="M91" s="57">
        <v>7</v>
      </c>
      <c r="N91" s="46">
        <f t="shared" si="22"/>
        <v>18</v>
      </c>
      <c r="O91" s="57">
        <v>0</v>
      </c>
      <c r="P91" s="46">
        <f t="shared" si="23"/>
        <v>7</v>
      </c>
      <c r="Q91" s="57"/>
      <c r="R91" s="154"/>
      <c r="S91" s="154"/>
      <c r="T91" s="89"/>
      <c r="U91" s="89"/>
      <c r="V91" s="89"/>
      <c r="W91" s="89"/>
      <c r="X91" s="89"/>
      <c r="Y91" s="89"/>
      <c r="Z91" s="89"/>
      <c r="AA91" s="89"/>
    </row>
    <row r="92" spans="2:27" ht="20.25">
      <c r="B92" s="155" t="s">
        <v>180</v>
      </c>
      <c r="C92" s="92" t="str">
        <f>_xlfn.XLOOKUP(B92,Talente!A:A,Talente!C:C)</f>
        <v>Klugheit</v>
      </c>
      <c r="D92" s="92">
        <f>_xlfn.XLOOKUP(C92,Eigenschaften!$B$20:$B$27,Eigenschaften!$H$20:$H$27,"NaN",1)</f>
        <v>12</v>
      </c>
      <c r="E92" s="92" t="str">
        <f>_xlfn.XLOOKUP(B92,Talente!A:A,Talente!D:D)</f>
        <v>Fingerfertigkeit</v>
      </c>
      <c r="F92" s="92">
        <f>_xlfn.XLOOKUP(E92,Eigenschaften!$B$20:$B$27,Eigenschaften!$H$20:$H$27,"NaN",1)</f>
        <v>10</v>
      </c>
      <c r="G92" s="92" t="str">
        <f>_xlfn.XLOOKUP(B92,Talente!A:A,Talente!E:E)</f>
        <v>Körperkraft</v>
      </c>
      <c r="H92" s="92">
        <f>_xlfn.XLOOKUP(G92,Eigenschaften!$B$20:$B$27,Eigenschaften!$H$20:$H$27,"NaN",1)</f>
        <v>12</v>
      </c>
      <c r="I92" s="262" t="str">
        <f t="shared" si="20"/>
        <v>Klugheit: 12 | Fingerfertigkeit: 10 | Körperkraft: 12</v>
      </c>
      <c r="J92" s="46" t="str">
        <f>_xlfn.XLOOKUP(B92,Talente!A:A,Talente!F:F)</f>
        <v>B</v>
      </c>
      <c r="K92" s="46" t="str">
        <f>_xlfn.XLOOKUP(B92,Talente!A:A,Talente!G:G)</f>
        <v>-</v>
      </c>
      <c r="L92" s="46">
        <f t="shared" si="21"/>
        <v>0</v>
      </c>
      <c r="M92" s="57">
        <v>4</v>
      </c>
      <c r="N92" s="46">
        <f t="shared" si="22"/>
        <v>15</v>
      </c>
      <c r="O92" s="57">
        <v>0</v>
      </c>
      <c r="P92" s="46">
        <f t="shared" si="23"/>
        <v>4</v>
      </c>
      <c r="Q92" s="57"/>
      <c r="R92" s="154"/>
      <c r="S92" s="154"/>
      <c r="T92" s="89"/>
      <c r="U92" s="89"/>
      <c r="V92" s="89"/>
      <c r="W92" s="89"/>
      <c r="X92" s="89"/>
      <c r="Y92" s="89"/>
      <c r="Z92" s="89"/>
      <c r="AA92" s="89"/>
    </row>
    <row r="93" spans="2:27" ht="20.25" hidden="1">
      <c r="B93" s="155" t="s">
        <v>206</v>
      </c>
      <c r="C93" s="92" t="str">
        <f>_xlfn.XLOOKUP(B93,Talente!A:A,Talente!C:C)</f>
        <v>Klugheit</v>
      </c>
      <c r="D93" s="92">
        <f>_xlfn.XLOOKUP(C93,Eigenschaften!$B$20:$B$27,Eigenschaften!$H$20:$H$27,"NaN",1)</f>
        <v>12</v>
      </c>
      <c r="E93" s="92" t="str">
        <f>_xlfn.XLOOKUP(B93,Talente!A:A,Talente!D:D)</f>
        <v>Intuition</v>
      </c>
      <c r="F93" s="92">
        <f>_xlfn.XLOOKUP(E93,Eigenschaften!$B$20:$B$27,Eigenschaften!$H$20:$H$27,"NaN",1)</f>
        <v>15</v>
      </c>
      <c r="G93" s="92" t="str">
        <f>_xlfn.XLOOKUP(B93,Talente!A:A,Talente!E:E)</f>
        <v>Fingerfertigkeit</v>
      </c>
      <c r="H93" s="92">
        <f>_xlfn.XLOOKUP(G93,Eigenschaften!$B$20:$B$27,Eigenschaften!$H$20:$H$27,"NaN",1)</f>
        <v>10</v>
      </c>
      <c r="I93" s="262" t="str">
        <f t="shared" si="20"/>
        <v>Klugheit: 12 | Intuition: 15 | Fingerfertigkeit: 10</v>
      </c>
      <c r="J93" s="46" t="str">
        <f>_xlfn.XLOOKUP(B93,Talente!A:A,Talente!F:F)</f>
        <v>B</v>
      </c>
      <c r="K93" s="46" t="str">
        <f>_xlfn.XLOOKUP(B93,Talente!A:A,Talente!G:G)</f>
        <v>-</v>
      </c>
      <c r="L93" s="46">
        <f t="shared" si="21"/>
        <v>0</v>
      </c>
      <c r="M93" s="57"/>
      <c r="N93" s="46">
        <f t="shared" si="22"/>
        <v>18</v>
      </c>
      <c r="O93" s="57">
        <v>0</v>
      </c>
      <c r="P93" s="46">
        <f t="shared" si="23"/>
        <v>0</v>
      </c>
      <c r="Q93" s="57"/>
      <c r="R93" s="154"/>
      <c r="S93" s="154"/>
      <c r="T93" s="89"/>
      <c r="U93" s="89"/>
      <c r="V93" s="89"/>
      <c r="W93" s="89"/>
      <c r="X93" s="89"/>
      <c r="Y93" s="89"/>
      <c r="Z93" s="89"/>
      <c r="AA93" s="89"/>
    </row>
    <row r="94" spans="2:27" ht="20.25" hidden="1">
      <c r="B94" s="155" t="s">
        <v>207</v>
      </c>
      <c r="C94" s="92" t="str">
        <f>_xlfn.XLOOKUP(B94,Talente!A:A,Talente!C:C)</f>
        <v>Klugheit</v>
      </c>
      <c r="D94" s="92">
        <f>_xlfn.XLOOKUP(C94,Eigenschaften!$B$20:$B$27,Eigenschaften!$H$20:$H$27,"NaN",1)</f>
        <v>12</v>
      </c>
      <c r="E94" s="92" t="str">
        <f>_xlfn.XLOOKUP(B94,Talente!A:A,Talente!D:D)</f>
        <v>Klugheit</v>
      </c>
      <c r="F94" s="92">
        <f>_xlfn.XLOOKUP(E94,Eigenschaften!$B$20:$B$27,Eigenschaften!$H$20:$H$27,"NaN",1)</f>
        <v>12</v>
      </c>
      <c r="G94" s="92" t="str">
        <f>_xlfn.XLOOKUP(B94,Talente!A:A,Talente!E:E)</f>
        <v>Fingerfertigkeit</v>
      </c>
      <c r="H94" s="92">
        <f>_xlfn.XLOOKUP(G94,Eigenschaften!$B$20:$B$27,Eigenschaften!$H$20:$H$27,"NaN",1)</f>
        <v>10</v>
      </c>
      <c r="I94" s="262" t="str">
        <f t="shared" si="20"/>
        <v>Klugheit: 12 | Klugheit: 12 | Fingerfertigkeit: 10</v>
      </c>
      <c r="J94" s="46" t="str">
        <f>_xlfn.XLOOKUP(B94,Talente!A:A,Talente!F:F)</f>
        <v>B</v>
      </c>
      <c r="K94" s="46" t="str">
        <f>_xlfn.XLOOKUP(B94,Talente!A:A,Talente!G:G)</f>
        <v>-</v>
      </c>
      <c r="L94" s="46">
        <f t="shared" si="21"/>
        <v>0</v>
      </c>
      <c r="M94" s="57"/>
      <c r="N94" s="46">
        <f t="shared" si="22"/>
        <v>15</v>
      </c>
      <c r="O94" s="57">
        <v>0</v>
      </c>
      <c r="P94" s="46">
        <f t="shared" si="23"/>
        <v>0</v>
      </c>
      <c r="Q94" s="57"/>
      <c r="R94" s="154"/>
      <c r="S94" s="154"/>
      <c r="T94" s="89"/>
      <c r="U94" s="89"/>
      <c r="V94" s="89"/>
      <c r="W94" s="89"/>
      <c r="X94" s="89"/>
      <c r="Y94" s="89"/>
      <c r="Z94" s="89"/>
      <c r="AA94" s="89"/>
    </row>
    <row r="95" spans="2:27" ht="20.25">
      <c r="B95" s="155" t="s">
        <v>181</v>
      </c>
      <c r="C95" s="92" t="str">
        <f>_xlfn.XLOOKUP(B95,Talente!A:A,Talente!C:C)</f>
        <v>Klugheit</v>
      </c>
      <c r="D95" s="92">
        <f>_xlfn.XLOOKUP(C95,Eigenschaften!$B$20:$B$27,Eigenschaften!$H$20:$H$27,"NaN",1)</f>
        <v>12</v>
      </c>
      <c r="E95" s="92" t="str">
        <f>_xlfn.XLOOKUP(B95,Talente!A:A,Talente!D:D)</f>
        <v>Intuition</v>
      </c>
      <c r="F95" s="92">
        <f>_xlfn.XLOOKUP(E95,Eigenschaften!$B$20:$B$27,Eigenschaften!$H$20:$H$27,"NaN",1)</f>
        <v>15</v>
      </c>
      <c r="G95" s="92" t="str">
        <f>_xlfn.XLOOKUP(B95,Talente!A:A,Talente!E:E)</f>
        <v>Fingerfertigkeit</v>
      </c>
      <c r="H95" s="92">
        <f>_xlfn.XLOOKUP(G95,Eigenschaften!$B$20:$B$27,Eigenschaften!$H$20:$H$27,"NaN",1)</f>
        <v>10</v>
      </c>
      <c r="I95" s="262" t="str">
        <f t="shared" si="20"/>
        <v>Klugheit: 12 | Intuition: 15 | Fingerfertigkeit: 10</v>
      </c>
      <c r="J95" s="46" t="str">
        <f>_xlfn.XLOOKUP(B95,Talente!A:A,Talente!F:F)</f>
        <v>B</v>
      </c>
      <c r="K95" s="46" t="str">
        <f>_xlfn.XLOOKUP(B95,Talente!A:A,Talente!G:G)</f>
        <v>-</v>
      </c>
      <c r="L95" s="46">
        <f t="shared" si="21"/>
        <v>0</v>
      </c>
      <c r="M95" s="57">
        <v>3</v>
      </c>
      <c r="N95" s="46">
        <f t="shared" si="22"/>
        <v>18</v>
      </c>
      <c r="O95" s="57">
        <v>0</v>
      </c>
      <c r="P95" s="46">
        <f t="shared" si="23"/>
        <v>3</v>
      </c>
      <c r="Q95" s="57"/>
      <c r="R95" s="154"/>
      <c r="S95" s="154"/>
      <c r="T95" s="89"/>
      <c r="U95" s="89"/>
      <c r="V95" s="89"/>
      <c r="W95" s="89"/>
      <c r="X95" s="89"/>
      <c r="Y95" s="89"/>
      <c r="Z95" s="89"/>
      <c r="AA95" s="89"/>
    </row>
    <row r="96" spans="2:27" ht="20.25" hidden="1">
      <c r="B96" s="155" t="s">
        <v>208</v>
      </c>
      <c r="C96" s="92" t="str">
        <f>_xlfn.XLOOKUP(B96,Talente!A:A,Talente!C:C)</f>
        <v>Klugheit</v>
      </c>
      <c r="D96" s="92">
        <f>_xlfn.XLOOKUP(C96,Eigenschaften!$B$20:$B$27,Eigenschaften!$H$20:$H$27,"NaN",1)</f>
        <v>12</v>
      </c>
      <c r="E96" s="92" t="str">
        <f>_xlfn.XLOOKUP(B96,Talente!A:A,Talente!D:D)</f>
        <v>Intuition</v>
      </c>
      <c r="F96" s="92">
        <f>_xlfn.XLOOKUP(E96,Eigenschaften!$B$20:$B$27,Eigenschaften!$H$20:$H$27,"NaN",1)</f>
        <v>15</v>
      </c>
      <c r="G96" s="92" t="str">
        <f>_xlfn.XLOOKUP(B96,Talente!A:A,Talente!E:E)</f>
        <v>Fingerfertigkeit</v>
      </c>
      <c r="H96" s="92">
        <f>_xlfn.XLOOKUP(G96,Eigenschaften!$B$20:$B$27,Eigenschaften!$H$20:$H$27,"NaN",1)</f>
        <v>10</v>
      </c>
      <c r="I96" s="262" t="str">
        <f t="shared" si="20"/>
        <v>Klugheit: 12 | Intuition: 15 | Fingerfertigkeit: 10</v>
      </c>
      <c r="J96" s="46" t="str">
        <f>_xlfn.XLOOKUP(B96,Talente!A:A,Talente!F:F)</f>
        <v>B</v>
      </c>
      <c r="K96" s="46" t="str">
        <f>_xlfn.XLOOKUP(B96,Talente!A:A,Talente!G:G)</f>
        <v>-</v>
      </c>
      <c r="L96" s="46">
        <f t="shared" si="21"/>
        <v>0</v>
      </c>
      <c r="M96" s="57"/>
      <c r="N96" s="46">
        <f t="shared" si="22"/>
        <v>18</v>
      </c>
      <c r="O96" s="57">
        <v>0</v>
      </c>
      <c r="P96" s="46">
        <f t="shared" si="23"/>
        <v>0</v>
      </c>
      <c r="Q96" s="57"/>
      <c r="R96" s="154"/>
      <c r="S96" s="154"/>
      <c r="T96" s="89"/>
      <c r="U96" s="89"/>
      <c r="V96" s="89"/>
      <c r="W96" s="89"/>
      <c r="X96" s="89"/>
      <c r="Y96" s="89"/>
      <c r="Z96" s="89"/>
      <c r="AA96" s="89"/>
    </row>
    <row r="97" spans="2:27" ht="20.25">
      <c r="B97" s="155" t="s">
        <v>182</v>
      </c>
      <c r="C97" s="92" t="str">
        <f>_xlfn.XLOOKUP(B97,Talente!A:A,Talente!C:C)</f>
        <v>Klugheit</v>
      </c>
      <c r="D97" s="92">
        <f>_xlfn.XLOOKUP(C97,Eigenschaften!$B$20:$B$27,Eigenschaften!$H$20:$H$27,"NaN",1)</f>
        <v>12</v>
      </c>
      <c r="E97" s="92" t="str">
        <f>_xlfn.XLOOKUP(B97,Talente!A:A,Talente!D:D)</f>
        <v>Fingerfertigkeit</v>
      </c>
      <c r="F97" s="92">
        <f>_xlfn.XLOOKUP(E97,Eigenschaften!$B$20:$B$27,Eigenschaften!$H$20:$H$27,"NaN",1)</f>
        <v>10</v>
      </c>
      <c r="G97" s="92" t="str">
        <f>_xlfn.XLOOKUP(B97,Talente!A:A,Talente!E:E)</f>
        <v>Fingerfertigkeit</v>
      </c>
      <c r="H97" s="92">
        <f>_xlfn.XLOOKUP(G97,Eigenschaften!$B$20:$B$27,Eigenschaften!$H$20:$H$27,"NaN",1)</f>
        <v>10</v>
      </c>
      <c r="I97" s="262" t="str">
        <f t="shared" si="20"/>
        <v>Klugheit: 12 | Fingerfertigkeit: 10 | Fingerfertigkeit: 10</v>
      </c>
      <c r="J97" s="46" t="str">
        <f>_xlfn.XLOOKUP(B97,Talente!A:A,Talente!F:F)</f>
        <v>B</v>
      </c>
      <c r="K97" s="46" t="str">
        <f>_xlfn.XLOOKUP(B97,Talente!A:A,Talente!G:G)</f>
        <v>-</v>
      </c>
      <c r="L97" s="46">
        <f t="shared" si="21"/>
        <v>0</v>
      </c>
      <c r="M97" s="57">
        <v>4</v>
      </c>
      <c r="N97" s="46">
        <f t="shared" si="22"/>
        <v>15</v>
      </c>
      <c r="O97" s="57">
        <v>0</v>
      </c>
      <c r="P97" s="46">
        <f t="shared" si="23"/>
        <v>4</v>
      </c>
      <c r="Q97" s="57"/>
      <c r="R97" s="154"/>
      <c r="S97" s="154"/>
      <c r="T97" s="89"/>
      <c r="U97" s="89"/>
      <c r="V97" s="89"/>
      <c r="W97" s="89"/>
      <c r="X97" s="89"/>
      <c r="Y97" s="89"/>
      <c r="Z97" s="89"/>
      <c r="AA97" s="89"/>
    </row>
    <row r="98" spans="2:27" ht="20.25" hidden="1">
      <c r="B98" s="155" t="s">
        <v>183</v>
      </c>
      <c r="C98" s="92" t="str">
        <f>_xlfn.XLOOKUP(B98,Talente!A:A,Talente!C:C)</f>
        <v>Klugheit</v>
      </c>
      <c r="D98" s="92">
        <f>_xlfn.XLOOKUP(C98,Eigenschaften!$B$20:$B$27,Eigenschaften!$H$20:$H$27,"NaN",1)</f>
        <v>12</v>
      </c>
      <c r="E98" s="92" t="str">
        <f>_xlfn.XLOOKUP(B98,Talente!A:A,Talente!D:D)</f>
        <v>Intuition</v>
      </c>
      <c r="F98" s="92">
        <f>_xlfn.XLOOKUP(E98,Eigenschaften!$B$20:$B$27,Eigenschaften!$H$20:$H$27,"NaN",1)</f>
        <v>15</v>
      </c>
      <c r="G98" s="92" t="str">
        <f>_xlfn.XLOOKUP(B98,Talente!A:A,Talente!E:E)</f>
        <v>Fingerfertigkeit</v>
      </c>
      <c r="H98" s="92">
        <f>_xlfn.XLOOKUP(G98,Eigenschaften!$B$20:$B$27,Eigenschaften!$H$20:$H$27,"NaN",1)</f>
        <v>10</v>
      </c>
      <c r="I98" s="262" t="str">
        <f t="shared" si="20"/>
        <v>Klugheit: 12 | Intuition: 15 | Fingerfertigkeit: 10</v>
      </c>
      <c r="J98" s="46" t="str">
        <f>_xlfn.XLOOKUP(B98,Talente!A:A,Talente!F:F)</f>
        <v>B</v>
      </c>
      <c r="K98" s="46" t="str">
        <f>_xlfn.XLOOKUP(B98,Talente!A:A,Talente!G:G)</f>
        <v>-</v>
      </c>
      <c r="L98" s="46">
        <f t="shared" si="21"/>
        <v>0</v>
      </c>
      <c r="M98" s="57"/>
      <c r="N98" s="46">
        <f t="shared" si="22"/>
        <v>18</v>
      </c>
      <c r="O98" s="57">
        <v>0</v>
      </c>
      <c r="P98" s="46">
        <f t="shared" si="23"/>
        <v>0</v>
      </c>
      <c r="Q98" s="57"/>
      <c r="R98" s="154"/>
      <c r="S98" s="154"/>
      <c r="T98" s="89"/>
      <c r="U98" s="89"/>
      <c r="V98" s="89"/>
      <c r="W98" s="89"/>
      <c r="X98" s="89"/>
      <c r="Y98" s="89"/>
      <c r="Z98" s="89"/>
      <c r="AA98" s="89"/>
    </row>
    <row r="99" spans="2:27" ht="20.25" hidden="1">
      <c r="B99" s="155" t="s">
        <v>209</v>
      </c>
      <c r="C99" s="92" t="str">
        <f>_xlfn.XLOOKUP(B99,Talente!A:A,Talente!C:C)</f>
        <v>Fingerfertigkeit</v>
      </c>
      <c r="D99" s="92">
        <f>_xlfn.XLOOKUP(C99,Eigenschaften!$B$20:$B$27,Eigenschaften!$H$20:$H$27,"NaN",1)</f>
        <v>10</v>
      </c>
      <c r="E99" s="92" t="str">
        <f>_xlfn.XLOOKUP(B99,Talente!A:A,Talente!D:D)</f>
        <v>Gewandheit</v>
      </c>
      <c r="F99" s="92">
        <f>_xlfn.XLOOKUP(E99,Eigenschaften!$B$20:$B$27,Eigenschaften!$H$20:$H$27,"NaN",1)</f>
        <v>14</v>
      </c>
      <c r="G99" s="92" t="str">
        <f>_xlfn.XLOOKUP(B99,Talente!A:A,Talente!E:E)</f>
        <v>Körperkraft</v>
      </c>
      <c r="H99" s="92">
        <f>_xlfn.XLOOKUP(G99,Eigenschaften!$B$20:$B$27,Eigenschaften!$H$20:$H$27,"NaN",1)</f>
        <v>12</v>
      </c>
      <c r="I99" s="262" t="str">
        <f t="shared" si="20"/>
        <v>Fingerfertigkeit: 10 | Gewandheit: 14 | Körperkraft: 12</v>
      </c>
      <c r="J99" s="46" t="str">
        <f>_xlfn.XLOOKUP(B99,Talente!A:A,Talente!F:F)</f>
        <v>B</v>
      </c>
      <c r="K99" s="46" t="str">
        <f>_xlfn.XLOOKUP(B99,Talente!A:A,Talente!G:G)</f>
        <v>-</v>
      </c>
      <c r="L99" s="46">
        <f t="shared" si="21"/>
        <v>0</v>
      </c>
      <c r="M99" s="57"/>
      <c r="N99" s="46">
        <f t="shared" si="22"/>
        <v>17</v>
      </c>
      <c r="O99" s="57">
        <v>0</v>
      </c>
      <c r="P99" s="46">
        <f t="shared" si="23"/>
        <v>0</v>
      </c>
      <c r="Q99" s="57"/>
      <c r="R99" s="154"/>
      <c r="S99" s="154"/>
      <c r="T99" s="89"/>
      <c r="U99" s="89"/>
      <c r="V99" s="89"/>
      <c r="W99" s="89"/>
      <c r="X99" s="89"/>
      <c r="Y99" s="89"/>
      <c r="Z99" s="89"/>
      <c r="AA99" s="89"/>
    </row>
    <row r="100" spans="2:27" ht="20.25" hidden="1">
      <c r="B100" s="155" t="s">
        <v>210</v>
      </c>
      <c r="C100" s="92" t="str">
        <f>_xlfn.XLOOKUP(B100,Talente!A:A,Talente!C:C)</f>
        <v>Klugheit</v>
      </c>
      <c r="D100" s="92">
        <f>_xlfn.XLOOKUP(C100,Eigenschaften!$B$20:$B$27,Eigenschaften!$H$20:$H$27,"NaN",1)</f>
        <v>12</v>
      </c>
      <c r="E100" s="92" t="str">
        <f>_xlfn.XLOOKUP(B100,Talente!A:A,Talente!D:D)</f>
        <v>Fingerfertigkeit</v>
      </c>
      <c r="F100" s="92">
        <f>_xlfn.XLOOKUP(E100,Eigenschaften!$B$20:$B$27,Eigenschaften!$H$20:$H$27,"NaN",1)</f>
        <v>10</v>
      </c>
      <c r="G100" s="92" t="str">
        <f>_xlfn.XLOOKUP(B100,Talente!A:A,Talente!E:E)</f>
        <v>Körperkraft</v>
      </c>
      <c r="H100" s="92">
        <f>_xlfn.XLOOKUP(G100,Eigenschaften!$B$20:$B$27,Eigenschaften!$H$20:$H$27,"NaN",1)</f>
        <v>12</v>
      </c>
      <c r="I100" s="262" t="str">
        <f t="shared" si="20"/>
        <v>Klugheit: 12 | Fingerfertigkeit: 10 | Körperkraft: 12</v>
      </c>
      <c r="J100" s="46" t="str">
        <f>_xlfn.XLOOKUP(B100,Talente!A:A,Talente!F:F)</f>
        <v>B</v>
      </c>
      <c r="K100" s="46" t="str">
        <f>_xlfn.XLOOKUP(B100,Talente!A:A,Talente!G:G)</f>
        <v>-</v>
      </c>
      <c r="L100" s="46">
        <f t="shared" si="21"/>
        <v>0</v>
      </c>
      <c r="M100" s="57"/>
      <c r="N100" s="46">
        <f t="shared" si="22"/>
        <v>15</v>
      </c>
      <c r="O100" s="57">
        <v>0</v>
      </c>
      <c r="P100" s="46">
        <f t="shared" si="23"/>
        <v>0</v>
      </c>
      <c r="Q100" s="57"/>
      <c r="R100" s="154"/>
      <c r="S100" s="154"/>
      <c r="T100" s="89"/>
      <c r="U100" s="89"/>
      <c r="V100" s="89"/>
      <c r="W100" s="89"/>
      <c r="X100" s="89"/>
      <c r="Y100" s="89"/>
      <c r="Z100" s="89"/>
      <c r="AA100" s="89"/>
    </row>
    <row r="101" spans="2:27" ht="20.25">
      <c r="B101" s="155" t="s">
        <v>211</v>
      </c>
      <c r="C101" s="92" t="str">
        <f>_xlfn.XLOOKUP(B101,Talente!A:A,Talente!C:C)</f>
        <v>Intuition</v>
      </c>
      <c r="D101" s="92">
        <f>_xlfn.XLOOKUP(C101,Eigenschaften!$B$20:$B$27,Eigenschaften!$H$20:$H$27,"NaN",1)</f>
        <v>15</v>
      </c>
      <c r="E101" s="92" t="str">
        <f>_xlfn.XLOOKUP(B101,Talente!A:A,Talente!D:D)</f>
        <v>Charisma</v>
      </c>
      <c r="F101" s="92">
        <f>_xlfn.XLOOKUP(E101,Eigenschaften!$B$20:$B$27,Eigenschaften!$H$20:$H$27,"NaN",1)</f>
        <v>15</v>
      </c>
      <c r="G101" s="92" t="str">
        <f>_xlfn.XLOOKUP(B101,Talente!A:A,Talente!E:E)</f>
        <v>Fingerfertigkeit</v>
      </c>
      <c r="H101" s="92">
        <f>_xlfn.XLOOKUP(G101,Eigenschaften!$B$20:$B$27,Eigenschaften!$H$20:$H$27,"NaN",1)</f>
        <v>10</v>
      </c>
      <c r="I101" s="262" t="str">
        <f t="shared" si="20"/>
        <v>Intuition: 15 | Charisma: 15 | Fingerfertigkeit: 10</v>
      </c>
      <c r="J101" s="46" t="str">
        <f>_xlfn.XLOOKUP(B101,Talente!A:A,Talente!F:F)</f>
        <v>B</v>
      </c>
      <c r="K101" s="46" t="str">
        <f>_xlfn.XLOOKUP(B101,Talente!A:A,Talente!G:G)</f>
        <v>-</v>
      </c>
      <c r="L101" s="46">
        <f t="shared" si="21"/>
        <v>0</v>
      </c>
      <c r="M101" s="57">
        <v>2</v>
      </c>
      <c r="N101" s="46">
        <f t="shared" si="22"/>
        <v>18</v>
      </c>
      <c r="O101" s="57">
        <v>0</v>
      </c>
      <c r="P101" s="46">
        <f t="shared" si="23"/>
        <v>2</v>
      </c>
      <c r="Q101" s="57"/>
      <c r="R101" s="154"/>
      <c r="S101" s="154"/>
      <c r="T101" s="89"/>
      <c r="U101" s="89"/>
      <c r="V101" s="89"/>
      <c r="W101" s="89"/>
      <c r="X101" s="89"/>
      <c r="Y101" s="89"/>
      <c r="Z101" s="89"/>
      <c r="AA101" s="89"/>
    </row>
    <row r="102" spans="2:27" ht="20.25" hidden="1">
      <c r="B102" s="155" t="s">
        <v>212</v>
      </c>
      <c r="C102" s="92" t="str">
        <f>_xlfn.XLOOKUP(B102,Talente!A:A,Talente!C:C)</f>
        <v>Intuition</v>
      </c>
      <c r="D102" s="92">
        <f>_xlfn.XLOOKUP(C102,Eigenschaften!$B$20:$B$27,Eigenschaften!$H$20:$H$27,"NaN",1)</f>
        <v>15</v>
      </c>
      <c r="E102" s="92" t="str">
        <f>_xlfn.XLOOKUP(B102,Talente!A:A,Talente!D:D)</f>
        <v>Fingerfertigkeit</v>
      </c>
      <c r="F102" s="92">
        <f>_xlfn.XLOOKUP(E102,Eigenschaften!$B$20:$B$27,Eigenschaften!$H$20:$H$27,"NaN",1)</f>
        <v>10</v>
      </c>
      <c r="G102" s="92" t="str">
        <f>_xlfn.XLOOKUP(B102,Talente!A:A,Talente!E:E)</f>
        <v>Fingerfertigkeit</v>
      </c>
      <c r="H102" s="92">
        <f>_xlfn.XLOOKUP(G102,Eigenschaften!$B$20:$B$27,Eigenschaften!$H$20:$H$27,"NaN",1)</f>
        <v>10</v>
      </c>
      <c r="I102" s="262" t="str">
        <f t="shared" si="20"/>
        <v>Intuition: 15 | Fingerfertigkeit: 10 | Fingerfertigkeit: 10</v>
      </c>
      <c r="J102" s="46" t="str">
        <f>_xlfn.XLOOKUP(B102,Talente!A:A,Talente!F:F)</f>
        <v>B</v>
      </c>
      <c r="K102" s="46" t="str">
        <f>_xlfn.XLOOKUP(B102,Talente!A:A,Talente!G:G)</f>
        <v>-</v>
      </c>
      <c r="L102" s="46">
        <f t="shared" si="21"/>
        <v>0</v>
      </c>
      <c r="M102" s="57"/>
      <c r="N102" s="46">
        <f t="shared" si="22"/>
        <v>18</v>
      </c>
      <c r="O102" s="57">
        <v>0</v>
      </c>
      <c r="P102" s="46">
        <f t="shared" si="23"/>
        <v>0</v>
      </c>
      <c r="Q102" s="57"/>
      <c r="R102" s="154"/>
      <c r="S102" s="154"/>
      <c r="T102" s="89"/>
      <c r="U102" s="89"/>
      <c r="V102" s="89"/>
      <c r="W102" s="89"/>
      <c r="X102" s="89"/>
      <c r="Y102" s="89"/>
      <c r="Z102" s="89"/>
      <c r="AA102" s="89"/>
    </row>
    <row r="103" spans="2:27" ht="20.25" hidden="1">
      <c r="B103" s="155" t="s">
        <v>213</v>
      </c>
      <c r="C103" s="92" t="str">
        <f>_xlfn.XLOOKUP(B103,Talente!A:A,Talente!C:C)</f>
        <v>Klugheit</v>
      </c>
      <c r="D103" s="92">
        <f>_xlfn.XLOOKUP(C103,Eigenschaften!$B$20:$B$27,Eigenschaften!$H$20:$H$27,"NaN",1)</f>
        <v>12</v>
      </c>
      <c r="E103" s="92" t="str">
        <f>_xlfn.XLOOKUP(B103,Talente!A:A,Talente!D:D)</f>
        <v>Intuition</v>
      </c>
      <c r="F103" s="92">
        <f>_xlfn.XLOOKUP(E103,Eigenschaften!$B$20:$B$27,Eigenschaften!$H$20:$H$27,"NaN",1)</f>
        <v>15</v>
      </c>
      <c r="G103" s="92" t="str">
        <f>_xlfn.XLOOKUP(B103,Talente!A:A,Talente!E:E)</f>
        <v>Fingerfertigkeit</v>
      </c>
      <c r="H103" s="92">
        <f>_xlfn.XLOOKUP(G103,Eigenschaften!$B$20:$B$27,Eigenschaften!$H$20:$H$27,"NaN",1)</f>
        <v>10</v>
      </c>
      <c r="I103" s="262" t="str">
        <f t="shared" si="20"/>
        <v>Klugheit: 12 | Intuition: 15 | Fingerfertigkeit: 10</v>
      </c>
      <c r="J103" s="46" t="str">
        <f>_xlfn.XLOOKUP(B103,Talente!A:A,Talente!F:F)</f>
        <v>B</v>
      </c>
      <c r="K103" s="46" t="str">
        <f>_xlfn.XLOOKUP(B103,Talente!A:A,Talente!G:G)</f>
        <v>-</v>
      </c>
      <c r="L103" s="46">
        <f t="shared" si="21"/>
        <v>0</v>
      </c>
      <c r="M103" s="57"/>
      <c r="N103" s="46">
        <f t="shared" si="22"/>
        <v>18</v>
      </c>
      <c r="O103" s="57">
        <v>0</v>
      </c>
      <c r="P103" s="46">
        <f t="shared" si="23"/>
        <v>0</v>
      </c>
      <c r="Q103" s="57"/>
      <c r="R103" s="154"/>
      <c r="S103" s="154"/>
      <c r="T103" s="89"/>
      <c r="U103" s="89"/>
      <c r="V103" s="89"/>
      <c r="W103" s="89"/>
      <c r="X103" s="89"/>
      <c r="Y103" s="89"/>
      <c r="Z103" s="89"/>
      <c r="AA103" s="89"/>
    </row>
    <row r="104" spans="2:27" ht="20.25">
      <c r="B104" s="155" t="s">
        <v>184</v>
      </c>
      <c r="C104" s="92" t="str">
        <f>_xlfn.XLOOKUP(B104,Talente!A:A,Talente!C:C)</f>
        <v>Klugheit</v>
      </c>
      <c r="D104" s="92">
        <f>_xlfn.XLOOKUP(C104,Eigenschaften!$B$20:$B$27,Eigenschaften!$H$20:$H$27,"NaN",1)</f>
        <v>12</v>
      </c>
      <c r="E104" s="92" t="str">
        <f>_xlfn.XLOOKUP(B104,Talente!A:A,Talente!D:D)</f>
        <v>Fingerfertigkeit</v>
      </c>
      <c r="F104" s="92">
        <f>_xlfn.XLOOKUP(E104,Eigenschaften!$B$20:$B$27,Eigenschaften!$H$20:$H$27,"NaN",1)</f>
        <v>10</v>
      </c>
      <c r="G104" s="92" t="str">
        <f>_xlfn.XLOOKUP(B104,Talente!A:A,Talente!E:E)</f>
        <v>Fingerfertigkeit</v>
      </c>
      <c r="H104" s="92">
        <f>_xlfn.XLOOKUP(G104,Eigenschaften!$B$20:$B$27,Eigenschaften!$H$20:$H$27,"NaN",1)</f>
        <v>10</v>
      </c>
      <c r="I104" s="262" t="str">
        <f t="shared" si="20"/>
        <v>Klugheit: 12 | Fingerfertigkeit: 10 | Fingerfertigkeit: 10</v>
      </c>
      <c r="J104" s="46" t="str">
        <f>_xlfn.XLOOKUP(B104,Talente!A:A,Talente!F:F)</f>
        <v>B</v>
      </c>
      <c r="K104" s="46" t="str">
        <f>_xlfn.XLOOKUP(B104,Talente!A:A,Talente!G:G)</f>
        <v>-</v>
      </c>
      <c r="L104" s="46">
        <f t="shared" si="21"/>
        <v>0</v>
      </c>
      <c r="M104" s="57">
        <v>2</v>
      </c>
      <c r="N104" s="46">
        <f t="shared" si="22"/>
        <v>15</v>
      </c>
      <c r="O104" s="57">
        <v>0</v>
      </c>
      <c r="P104" s="46">
        <f t="shared" si="23"/>
        <v>2</v>
      </c>
      <c r="Q104" s="57"/>
      <c r="R104" s="154"/>
      <c r="S104" s="154"/>
      <c r="T104" s="89"/>
      <c r="U104" s="89"/>
      <c r="V104" s="89"/>
      <c r="W104" s="89"/>
      <c r="X104" s="89"/>
      <c r="Y104" s="89"/>
      <c r="Z104" s="89"/>
      <c r="AA104" s="89"/>
    </row>
    <row r="105" spans="2:27" ht="20.25" hidden="1">
      <c r="B105" s="155" t="s">
        <v>214</v>
      </c>
      <c r="C105" s="92" t="str">
        <f>_xlfn.XLOOKUP(B105,Talente!A:A,Talente!C:C)</f>
        <v>Fingerfertigkeit</v>
      </c>
      <c r="D105" s="92">
        <f>_xlfn.XLOOKUP(C105,Eigenschaften!$B$20:$B$27,Eigenschaften!$H$20:$H$27,"NaN",1)</f>
        <v>10</v>
      </c>
      <c r="E105" s="92" t="str">
        <f>_xlfn.XLOOKUP(B105,Talente!A:A,Talente!D:D)</f>
        <v>Gewandheit</v>
      </c>
      <c r="F105" s="92">
        <f>_xlfn.XLOOKUP(E105,Eigenschaften!$B$20:$B$27,Eigenschaften!$H$20:$H$27,"NaN",1)</f>
        <v>14</v>
      </c>
      <c r="G105" s="92" t="str">
        <f>_xlfn.XLOOKUP(B105,Talente!A:A,Talente!E:E)</f>
        <v>Körperkraft</v>
      </c>
      <c r="H105" s="92">
        <f>_xlfn.XLOOKUP(G105,Eigenschaften!$B$20:$B$27,Eigenschaften!$H$20:$H$27,"NaN",1)</f>
        <v>12</v>
      </c>
      <c r="I105" s="262" t="str">
        <f t="shared" si="20"/>
        <v>Fingerfertigkeit: 10 | Gewandheit: 14 | Körperkraft: 12</v>
      </c>
      <c r="J105" s="46" t="str">
        <f>_xlfn.XLOOKUP(B105,Talente!A:A,Talente!F:F)</f>
        <v>B</v>
      </c>
      <c r="K105" s="46" t="str">
        <f>_xlfn.XLOOKUP(B105,Talente!A:A,Talente!G:G)</f>
        <v>-</v>
      </c>
      <c r="L105" s="46">
        <f t="shared" si="21"/>
        <v>0</v>
      </c>
      <c r="M105" s="57"/>
      <c r="N105" s="46">
        <f t="shared" si="22"/>
        <v>17</v>
      </c>
      <c r="O105" s="57">
        <v>0</v>
      </c>
      <c r="P105" s="46">
        <f t="shared" si="23"/>
        <v>0</v>
      </c>
      <c r="Q105" s="57"/>
      <c r="R105" s="154"/>
      <c r="S105" s="154"/>
      <c r="T105" s="89"/>
      <c r="U105" s="89"/>
      <c r="V105" s="89"/>
      <c r="W105" s="89"/>
      <c r="X105" s="89"/>
      <c r="Y105" s="89"/>
      <c r="Z105" s="89"/>
      <c r="AA105" s="89"/>
    </row>
    <row r="106" spans="2:27" ht="20.25" hidden="1">
      <c r="B106" s="155" t="s">
        <v>215</v>
      </c>
      <c r="C106" s="92" t="str">
        <f>_xlfn.XLOOKUP(B106,Talente!A:A,Talente!C:C)</f>
        <v>Fingerfertigkeit</v>
      </c>
      <c r="D106" s="92">
        <f>_xlfn.XLOOKUP(C106,Eigenschaften!$B$20:$B$27,Eigenschaften!$H$20:$H$27,"NaN",1)</f>
        <v>10</v>
      </c>
      <c r="E106" s="92" t="str">
        <f>_xlfn.XLOOKUP(B106,Talente!A:A,Talente!D:D)</f>
        <v>Fingerfertigkeit</v>
      </c>
      <c r="F106" s="92">
        <f>_xlfn.XLOOKUP(E106,Eigenschaften!$B$20:$B$27,Eigenschaften!$H$20:$H$27,"NaN",1)</f>
        <v>10</v>
      </c>
      <c r="G106" s="92" t="str">
        <f>_xlfn.XLOOKUP(B106,Talente!A:A,Talente!E:E)</f>
        <v>Körperkraft</v>
      </c>
      <c r="H106" s="92">
        <f>_xlfn.XLOOKUP(G106,Eigenschaften!$B$20:$B$27,Eigenschaften!$H$20:$H$27,"NaN",1)</f>
        <v>12</v>
      </c>
      <c r="I106" s="262" t="str">
        <f t="shared" si="20"/>
        <v>Fingerfertigkeit: 10 | Fingerfertigkeit: 10 | Körperkraft: 12</v>
      </c>
      <c r="J106" s="46" t="str">
        <f>_xlfn.XLOOKUP(B106,Talente!A:A,Talente!F:F)</f>
        <v>B</v>
      </c>
      <c r="K106" s="46" t="str">
        <f>_xlfn.XLOOKUP(B106,Talente!A:A,Talente!G:G)</f>
        <v>-</v>
      </c>
      <c r="L106" s="46">
        <f t="shared" si="21"/>
        <v>0</v>
      </c>
      <c r="M106" s="57"/>
      <c r="N106" s="46">
        <f t="shared" si="22"/>
        <v>15</v>
      </c>
      <c r="O106" s="57">
        <v>0</v>
      </c>
      <c r="P106" s="46">
        <f t="shared" si="23"/>
        <v>0</v>
      </c>
      <c r="Q106" s="57"/>
      <c r="R106" s="154"/>
      <c r="S106" s="154"/>
      <c r="T106" s="89"/>
      <c r="U106" s="89"/>
      <c r="V106" s="89"/>
      <c r="W106" s="89"/>
      <c r="X106" s="89"/>
      <c r="Y106" s="89"/>
      <c r="Z106" s="89"/>
      <c r="AA106" s="89"/>
    </row>
    <row r="107" spans="2:27" ht="20.25" hidden="1">
      <c r="B107" s="155" t="s">
        <v>216</v>
      </c>
      <c r="C107" s="92" t="str">
        <f>_xlfn.XLOOKUP(B107,Talente!A:A,Talente!C:C)</f>
        <v>Fingerfertigkeit</v>
      </c>
      <c r="D107" s="92">
        <f>_xlfn.XLOOKUP(C107,Eigenschaften!$B$20:$B$27,Eigenschaften!$H$20:$H$27,"NaN",1)</f>
        <v>10</v>
      </c>
      <c r="E107" s="92" t="str">
        <f>_xlfn.XLOOKUP(B107,Talente!A:A,Talente!D:D)</f>
        <v>Fingerfertigkeit</v>
      </c>
      <c r="F107" s="92">
        <f>_xlfn.XLOOKUP(E107,Eigenschaften!$B$20:$B$27,Eigenschaften!$H$20:$H$27,"NaN",1)</f>
        <v>10</v>
      </c>
      <c r="G107" s="92" t="str">
        <f>_xlfn.XLOOKUP(B107,Talente!A:A,Talente!E:E)</f>
        <v>Körperkraft</v>
      </c>
      <c r="H107" s="92">
        <f>_xlfn.XLOOKUP(G107,Eigenschaften!$B$20:$B$27,Eigenschaften!$H$20:$H$27,"NaN",1)</f>
        <v>12</v>
      </c>
      <c r="I107" s="262" t="str">
        <f t="shared" si="20"/>
        <v>Fingerfertigkeit: 10 | Fingerfertigkeit: 10 | Körperkraft: 12</v>
      </c>
      <c r="J107" s="46" t="str">
        <f>_xlfn.XLOOKUP(B107,Talente!A:A,Talente!F:F)</f>
        <v>B</v>
      </c>
      <c r="K107" s="46" t="str">
        <f>_xlfn.XLOOKUP(B107,Talente!A:A,Talente!G:G)</f>
        <v>-</v>
      </c>
      <c r="L107" s="46">
        <f t="shared" si="21"/>
        <v>0</v>
      </c>
      <c r="M107" s="57"/>
      <c r="N107" s="46">
        <f t="shared" si="22"/>
        <v>15</v>
      </c>
      <c r="O107" s="57">
        <v>0</v>
      </c>
      <c r="P107" s="46">
        <f t="shared" si="23"/>
        <v>0</v>
      </c>
      <c r="Q107" s="57"/>
      <c r="R107" s="154"/>
      <c r="S107" s="154"/>
      <c r="T107" s="89"/>
      <c r="U107" s="89"/>
      <c r="V107" s="89"/>
      <c r="W107" s="89"/>
      <c r="X107" s="89"/>
      <c r="Y107" s="89"/>
      <c r="Z107" s="89"/>
      <c r="AA107" s="89"/>
    </row>
    <row r="108" spans="2:27" ht="20.25" hidden="1">
      <c r="B108" s="155" t="s">
        <v>217</v>
      </c>
      <c r="C108" s="92" t="str">
        <f>_xlfn.XLOOKUP(B108,Talente!A:A,Talente!C:C)</f>
        <v>Intuition</v>
      </c>
      <c r="D108" s="92">
        <f>_xlfn.XLOOKUP(C108,Eigenschaften!$B$20:$B$27,Eigenschaften!$H$20:$H$27,"NaN",1)</f>
        <v>15</v>
      </c>
      <c r="E108" s="92" t="str">
        <f>_xlfn.XLOOKUP(B108,Talente!A:A,Talente!D:D)</f>
        <v>Fingerfertigkeit</v>
      </c>
      <c r="F108" s="92">
        <f>_xlfn.XLOOKUP(E108,Eigenschaften!$B$20:$B$27,Eigenschaften!$H$20:$H$27,"NaN",1)</f>
        <v>10</v>
      </c>
      <c r="G108" s="92" t="str">
        <f>_xlfn.XLOOKUP(B108,Talente!A:A,Talente!E:E)</f>
        <v>Fingerfertigkeit</v>
      </c>
      <c r="H108" s="92">
        <f>_xlfn.XLOOKUP(G108,Eigenschaften!$B$20:$B$27,Eigenschaften!$H$20:$H$27,"NaN",1)</f>
        <v>10</v>
      </c>
      <c r="I108" s="262" t="str">
        <f t="shared" si="20"/>
        <v>Intuition: 15 | Fingerfertigkeit: 10 | Fingerfertigkeit: 10</v>
      </c>
      <c r="J108" s="46" t="str">
        <f>_xlfn.XLOOKUP(B108,Talente!A:A,Talente!F:F)</f>
        <v>B</v>
      </c>
      <c r="K108" s="46" t="str">
        <f>_xlfn.XLOOKUP(B108,Talente!A:A,Talente!G:G)</f>
        <v>-</v>
      </c>
      <c r="L108" s="46">
        <f t="shared" si="21"/>
        <v>0</v>
      </c>
      <c r="M108" s="57"/>
      <c r="N108" s="46">
        <f t="shared" si="22"/>
        <v>18</v>
      </c>
      <c r="O108" s="57">
        <v>0</v>
      </c>
      <c r="P108" s="46">
        <f t="shared" si="23"/>
        <v>0</v>
      </c>
      <c r="Q108" s="57"/>
      <c r="R108" s="154"/>
      <c r="S108" s="154"/>
      <c r="T108" s="89"/>
      <c r="U108" s="89"/>
      <c r="V108" s="89"/>
      <c r="W108" s="89"/>
      <c r="X108" s="89"/>
      <c r="Y108" s="89"/>
      <c r="Z108" s="89"/>
      <c r="AA108" s="89"/>
    </row>
    <row r="109" spans="2:27" ht="20.25" hidden="1">
      <c r="B109" s="155" t="s">
        <v>218</v>
      </c>
      <c r="C109" s="92" t="str">
        <f>_xlfn.XLOOKUP(B109,Talente!A:A,Talente!C:C)</f>
        <v>Klugheit</v>
      </c>
      <c r="D109" s="92">
        <f>_xlfn.XLOOKUP(C109,Eigenschaften!$B$20:$B$27,Eigenschaften!$H$20:$H$27,"NaN",1)</f>
        <v>12</v>
      </c>
      <c r="E109" s="92" t="str">
        <f>_xlfn.XLOOKUP(B109,Talente!A:A,Talente!D:D)</f>
        <v>Fingerfertigkeit</v>
      </c>
      <c r="F109" s="92">
        <f>_xlfn.XLOOKUP(E109,Eigenschaften!$B$20:$B$27,Eigenschaften!$H$20:$H$27,"NaN",1)</f>
        <v>10</v>
      </c>
      <c r="G109" s="92" t="str">
        <f>_xlfn.XLOOKUP(B109,Talente!A:A,Talente!E:E)</f>
        <v>Körperkraft</v>
      </c>
      <c r="H109" s="92">
        <f>_xlfn.XLOOKUP(G109,Eigenschaften!$B$20:$B$27,Eigenschaften!$H$20:$H$27,"NaN",1)</f>
        <v>12</v>
      </c>
      <c r="I109" s="262" t="str">
        <f t="shared" si="20"/>
        <v>Klugheit: 12 | Fingerfertigkeit: 10 | Körperkraft: 12</v>
      </c>
      <c r="J109" s="46" t="str">
        <f>_xlfn.XLOOKUP(B109,Talente!A:A,Talente!F:F)</f>
        <v>B</v>
      </c>
      <c r="K109" s="46" t="str">
        <f>_xlfn.XLOOKUP(B109,Talente!A:A,Talente!G:G)</f>
        <v>-</v>
      </c>
      <c r="L109" s="46">
        <f t="shared" si="21"/>
        <v>0</v>
      </c>
      <c r="M109" s="57"/>
      <c r="N109" s="46">
        <f t="shared" si="22"/>
        <v>15</v>
      </c>
      <c r="O109" s="57">
        <v>0</v>
      </c>
      <c r="P109" s="46">
        <f t="shared" si="23"/>
        <v>0</v>
      </c>
      <c r="Q109" s="57"/>
      <c r="R109" s="154"/>
      <c r="S109" s="154"/>
      <c r="T109" s="89"/>
      <c r="U109" s="89"/>
      <c r="V109" s="89"/>
      <c r="W109" s="89"/>
      <c r="X109" s="89"/>
      <c r="Y109" s="89"/>
      <c r="Z109" s="89"/>
      <c r="AA109" s="89"/>
    </row>
    <row r="110" spans="2:27" ht="20.25">
      <c r="B110" s="155" t="s">
        <v>219</v>
      </c>
      <c r="C110" s="92" t="str">
        <f>_xlfn.XLOOKUP(B110,Talente!A:A,Talente!C:C)</f>
        <v>Klugheit</v>
      </c>
      <c r="D110" s="92">
        <f>_xlfn.XLOOKUP(C110,Eigenschaften!$B$20:$B$27,Eigenschaften!$H$20:$H$27,"NaN",1)</f>
        <v>12</v>
      </c>
      <c r="E110" s="92" t="str">
        <f>_xlfn.XLOOKUP(B110,Talente!A:A,Talente!D:D)</f>
        <v>Fingerfertigkeit</v>
      </c>
      <c r="F110" s="92">
        <f>_xlfn.XLOOKUP(E110,Eigenschaften!$B$20:$B$27,Eigenschaften!$H$20:$H$27,"NaN",1)</f>
        <v>10</v>
      </c>
      <c r="G110" s="92" t="str">
        <f>_xlfn.XLOOKUP(B110,Talente!A:A,Talente!E:E)</f>
        <v>Körperkraft</v>
      </c>
      <c r="H110" s="92">
        <f>_xlfn.XLOOKUP(G110,Eigenschaften!$B$20:$B$27,Eigenschaften!$H$20:$H$27,"NaN",1)</f>
        <v>12</v>
      </c>
      <c r="I110" s="262" t="str">
        <f t="shared" si="20"/>
        <v>Klugheit: 12 | Fingerfertigkeit: 10 | Körperkraft: 12</v>
      </c>
      <c r="J110" s="46" t="str">
        <f>_xlfn.XLOOKUP(B110,Talente!A:A,Talente!F:F)</f>
        <v>B</v>
      </c>
      <c r="K110" s="46" t="str">
        <f>_xlfn.XLOOKUP(B110,Talente!A:A,Talente!G:G)</f>
        <v>-</v>
      </c>
      <c r="L110" s="46">
        <f t="shared" si="21"/>
        <v>0</v>
      </c>
      <c r="M110" s="57">
        <v>1</v>
      </c>
      <c r="N110" s="46">
        <f t="shared" si="22"/>
        <v>15</v>
      </c>
      <c r="O110" s="57">
        <v>0</v>
      </c>
      <c r="P110" s="46">
        <f t="shared" si="23"/>
        <v>1</v>
      </c>
      <c r="Q110" s="57"/>
      <c r="R110" s="154"/>
      <c r="S110" s="154"/>
      <c r="T110" s="89"/>
      <c r="U110" s="89"/>
      <c r="V110" s="89"/>
      <c r="W110" s="89"/>
      <c r="X110" s="89"/>
      <c r="Y110" s="89"/>
      <c r="Z110" s="89"/>
      <c r="AA110" s="89"/>
    </row>
    <row r="111" spans="2:27" ht="20.25" hidden="1">
      <c r="B111" s="155" t="s">
        <v>220</v>
      </c>
      <c r="C111" s="92" t="str">
        <f>_xlfn.XLOOKUP(B111,Talente!A:A,Talente!C:C)</f>
        <v>Intuition</v>
      </c>
      <c r="D111" s="92">
        <f>_xlfn.XLOOKUP(C111,Eigenschaften!$B$20:$B$27,Eigenschaften!$H$20:$H$27,"NaN",1)</f>
        <v>15</v>
      </c>
      <c r="E111" s="92" t="str">
        <f>_xlfn.XLOOKUP(B111,Talente!A:A,Talente!D:D)</f>
        <v>Fingerfertigkeit</v>
      </c>
      <c r="F111" s="92">
        <f>_xlfn.XLOOKUP(E111,Eigenschaften!$B$20:$B$27,Eigenschaften!$H$20:$H$27,"NaN",1)</f>
        <v>10</v>
      </c>
      <c r="G111" s="92" t="str">
        <f>_xlfn.XLOOKUP(B111,Talente!A:A,Talente!E:E)</f>
        <v>Fingerfertigkeit</v>
      </c>
      <c r="H111" s="92">
        <f>_xlfn.XLOOKUP(G111,Eigenschaften!$B$20:$B$27,Eigenschaften!$H$20:$H$27,"NaN",1)</f>
        <v>10</v>
      </c>
      <c r="I111" s="262" t="str">
        <f t="shared" si="20"/>
        <v>Intuition: 15 | Fingerfertigkeit: 10 | Fingerfertigkeit: 10</v>
      </c>
      <c r="J111" s="46" t="str">
        <f>_xlfn.XLOOKUP(B111,Talente!A:A,Talente!F:F)</f>
        <v>B</v>
      </c>
      <c r="K111" s="46" t="str">
        <f>_xlfn.XLOOKUP(B111,Talente!A:A,Talente!G:G)</f>
        <v>-</v>
      </c>
      <c r="L111" s="46">
        <f t="shared" si="21"/>
        <v>0</v>
      </c>
      <c r="M111" s="57"/>
      <c r="N111" s="46">
        <f t="shared" si="22"/>
        <v>18</v>
      </c>
      <c r="O111" s="57">
        <v>0</v>
      </c>
      <c r="P111" s="46">
        <f t="shared" si="23"/>
        <v>0</v>
      </c>
      <c r="Q111" s="57"/>
      <c r="R111" s="154"/>
      <c r="S111" s="154"/>
      <c r="T111" s="89"/>
      <c r="U111" s="89"/>
      <c r="V111" s="89"/>
      <c r="W111" s="89"/>
      <c r="X111" s="89"/>
      <c r="Y111" s="89"/>
      <c r="Z111" s="89"/>
      <c r="AA111" s="89"/>
    </row>
    <row r="112" spans="2:27" ht="20.25" hidden="1">
      <c r="B112" s="155" t="s">
        <v>221</v>
      </c>
      <c r="C112" s="92" t="str">
        <f>_xlfn.XLOOKUP(B112,Talente!A:A,Talente!C:C)</f>
        <v>Klugheit</v>
      </c>
      <c r="D112" s="92">
        <f>_xlfn.XLOOKUP(C112,Eigenschaften!$B$20:$B$27,Eigenschaften!$H$20:$H$27,"NaN",1)</f>
        <v>12</v>
      </c>
      <c r="E112" s="92" t="str">
        <f>_xlfn.XLOOKUP(B112,Talente!A:A,Talente!D:D)</f>
        <v>Fingerfertigkeit</v>
      </c>
      <c r="F112" s="92">
        <f>_xlfn.XLOOKUP(E112,Eigenschaften!$B$20:$B$27,Eigenschaften!$H$20:$H$27,"NaN",1)</f>
        <v>10</v>
      </c>
      <c r="G112" s="92" t="str">
        <f>_xlfn.XLOOKUP(B112,Talente!A:A,Talente!E:E)</f>
        <v>Fingerfertigkeit</v>
      </c>
      <c r="H112" s="92">
        <f>_xlfn.XLOOKUP(G112,Eigenschaften!$B$20:$B$27,Eigenschaften!$H$20:$H$27,"NaN",1)</f>
        <v>10</v>
      </c>
      <c r="I112" s="262" t="str">
        <f t="shared" si="20"/>
        <v>Klugheit: 12 | Fingerfertigkeit: 10 | Fingerfertigkeit: 10</v>
      </c>
      <c r="J112" s="46" t="str">
        <f>_xlfn.XLOOKUP(B112,Talente!A:A,Talente!F:F)</f>
        <v>B</v>
      </c>
      <c r="K112" s="46" t="str">
        <f>_xlfn.XLOOKUP(B112,Talente!A:A,Talente!G:G)</f>
        <v>-</v>
      </c>
      <c r="L112" s="46">
        <f t="shared" si="21"/>
        <v>0</v>
      </c>
      <c r="M112" s="57"/>
      <c r="N112" s="46">
        <f t="shared" si="22"/>
        <v>15</v>
      </c>
      <c r="O112" s="57">
        <v>0</v>
      </c>
      <c r="P112" s="46">
        <f t="shared" si="23"/>
        <v>0</v>
      </c>
      <c r="Q112" s="57"/>
      <c r="R112" s="154"/>
      <c r="S112" s="154"/>
      <c r="T112" s="89"/>
      <c r="U112" s="89"/>
      <c r="V112" s="89"/>
      <c r="W112" s="89"/>
      <c r="X112" s="89"/>
      <c r="Y112" s="89"/>
      <c r="Z112" s="89"/>
      <c r="AA112" s="89"/>
    </row>
    <row r="113" spans="1:27" ht="20.25" hidden="1">
      <c r="B113" s="155" t="s">
        <v>222</v>
      </c>
      <c r="C113" s="92" t="str">
        <f>_xlfn.XLOOKUP(B113,Talente!A:A,Talente!C:C)</f>
        <v>Klugheit</v>
      </c>
      <c r="D113" s="92">
        <f>_xlfn.XLOOKUP(C113,Eigenschaften!$B$20:$B$27,Eigenschaften!$H$20:$H$27,"NaN",1)</f>
        <v>12</v>
      </c>
      <c r="E113" s="92" t="str">
        <f>_xlfn.XLOOKUP(B113,Talente!A:A,Talente!D:D)</f>
        <v>Intuition</v>
      </c>
      <c r="F113" s="92">
        <f>_xlfn.XLOOKUP(E113,Eigenschaften!$B$20:$B$27,Eigenschaften!$H$20:$H$27,"NaN",1)</f>
        <v>15</v>
      </c>
      <c r="G113" s="92" t="str">
        <f>_xlfn.XLOOKUP(B113,Talente!A:A,Talente!E:E)</f>
        <v>Körperkraft</v>
      </c>
      <c r="H113" s="92">
        <f>_xlfn.XLOOKUP(G113,Eigenschaften!$B$20:$B$27,Eigenschaften!$H$20:$H$27,"NaN",1)</f>
        <v>12</v>
      </c>
      <c r="I113" s="262" t="str">
        <f t="shared" si="20"/>
        <v>Klugheit: 12 | Intuition: 15 | Körperkraft: 12</v>
      </c>
      <c r="J113" s="46" t="str">
        <f>_xlfn.XLOOKUP(B113,Talente!A:A,Talente!F:F)</f>
        <v>B</v>
      </c>
      <c r="K113" s="46" t="str">
        <f>_xlfn.XLOOKUP(B113,Talente!A:A,Talente!G:G)</f>
        <v>-</v>
      </c>
      <c r="L113" s="46">
        <f t="shared" si="21"/>
        <v>0</v>
      </c>
      <c r="M113" s="57"/>
      <c r="N113" s="46">
        <f t="shared" si="22"/>
        <v>18</v>
      </c>
      <c r="O113" s="57">
        <v>0</v>
      </c>
      <c r="P113" s="46">
        <f t="shared" si="23"/>
        <v>0</v>
      </c>
      <c r="Q113" s="57"/>
      <c r="R113" s="154"/>
      <c r="S113" s="154"/>
      <c r="T113" s="89"/>
      <c r="U113" s="89"/>
      <c r="V113" s="89"/>
      <c r="W113" s="89"/>
      <c r="X113" s="89"/>
      <c r="Y113" s="89"/>
      <c r="Z113" s="89"/>
      <c r="AA113" s="89"/>
    </row>
    <row r="114" spans="1:27" ht="20.25" hidden="1">
      <c r="B114" s="155" t="s">
        <v>223</v>
      </c>
      <c r="C114" s="92" t="str">
        <f>_xlfn.XLOOKUP(B114,Talente!A:A,Talente!C:C)</f>
        <v>Fingerfertigkeit</v>
      </c>
      <c r="D114" s="92">
        <f>_xlfn.XLOOKUP(C114,Eigenschaften!$B$20:$B$27,Eigenschaften!$H$20:$H$27,"NaN",1)</f>
        <v>10</v>
      </c>
      <c r="E114" s="92" t="str">
        <f>_xlfn.XLOOKUP(B114,Talente!A:A,Talente!D:D)</f>
        <v>Fingerfertigkeit</v>
      </c>
      <c r="F114" s="92">
        <f>_xlfn.XLOOKUP(E114,Eigenschaften!$B$20:$B$27,Eigenschaften!$H$20:$H$27,"NaN",1)</f>
        <v>10</v>
      </c>
      <c r="G114" s="92" t="str">
        <f>_xlfn.XLOOKUP(B114,Talente!A:A,Talente!E:E)</f>
        <v>Körperkraft</v>
      </c>
      <c r="H114" s="92">
        <f>_xlfn.XLOOKUP(G114,Eigenschaften!$B$20:$B$27,Eigenschaften!$H$20:$H$27,"NaN",1)</f>
        <v>12</v>
      </c>
      <c r="I114" s="262" t="str">
        <f t="shared" si="20"/>
        <v>Fingerfertigkeit: 10 | Fingerfertigkeit: 10 | Körperkraft: 12</v>
      </c>
      <c r="J114" s="46" t="str">
        <f>_xlfn.XLOOKUP(B114,Talente!A:A,Talente!F:F)</f>
        <v>B</v>
      </c>
      <c r="K114" s="46" t="str">
        <f>_xlfn.XLOOKUP(B114,Talente!A:A,Talente!G:G)</f>
        <v>-</v>
      </c>
      <c r="L114" s="46">
        <f t="shared" si="21"/>
        <v>0</v>
      </c>
      <c r="M114" s="57"/>
      <c r="N114" s="46">
        <f t="shared" si="22"/>
        <v>15</v>
      </c>
      <c r="O114" s="57">
        <v>0</v>
      </c>
      <c r="P114" s="46">
        <f t="shared" si="23"/>
        <v>0</v>
      </c>
      <c r="Q114" s="57"/>
      <c r="R114" s="154"/>
      <c r="S114" s="154"/>
      <c r="T114" s="89"/>
      <c r="U114" s="89"/>
      <c r="V114" s="89"/>
      <c r="W114" s="89"/>
      <c r="X114" s="89"/>
      <c r="Y114" s="89"/>
      <c r="Z114" s="89"/>
      <c r="AA114" s="89"/>
    </row>
    <row r="115" spans="1:27" ht="20.25" hidden="1">
      <c r="B115" s="155" t="s">
        <v>224</v>
      </c>
      <c r="C115" s="92" t="str">
        <f>_xlfn.XLOOKUP(B115,Talente!A:A,Talente!C:C)</f>
        <v>Klugheit</v>
      </c>
      <c r="D115" s="92">
        <f>_xlfn.XLOOKUP(C115,Eigenschaften!$B$20:$B$27,Eigenschaften!$H$20:$H$27,"NaN",1)</f>
        <v>12</v>
      </c>
      <c r="E115" s="92" t="str">
        <f>_xlfn.XLOOKUP(B115,Talente!A:A,Talente!D:D)</f>
        <v>Fingerfertigkeit</v>
      </c>
      <c r="F115" s="92">
        <f>_xlfn.XLOOKUP(E115,Eigenschaften!$B$20:$B$27,Eigenschaften!$H$20:$H$27,"NaN",1)</f>
        <v>10</v>
      </c>
      <c r="G115" s="92" t="str">
        <f>_xlfn.XLOOKUP(B115,Talente!A:A,Talente!E:E)</f>
        <v>Körperkraft</v>
      </c>
      <c r="H115" s="92">
        <f>_xlfn.XLOOKUP(G115,Eigenschaften!$B$20:$B$27,Eigenschaften!$H$20:$H$27,"NaN",1)</f>
        <v>12</v>
      </c>
      <c r="I115" s="262" t="str">
        <f t="shared" si="20"/>
        <v>Klugheit: 12 | Fingerfertigkeit: 10 | Körperkraft: 12</v>
      </c>
      <c r="J115" s="46" t="str">
        <f>_xlfn.XLOOKUP(B115,Talente!A:A,Talente!F:F)</f>
        <v>B</v>
      </c>
      <c r="K115" s="46" t="str">
        <f>_xlfn.XLOOKUP(B115,Talente!A:A,Talente!G:G)</f>
        <v>-</v>
      </c>
      <c r="L115" s="46">
        <f t="shared" si="21"/>
        <v>0</v>
      </c>
      <c r="M115" s="57"/>
      <c r="N115" s="46">
        <f t="shared" si="22"/>
        <v>15</v>
      </c>
      <c r="O115" s="57">
        <v>0</v>
      </c>
      <c r="P115" s="46">
        <f t="shared" si="23"/>
        <v>0</v>
      </c>
      <c r="Q115" s="57"/>
      <c r="R115" s="154"/>
      <c r="S115" s="154"/>
      <c r="T115" s="89"/>
      <c r="U115" s="89"/>
      <c r="V115" s="89"/>
      <c r="W115" s="89"/>
      <c r="X115" s="89"/>
      <c r="Y115" s="89"/>
      <c r="Z115" s="89"/>
      <c r="AA115" s="89"/>
    </row>
    <row r="116" spans="1:27" ht="20.25" hidden="1">
      <c r="B116" s="155" t="s">
        <v>225</v>
      </c>
      <c r="C116" s="92" t="str">
        <f>_xlfn.XLOOKUP(B116,Talente!A:A,Talente!C:C)</f>
        <v>Klugheit</v>
      </c>
      <c r="D116" s="92">
        <f>_xlfn.XLOOKUP(C116,Eigenschaften!$B$20:$B$27,Eigenschaften!$H$20:$H$27,"NaN",1)</f>
        <v>12</v>
      </c>
      <c r="E116" s="92" t="str">
        <f>_xlfn.XLOOKUP(B116,Talente!A:A,Talente!D:D)</f>
        <v>Fingerfertigkeit</v>
      </c>
      <c r="F116" s="92">
        <f>_xlfn.XLOOKUP(E116,Eigenschaften!$B$20:$B$27,Eigenschaften!$H$20:$H$27,"NaN",1)</f>
        <v>10</v>
      </c>
      <c r="G116" s="92" t="str">
        <f>_xlfn.XLOOKUP(B116,Talente!A:A,Talente!E:E)</f>
        <v>Körperkraft</v>
      </c>
      <c r="H116" s="92">
        <f>_xlfn.XLOOKUP(G116,Eigenschaften!$B$20:$B$27,Eigenschaften!$H$20:$H$27,"NaN",1)</f>
        <v>12</v>
      </c>
      <c r="I116" s="262" t="str">
        <f t="shared" si="20"/>
        <v>Klugheit: 12 | Fingerfertigkeit: 10 | Körperkraft: 12</v>
      </c>
      <c r="J116" s="46" t="str">
        <f>_xlfn.XLOOKUP(B116,Talente!A:A,Talente!F:F)</f>
        <v>B</v>
      </c>
      <c r="K116" s="46" t="str">
        <f>_xlfn.XLOOKUP(B116,Talente!A:A,Talente!G:G)</f>
        <v>-</v>
      </c>
      <c r="L116" s="46">
        <f t="shared" si="21"/>
        <v>0</v>
      </c>
      <c r="M116" s="57" t="s">
        <v>119</v>
      </c>
      <c r="N116" s="46">
        <f t="shared" si="22"/>
        <v>15</v>
      </c>
      <c r="O116" s="57">
        <v>0</v>
      </c>
      <c r="P116" s="46" t="str">
        <f t="shared" si="23"/>
        <v>-</v>
      </c>
      <c r="Q116" s="57"/>
      <c r="R116" s="154"/>
      <c r="S116" s="154"/>
      <c r="T116" s="89"/>
      <c r="U116" s="89"/>
      <c r="V116" s="89"/>
      <c r="W116" s="89"/>
      <c r="X116" s="89"/>
      <c r="Y116" s="89"/>
      <c r="Z116" s="89"/>
      <c r="AA116" s="89"/>
    </row>
    <row r="117" spans="1:27" ht="20.25">
      <c r="B117" s="89"/>
      <c r="C117" s="89"/>
      <c r="D117" s="89"/>
      <c r="E117" s="89"/>
      <c r="F117" s="89"/>
      <c r="G117" s="89"/>
      <c r="H117" s="89"/>
      <c r="I117" s="93"/>
      <c r="J117" s="89"/>
      <c r="K117" s="89"/>
      <c r="L117" s="89"/>
      <c r="M117" s="89"/>
      <c r="N117" s="89"/>
      <c r="O117" s="89"/>
      <c r="P117" s="89"/>
      <c r="Q117" s="89"/>
      <c r="R117" s="89"/>
      <c r="S117" s="89"/>
      <c r="T117" s="89"/>
      <c r="U117" s="89"/>
      <c r="V117" s="89"/>
      <c r="W117" s="89"/>
      <c r="X117" s="89"/>
      <c r="Y117" s="89"/>
      <c r="Z117" s="89"/>
      <c r="AA117" s="89"/>
    </row>
    <row r="118" spans="1:27" ht="21">
      <c r="A118" s="89"/>
      <c r="B118" s="155" t="s">
        <v>248</v>
      </c>
      <c r="C118" s="91" t="s">
        <v>232</v>
      </c>
      <c r="D118" s="91" t="s">
        <v>232</v>
      </c>
      <c r="E118" s="91" t="s">
        <v>233</v>
      </c>
      <c r="F118" s="91" t="s">
        <v>233</v>
      </c>
      <c r="G118" s="91" t="s">
        <v>234</v>
      </c>
      <c r="H118" s="91" t="s">
        <v>234</v>
      </c>
      <c r="I118" s="155" t="str">
        <f>I60</f>
        <v>Eigenschaften</v>
      </c>
      <c r="J118" s="155" t="str">
        <f t="shared" ref="J118:S118" si="24">J60</f>
        <v>Kompl.</v>
      </c>
      <c r="K118" s="155" t="str">
        <f t="shared" si="24"/>
        <v>BE</v>
      </c>
      <c r="L118" s="155" t="str">
        <f t="shared" si="24"/>
        <v>eBE</v>
      </c>
      <c r="M118" s="155" t="str">
        <f t="shared" si="24"/>
        <v>TaW</v>
      </c>
      <c r="N118" s="155" t="str">
        <f t="shared" si="24"/>
        <v>max. TaW</v>
      </c>
      <c r="O118" s="155" t="str">
        <f t="shared" si="24"/>
        <v>Mod</v>
      </c>
      <c r="P118" s="155" t="str">
        <f t="shared" si="24"/>
        <v>TaW</v>
      </c>
      <c r="Q118" s="155" t="str">
        <f t="shared" si="24"/>
        <v>SE</v>
      </c>
      <c r="R118" s="155" t="str">
        <f t="shared" si="24"/>
        <v>Spezialisierung</v>
      </c>
      <c r="S118" s="155" t="str">
        <f t="shared" si="24"/>
        <v>Sonderfertigkeiten</v>
      </c>
      <c r="T118" s="89"/>
      <c r="U118" s="89"/>
      <c r="V118" s="89"/>
      <c r="W118" s="89"/>
      <c r="X118" s="89"/>
      <c r="Y118" s="89"/>
      <c r="Z118" s="89"/>
      <c r="AA118" s="89"/>
    </row>
    <row r="119" spans="1:27" ht="20.25">
      <c r="B119" s="155" t="s">
        <v>249</v>
      </c>
      <c r="C119" s="92" t="s">
        <v>39</v>
      </c>
      <c r="D119" s="92">
        <f>_xlfn.XLOOKUP(C119,Eigenschaften!$B$20:$B$27,Eigenschaften!$H$20:$H$27,"NaN",1)</f>
        <v>12</v>
      </c>
      <c r="E119" s="92" t="s">
        <v>44</v>
      </c>
      <c r="F119" s="92">
        <f>_xlfn.XLOOKUP(E119,Eigenschaften!$B$20:$B$27,Eigenschaften!$H$20:$H$27,"NaN",1)</f>
        <v>15</v>
      </c>
      <c r="G119" s="92" t="s">
        <v>49</v>
      </c>
      <c r="H119" s="92">
        <f>_xlfn.XLOOKUP(G119,Eigenschaften!$B$20:$B$27,Eigenschaften!$H$20:$H$27,"NaN",1)</f>
        <v>15</v>
      </c>
      <c r="I119" s="262" t="str">
        <f t="shared" ref="I119" si="25">C119&amp;": "&amp;D119&amp;" | "&amp;E119&amp;": "&amp;F119&amp;" | "&amp;G119&amp;": "&amp;H119</f>
        <v>Klugheit: 12 | Intuition: 15 | Charisma: 15</v>
      </c>
      <c r="J119" s="46">
        <v>18</v>
      </c>
      <c r="K119" s="240" t="s">
        <v>250</v>
      </c>
      <c r="L119" s="46">
        <f t="shared" ref="L119:L123" si="26">IF(NOT(ISERROR(FIND("x",K119))),RIGHT(K119,1)*$H$2,IF(K119&lt;0,IF(($H$2+K119)&gt;0,$H$2+K119,0),IF(K119="-",0,0)))</f>
        <v>0</v>
      </c>
      <c r="M119" s="57">
        <v>10</v>
      </c>
      <c r="N119" s="46">
        <f t="shared" ref="N119" si="27">MAX(D119:H119)+3</f>
        <v>18</v>
      </c>
      <c r="O119" s="57">
        <v>0</v>
      </c>
      <c r="P119" s="46">
        <f t="shared" ref="P119:P123" si="28">IF(M119="-","-",M119-L119+O119)</f>
        <v>10</v>
      </c>
      <c r="Q119" s="57"/>
      <c r="R119" s="154"/>
      <c r="S119" s="154"/>
      <c r="T119" s="89"/>
      <c r="U119" s="89"/>
      <c r="V119" s="89"/>
      <c r="W119" s="89"/>
      <c r="X119" s="89"/>
      <c r="Y119" s="89"/>
      <c r="Z119" s="89"/>
      <c r="AA119" s="89"/>
    </row>
    <row r="120" spans="1:27" ht="20.25">
      <c r="B120" s="155" t="s">
        <v>1622</v>
      </c>
      <c r="C120" s="92"/>
      <c r="D120" s="92"/>
      <c r="E120" s="92"/>
      <c r="F120" s="92"/>
      <c r="G120" s="92"/>
      <c r="H120" s="92"/>
      <c r="I120" s="262" t="str">
        <f>$I$119</f>
        <v>Klugheit: 12 | Intuition: 15 | Charisma: 15</v>
      </c>
      <c r="J120" s="46">
        <v>18</v>
      </c>
      <c r="K120" s="240" t="s">
        <v>250</v>
      </c>
      <c r="L120" s="46">
        <f t="shared" si="26"/>
        <v>0</v>
      </c>
      <c r="M120" s="57">
        <v>4</v>
      </c>
      <c r="N120" s="46">
        <f>N119</f>
        <v>18</v>
      </c>
      <c r="O120" s="57">
        <v>0</v>
      </c>
      <c r="P120" s="46">
        <f t="shared" si="28"/>
        <v>4</v>
      </c>
      <c r="Q120" s="57"/>
      <c r="R120" s="154"/>
      <c r="S120" s="154"/>
      <c r="T120" s="89"/>
      <c r="U120" s="89"/>
      <c r="V120" s="89"/>
      <c r="W120" s="89"/>
      <c r="X120" s="89"/>
      <c r="Y120" s="89"/>
      <c r="Z120" s="89"/>
      <c r="AA120" s="89"/>
    </row>
    <row r="121" spans="1:27" ht="20.25" hidden="1">
      <c r="B121" s="155" t="s">
        <v>251</v>
      </c>
      <c r="C121" s="92"/>
      <c r="D121" s="92"/>
      <c r="E121" s="92"/>
      <c r="F121" s="92"/>
      <c r="G121" s="92"/>
      <c r="H121" s="92"/>
      <c r="I121" s="262" t="str">
        <f t="shared" ref="I121:I126" si="29">$I$119</f>
        <v>Klugheit: 12 | Intuition: 15 | Charisma: 15</v>
      </c>
      <c r="J121" s="46">
        <v>18</v>
      </c>
      <c r="K121" s="240" t="s">
        <v>250</v>
      </c>
      <c r="L121" s="46">
        <f t="shared" si="26"/>
        <v>0</v>
      </c>
      <c r="M121" s="57"/>
      <c r="N121" s="46">
        <f t="shared" ref="N121:N126" si="30">N120</f>
        <v>18</v>
      </c>
      <c r="O121" s="57">
        <v>0</v>
      </c>
      <c r="P121" s="46">
        <f t="shared" si="28"/>
        <v>0</v>
      </c>
      <c r="Q121" s="57"/>
      <c r="R121" s="154"/>
      <c r="S121" s="154"/>
    </row>
    <row r="122" spans="1:27" ht="20.25" hidden="1">
      <c r="B122" s="155" t="s">
        <v>252</v>
      </c>
      <c r="C122" s="92"/>
      <c r="D122" s="92"/>
      <c r="E122" s="92"/>
      <c r="F122" s="92"/>
      <c r="G122" s="92"/>
      <c r="H122" s="92"/>
      <c r="I122" s="262" t="str">
        <f t="shared" si="29"/>
        <v>Klugheit: 12 | Intuition: 15 | Charisma: 15</v>
      </c>
      <c r="J122" s="46">
        <v>21</v>
      </c>
      <c r="K122" s="240" t="s">
        <v>250</v>
      </c>
      <c r="L122" s="46">
        <f t="shared" si="26"/>
        <v>0</v>
      </c>
      <c r="M122" s="57"/>
      <c r="N122" s="46">
        <f t="shared" si="30"/>
        <v>18</v>
      </c>
      <c r="O122" s="57">
        <v>0</v>
      </c>
      <c r="P122" s="46">
        <f t="shared" si="28"/>
        <v>0</v>
      </c>
      <c r="Q122" s="57"/>
      <c r="R122" s="154"/>
      <c r="S122" s="154"/>
    </row>
    <row r="123" spans="1:27" ht="20.25" hidden="1">
      <c r="B123" s="155" t="s">
        <v>253</v>
      </c>
      <c r="C123" s="92"/>
      <c r="D123" s="92"/>
      <c r="E123" s="92"/>
      <c r="F123" s="92"/>
      <c r="G123" s="92"/>
      <c r="H123" s="92"/>
      <c r="I123" s="262" t="str">
        <f t="shared" si="29"/>
        <v>Klugheit: 12 | Intuition: 15 | Charisma: 15</v>
      </c>
      <c r="J123" s="46">
        <v>18</v>
      </c>
      <c r="K123" s="240" t="s">
        <v>250</v>
      </c>
      <c r="L123" s="46">
        <f t="shared" si="26"/>
        <v>0</v>
      </c>
      <c r="M123" s="57"/>
      <c r="N123" s="46">
        <f t="shared" si="30"/>
        <v>18</v>
      </c>
      <c r="O123" s="57">
        <v>0</v>
      </c>
      <c r="P123" s="46">
        <f t="shared" si="28"/>
        <v>0</v>
      </c>
      <c r="Q123" s="57"/>
      <c r="R123" s="154"/>
      <c r="S123" s="154"/>
    </row>
    <row r="124" spans="1:27" ht="20.25" hidden="1">
      <c r="B124" s="155" t="s">
        <v>254</v>
      </c>
      <c r="C124" s="92"/>
      <c r="D124" s="92"/>
      <c r="E124" s="92"/>
      <c r="F124" s="92"/>
      <c r="G124" s="92"/>
      <c r="H124" s="92"/>
      <c r="I124" s="262" t="str">
        <f t="shared" si="29"/>
        <v>Klugheit: 12 | Intuition: 15 | Charisma: 15</v>
      </c>
      <c r="J124" s="46">
        <v>15</v>
      </c>
      <c r="K124" s="240" t="s">
        <v>250</v>
      </c>
      <c r="L124" s="46">
        <f t="shared" ref="L124" si="31">IF(NOT(ISERROR(FIND("x",K124))),RIGHT(K124,1)*$H$2,IF(K124&lt;0,IF(($H$2+K124)&gt;0,$H$2+K124,0),IF(K124="-",0,0)))</f>
        <v>0</v>
      </c>
      <c r="M124" s="57"/>
      <c r="N124" s="46">
        <f t="shared" si="30"/>
        <v>18</v>
      </c>
      <c r="O124" s="57"/>
      <c r="P124" s="46">
        <f t="shared" ref="P124" si="32">IF(M124="-","-",M124-L124+O124)</f>
        <v>0</v>
      </c>
      <c r="Q124" s="57"/>
      <c r="R124" s="154"/>
      <c r="S124" s="154"/>
    </row>
    <row r="125" spans="1:27" ht="20.25" hidden="1">
      <c r="B125" s="155" t="s">
        <v>255</v>
      </c>
      <c r="C125" s="92"/>
      <c r="D125" s="92"/>
      <c r="E125" s="92"/>
      <c r="F125" s="92"/>
      <c r="G125" s="92"/>
      <c r="H125" s="92"/>
      <c r="I125" s="262" t="str">
        <f t="shared" si="29"/>
        <v>Klugheit: 12 | Intuition: 15 | Charisma: 15</v>
      </c>
      <c r="J125" s="46">
        <v>16</v>
      </c>
      <c r="K125" s="240" t="s">
        <v>250</v>
      </c>
      <c r="L125" s="46">
        <f t="shared" ref="L125:L126" si="33">IF(NOT(ISERROR(FIND("x",K125))),RIGHT(K125,1)*$H$2,IF(K125&lt;0,IF(($H$2+K125)&gt;0,$H$2+K125,0),IF(K125="-",0,0)))</f>
        <v>0</v>
      </c>
      <c r="M125" s="57"/>
      <c r="N125" s="46">
        <f t="shared" si="30"/>
        <v>18</v>
      </c>
      <c r="O125" s="57"/>
      <c r="P125" s="46">
        <f t="shared" ref="P125:P126" si="34">IF(M125="-","-",M125-L125+O125)</f>
        <v>0</v>
      </c>
      <c r="Q125" s="57"/>
      <c r="R125" s="154"/>
      <c r="S125" s="154"/>
    </row>
    <row r="126" spans="1:27" ht="20.25" hidden="1">
      <c r="B126" s="155" t="s">
        <v>256</v>
      </c>
      <c r="C126" s="92"/>
      <c r="D126" s="92"/>
      <c r="E126" s="92"/>
      <c r="F126" s="92"/>
      <c r="G126" s="92"/>
      <c r="H126" s="92"/>
      <c r="I126" s="262" t="str">
        <f t="shared" si="29"/>
        <v>Klugheit: 12 | Intuition: 15 | Charisma: 15</v>
      </c>
      <c r="J126" s="46">
        <v>17</v>
      </c>
      <c r="K126" s="240" t="s">
        <v>250</v>
      </c>
      <c r="L126" s="46">
        <f t="shared" si="33"/>
        <v>0</v>
      </c>
      <c r="M126" s="57"/>
      <c r="N126" s="46">
        <f t="shared" si="30"/>
        <v>18</v>
      </c>
      <c r="O126" s="57"/>
      <c r="P126" s="46">
        <f t="shared" si="34"/>
        <v>0</v>
      </c>
      <c r="Q126" s="57"/>
      <c r="R126" s="154"/>
      <c r="S126" s="154"/>
    </row>
    <row r="128" spans="1:27" ht="21">
      <c r="B128" s="155" t="s">
        <v>257</v>
      </c>
      <c r="C128" s="91" t="s">
        <v>232</v>
      </c>
      <c r="D128" s="91" t="s">
        <v>232</v>
      </c>
      <c r="E128" s="91" t="s">
        <v>233</v>
      </c>
      <c r="F128" s="91" t="s">
        <v>233</v>
      </c>
      <c r="G128" s="91" t="s">
        <v>234</v>
      </c>
      <c r="H128" s="91" t="s">
        <v>234</v>
      </c>
      <c r="I128" s="155" t="str">
        <f t="shared" ref="I128:S128" si="35">I60</f>
        <v>Eigenschaften</v>
      </c>
      <c r="J128" s="155" t="str">
        <f t="shared" si="35"/>
        <v>Kompl.</v>
      </c>
      <c r="K128" s="155" t="str">
        <f t="shared" si="35"/>
        <v>BE</v>
      </c>
      <c r="L128" s="155" t="str">
        <f t="shared" si="35"/>
        <v>eBE</v>
      </c>
      <c r="M128" s="155" t="str">
        <f t="shared" si="35"/>
        <v>TaW</v>
      </c>
      <c r="N128" s="155" t="str">
        <f t="shared" si="35"/>
        <v>max. TaW</v>
      </c>
      <c r="O128" s="155" t="str">
        <f t="shared" si="35"/>
        <v>Mod</v>
      </c>
      <c r="P128" s="155" t="str">
        <f t="shared" si="35"/>
        <v>TaW</v>
      </c>
      <c r="Q128" s="155" t="str">
        <f t="shared" si="35"/>
        <v>SE</v>
      </c>
      <c r="R128" s="155" t="str">
        <f t="shared" si="35"/>
        <v>Spezialisierung</v>
      </c>
      <c r="S128" s="155" t="str">
        <f t="shared" si="35"/>
        <v>Sonderfertigkeiten</v>
      </c>
    </row>
    <row r="129" spans="2:19" ht="20.25">
      <c r="B129" s="155" t="s">
        <v>258</v>
      </c>
      <c r="C129" s="92" t="s">
        <v>39</v>
      </c>
      <c r="D129" s="92">
        <f>_xlfn.XLOOKUP(C129,Eigenschaften!$B$20:$B$27,Eigenschaften!$H$20:$H$27,"NaN",1)</f>
        <v>12</v>
      </c>
      <c r="E129" s="92" t="s">
        <v>39</v>
      </c>
      <c r="F129" s="92">
        <f>_xlfn.XLOOKUP(E129,Eigenschaften!$B$20:$B$27,Eigenschaften!$H$20:$H$27,"NaN",1)</f>
        <v>12</v>
      </c>
      <c r="G129" s="92" t="s">
        <v>53</v>
      </c>
      <c r="H129" s="92">
        <f>_xlfn.XLOOKUP(G129,Eigenschaften!$B$20:$B$27,Eigenschaften!$H$20:$H$27,"NaN",1)</f>
        <v>10</v>
      </c>
      <c r="I129" s="262" t="str">
        <f t="shared" ref="I129" si="36">C129&amp;": "&amp;D129&amp;" | "&amp;E129&amp;": "&amp;F129&amp;" | "&amp;G129&amp;": "&amp;H129</f>
        <v>Klugheit: 12 | Klugheit: 12 | Fingerfertigkeit: 10</v>
      </c>
      <c r="J129" s="46">
        <v>24</v>
      </c>
      <c r="K129" s="240" t="s">
        <v>250</v>
      </c>
      <c r="L129" s="46">
        <f t="shared" ref="L129" si="37">IF(NOT(ISERROR(FIND("x",K129))),RIGHT(K129,1)*$H$2,IF(K129&lt;0,IF(($H$2+K129)&gt;0,$H$2+K129,0),IF(K129="-",0,0)))</f>
        <v>0</v>
      </c>
      <c r="M129" s="57">
        <v>7</v>
      </c>
      <c r="N129" s="46">
        <f t="shared" ref="N129" si="38">MAX(D129:H129)+3</f>
        <v>15</v>
      </c>
      <c r="O129" s="57">
        <v>0</v>
      </c>
      <c r="P129" s="46">
        <f t="shared" ref="P129" si="39">IF(M129="-","-",M129-L129+O129)</f>
        <v>7</v>
      </c>
      <c r="Q129" s="57"/>
      <c r="R129" s="154"/>
      <c r="S129" s="154"/>
    </row>
    <row r="130" spans="2:19">
      <c r="M130" s="88" t="s">
        <v>259</v>
      </c>
    </row>
    <row r="132" spans="2:19">
      <c r="B132" s="155"/>
    </row>
    <row r="133" spans="2:19">
      <c r="B133" s="155" t="s">
        <v>260</v>
      </c>
    </row>
    <row r="134" spans="2:19">
      <c r="B134" s="155" t="s">
        <v>261</v>
      </c>
      <c r="I134" s="156" t="s">
        <v>1664</v>
      </c>
      <c r="M134" s="88">
        <f>ROUNDUP(AVERAGE(_xlfn.XLOOKUP("Sinnesschärfe",B3:B117,M3:M117),_xlfn.XLOOKUP("Pflanzenkunde",B3:B117,M3:M117),_xlfn.XLOOKUP("Wildnisleben",B3:B117,M3:M117)),0)</f>
        <v>9</v>
      </c>
    </row>
    <row r="135" spans="2:19">
      <c r="B135" s="155" t="s">
        <v>262</v>
      </c>
      <c r="I135" s="156" t="s">
        <v>1663</v>
      </c>
    </row>
  </sheetData>
  <mergeCells count="4">
    <mergeCell ref="B1:R1"/>
    <mergeCell ref="I2:K2"/>
    <mergeCell ref="U13:U21"/>
    <mergeCell ref="U4:U11"/>
  </mergeCells>
  <phoneticPr fontId="9" type="noConversion"/>
  <pageMargins left="0.7" right="0.7" top="0.78740157499999996" bottom="0.78740157499999996" header="0.3" footer="0.3"/>
  <pageSetup paperSize="9" orientation="portrait" r:id="rId1"/>
  <ignoredErrors>
    <ignoredError sqref="J59:AC59 J22:S22 Q4:R4 J47:AC47 Q32:AC32 J31:K46 J68:AC68 Q49:AC49 J61:K67 Q71:AC71 Q76:AC82 R75:AC75 N70:O82 K3:R3 T23:AC23 T48:AC48 T60:AC60 T69:AC69 A22:H23 J4:K21 N24:O29 J49:K58 J70:K71 M2:R2 N58:O58 N57 Q84:AC85 Q83:R83 T83:AC83 N84:O116 N83 R13:T14 AD1:XFD14 J117:AC117 Q15:S15 AD31:XFD117 AE15:XFD22 A1:A3 C3:H3 A4:C9 E4:E21 G4:G21 A47:H48 A31:B46 A59:H60 A49:B58 A68:H69 A117:H117 A61:B67 A70:B71 Q7:R7 R5:R6 A24:B29 AD23:XFD29 J24:K29 Q24:T24 Q58:AC58 S57:AC57 Q87:AC88 R86:AC86 Q55:AC55 Q52:AC52 R50:AC51 Q36:AC36 R35:AC35 Q106:AC116 R105:AC105 Q38:AC39 R37:AC37 Q26:AC29 R25:AC25 Q92:AC104 Q91 S91:AC91 R10:R12 Q42:AC42 Q45:AC45 Q17:S21 R16:S16 R56:AC56 R53:AC54 R40:AC41 N49:O56 A12:C21 A10:A11 C10:C11 Q34:AC34 R33:AC33 R43:AC44 R31:AC31 N31:O46 N4:O10 S70:AC70 S46:AC46 A126 N61:O67 A73:B116 A72 A132:H132 C130:H131 AD128:XFD1048567 A119:A124 A128:A131 J131:AC133 A139:H1048567 T128:AC129 J130:L130 N130:AC130 V13:AC13 V14:W14 A133:A135 C133:H135 J137:AC1048567 J135:L135 N135:AC135 Q126:XFD126 R61:AC67 T119:XFD124 V24:AC24 A136 C136:H136 J136:L136 N136:AC136 A137 C137:H137 A138 C138:H138 J73:K116 K72 Q73:AC74 Q72 S72:AC72 R9 R8 Q90:AC90 R89:AC89 J134:L134 N134:AC134 N12:O21 N1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1DE3-D3B5-4603-8F4A-0C5C7B687CFC}">
  <dimension ref="A1:I26"/>
  <sheetViews>
    <sheetView zoomScale="115" zoomScaleNormal="115" workbookViewId="0">
      <selection activeCell="F32" sqref="F32"/>
    </sheetView>
  </sheetViews>
  <sheetFormatPr baseColWidth="10" defaultColWidth="11.5546875" defaultRowHeight="15"/>
  <cols>
    <col min="1" max="1" width="24.109375" customWidth="1"/>
    <col min="2" max="2" width="9.77734375" customWidth="1"/>
    <col min="7" max="7" width="19.77734375" customWidth="1"/>
    <col min="8" max="8" width="11.77734375" customWidth="1"/>
    <col min="9" max="9" width="12.88671875" customWidth="1"/>
    <col min="11" max="11" width="13.6640625" customWidth="1"/>
  </cols>
  <sheetData>
    <row r="1" spans="1:9">
      <c r="A1" t="s">
        <v>267</v>
      </c>
      <c r="B1" t="s">
        <v>268</v>
      </c>
      <c r="C1" t="s">
        <v>269</v>
      </c>
      <c r="D1" t="s">
        <v>270</v>
      </c>
      <c r="E1" t="s">
        <v>271</v>
      </c>
      <c r="F1" t="s">
        <v>272</v>
      </c>
      <c r="G1" t="s">
        <v>273</v>
      </c>
      <c r="H1" t="s">
        <v>274</v>
      </c>
      <c r="I1" t="s">
        <v>275</v>
      </c>
    </row>
    <row r="2" spans="1:9">
      <c r="A2" t="s">
        <v>293</v>
      </c>
      <c r="B2" s="308" t="b">
        <v>1</v>
      </c>
      <c r="C2" t="s">
        <v>128</v>
      </c>
      <c r="D2" t="s">
        <v>295</v>
      </c>
      <c r="E2">
        <v>7</v>
      </c>
      <c r="F2">
        <v>10</v>
      </c>
      <c r="G2">
        <v>6</v>
      </c>
      <c r="H2" t="s">
        <v>278</v>
      </c>
      <c r="I2" t="s">
        <v>296</v>
      </c>
    </row>
    <row r="3" spans="1:9">
      <c r="A3" t="s">
        <v>339</v>
      </c>
      <c r="B3" s="308" t="b">
        <v>1</v>
      </c>
      <c r="C3" t="s">
        <v>125</v>
      </c>
      <c r="D3" t="s">
        <v>340</v>
      </c>
      <c r="E3">
        <v>7</v>
      </c>
      <c r="F3">
        <v>4</v>
      </c>
      <c r="G3" t="s">
        <v>341</v>
      </c>
      <c r="H3" t="s">
        <v>321</v>
      </c>
    </row>
    <row r="4" spans="1:9">
      <c r="A4" t="s">
        <v>342</v>
      </c>
      <c r="B4" s="308" t="b">
        <v>1</v>
      </c>
      <c r="C4" t="s">
        <v>125</v>
      </c>
      <c r="D4" t="s">
        <v>343</v>
      </c>
      <c r="E4">
        <v>7</v>
      </c>
      <c r="F4" t="s">
        <v>279</v>
      </c>
      <c r="G4" t="s">
        <v>344</v>
      </c>
      <c r="H4" t="s">
        <v>325</v>
      </c>
      <c r="I4" t="s">
        <v>345</v>
      </c>
    </row>
    <row r="5" spans="1:9">
      <c r="A5" t="s">
        <v>349</v>
      </c>
      <c r="B5" s="308" t="b">
        <v>1</v>
      </c>
      <c r="C5" t="s">
        <v>128</v>
      </c>
      <c r="D5" t="s">
        <v>324</v>
      </c>
      <c r="E5">
        <v>7</v>
      </c>
      <c r="F5">
        <v>10</v>
      </c>
      <c r="G5" t="s">
        <v>350</v>
      </c>
      <c r="H5" t="s">
        <v>325</v>
      </c>
      <c r="I5" t="s">
        <v>305</v>
      </c>
    </row>
    <row r="6" spans="1:9">
      <c r="A6" t="s">
        <v>301</v>
      </c>
      <c r="B6" s="308" t="b">
        <v>1</v>
      </c>
      <c r="C6" t="s">
        <v>125</v>
      </c>
      <c r="D6" t="s">
        <v>302</v>
      </c>
      <c r="E6">
        <v>5</v>
      </c>
      <c r="F6" t="s">
        <v>279</v>
      </c>
      <c r="G6" t="s">
        <v>303</v>
      </c>
      <c r="H6" t="s">
        <v>304</v>
      </c>
      <c r="I6" t="s">
        <v>305</v>
      </c>
    </row>
    <row r="7" spans="1:9">
      <c r="A7" t="s">
        <v>306</v>
      </c>
      <c r="B7" s="308" t="b">
        <v>1</v>
      </c>
      <c r="C7" t="s">
        <v>128</v>
      </c>
      <c r="D7" t="s">
        <v>307</v>
      </c>
      <c r="E7">
        <v>5</v>
      </c>
      <c r="F7">
        <v>10</v>
      </c>
      <c r="G7">
        <v>4</v>
      </c>
      <c r="I7" t="s">
        <v>308</v>
      </c>
    </row>
    <row r="8" spans="1:9">
      <c r="A8" t="s">
        <v>290</v>
      </c>
      <c r="B8" s="308" t="b">
        <v>0</v>
      </c>
      <c r="C8" t="s">
        <v>125</v>
      </c>
      <c r="D8" t="s">
        <v>291</v>
      </c>
      <c r="E8">
        <v>4</v>
      </c>
      <c r="F8">
        <v>5</v>
      </c>
      <c r="G8">
        <v>6</v>
      </c>
      <c r="H8" t="s">
        <v>283</v>
      </c>
      <c r="I8" t="s">
        <v>292</v>
      </c>
    </row>
    <row r="9" spans="1:9">
      <c r="A9" t="s">
        <v>351</v>
      </c>
      <c r="B9" s="308" t="b">
        <v>0</v>
      </c>
      <c r="C9" s="335" t="s">
        <v>110</v>
      </c>
      <c r="D9" t="s">
        <v>336</v>
      </c>
      <c r="E9">
        <v>4</v>
      </c>
      <c r="F9">
        <v>50</v>
      </c>
      <c r="G9" t="s">
        <v>352</v>
      </c>
      <c r="H9" t="s">
        <v>283</v>
      </c>
      <c r="I9" t="s">
        <v>316</v>
      </c>
    </row>
    <row r="10" spans="1:9">
      <c r="A10" t="s">
        <v>276</v>
      </c>
      <c r="B10" s="308" t="b">
        <v>0</v>
      </c>
      <c r="C10" t="s">
        <v>128</v>
      </c>
      <c r="D10" t="s">
        <v>277</v>
      </c>
      <c r="E10">
        <v>3</v>
      </c>
      <c r="F10">
        <v>5</v>
      </c>
      <c r="G10">
        <v>4</v>
      </c>
      <c r="H10" t="s">
        <v>278</v>
      </c>
      <c r="I10" t="s">
        <v>279</v>
      </c>
    </row>
    <row r="11" spans="1:9">
      <c r="A11" t="s">
        <v>280</v>
      </c>
      <c r="B11" s="308" t="b">
        <v>0</v>
      </c>
      <c r="C11" t="s">
        <v>128</v>
      </c>
      <c r="D11" t="s">
        <v>281</v>
      </c>
      <c r="E11">
        <v>3</v>
      </c>
      <c r="F11">
        <v>3</v>
      </c>
      <c r="G11" t="s">
        <v>282</v>
      </c>
      <c r="H11" t="s">
        <v>283</v>
      </c>
      <c r="I11" t="s">
        <v>279</v>
      </c>
    </row>
    <row r="12" spans="1:9">
      <c r="A12" t="s">
        <v>286</v>
      </c>
      <c r="B12" s="308" t="b">
        <v>0</v>
      </c>
      <c r="C12" s="335" t="s">
        <v>128</v>
      </c>
      <c r="D12" t="s">
        <v>287</v>
      </c>
      <c r="E12">
        <v>3</v>
      </c>
      <c r="F12">
        <v>1</v>
      </c>
      <c r="G12">
        <v>4</v>
      </c>
      <c r="H12" t="s">
        <v>288</v>
      </c>
      <c r="I12" t="s">
        <v>289</v>
      </c>
    </row>
    <row r="13" spans="1:9">
      <c r="A13" t="s">
        <v>309</v>
      </c>
      <c r="B13" s="308" t="b">
        <v>1</v>
      </c>
      <c r="C13" t="s">
        <v>128</v>
      </c>
      <c r="D13" t="s">
        <v>310</v>
      </c>
      <c r="E13">
        <v>3</v>
      </c>
      <c r="F13">
        <v>3</v>
      </c>
      <c r="G13" t="s">
        <v>311</v>
      </c>
      <c r="H13" t="s">
        <v>278</v>
      </c>
      <c r="I13" t="s">
        <v>312</v>
      </c>
    </row>
    <row r="14" spans="1:9">
      <c r="A14" t="s">
        <v>317</v>
      </c>
      <c r="B14" s="308" t="b">
        <v>0</v>
      </c>
      <c r="C14" t="s">
        <v>110</v>
      </c>
      <c r="D14" t="s">
        <v>295</v>
      </c>
      <c r="E14">
        <v>3</v>
      </c>
      <c r="F14">
        <v>10</v>
      </c>
      <c r="G14" t="s">
        <v>318</v>
      </c>
      <c r="H14" t="s">
        <v>278</v>
      </c>
      <c r="I14" t="s">
        <v>305</v>
      </c>
    </row>
    <row r="15" spans="1:9">
      <c r="A15" t="s">
        <v>319</v>
      </c>
      <c r="B15" s="308" t="b">
        <v>0</v>
      </c>
      <c r="C15" t="s">
        <v>125</v>
      </c>
      <c r="D15" t="s">
        <v>320</v>
      </c>
      <c r="E15">
        <v>3</v>
      </c>
      <c r="F15">
        <v>7</v>
      </c>
      <c r="G15">
        <v>11</v>
      </c>
      <c r="H15" t="s">
        <v>321</v>
      </c>
      <c r="I15" t="s">
        <v>322</v>
      </c>
    </row>
    <row r="16" spans="1:9">
      <c r="A16" t="s">
        <v>331</v>
      </c>
      <c r="B16" s="308" t="b">
        <v>0</v>
      </c>
      <c r="C16" t="s">
        <v>128</v>
      </c>
      <c r="D16" t="s">
        <v>332</v>
      </c>
      <c r="E16">
        <v>3</v>
      </c>
      <c r="F16">
        <v>3</v>
      </c>
      <c r="G16" t="s">
        <v>333</v>
      </c>
      <c r="H16" t="s">
        <v>304</v>
      </c>
      <c r="I16" t="s">
        <v>334</v>
      </c>
    </row>
    <row r="17" spans="1:9">
      <c r="A17" t="s">
        <v>335</v>
      </c>
      <c r="B17" s="308" t="b">
        <v>0</v>
      </c>
      <c r="C17" t="s">
        <v>125</v>
      </c>
      <c r="D17" t="s">
        <v>336</v>
      </c>
      <c r="E17">
        <v>3</v>
      </c>
      <c r="F17">
        <v>3</v>
      </c>
      <c r="G17">
        <v>3</v>
      </c>
      <c r="H17" t="s">
        <v>337</v>
      </c>
      <c r="I17" t="s">
        <v>338</v>
      </c>
    </row>
    <row r="18" spans="1:9">
      <c r="A18" t="s">
        <v>346</v>
      </c>
      <c r="B18" s="308" t="b">
        <v>0</v>
      </c>
      <c r="C18" t="s">
        <v>110</v>
      </c>
      <c r="D18" t="s">
        <v>347</v>
      </c>
      <c r="E18">
        <v>3</v>
      </c>
      <c r="F18">
        <v>10</v>
      </c>
      <c r="G18" t="s">
        <v>348</v>
      </c>
      <c r="H18" t="s">
        <v>288</v>
      </c>
      <c r="I18" t="s">
        <v>305</v>
      </c>
    </row>
    <row r="19" spans="1:9">
      <c r="A19" t="s">
        <v>353</v>
      </c>
      <c r="B19" s="308" t="b">
        <v>0</v>
      </c>
      <c r="C19" s="335" t="s">
        <v>110</v>
      </c>
      <c r="D19" t="s">
        <v>336</v>
      </c>
      <c r="E19">
        <v>3</v>
      </c>
      <c r="F19">
        <v>20</v>
      </c>
      <c r="G19" t="s">
        <v>354</v>
      </c>
      <c r="H19" t="s">
        <v>288</v>
      </c>
      <c r="I19" t="s">
        <v>305</v>
      </c>
    </row>
    <row r="20" spans="1:9">
      <c r="A20" t="s">
        <v>26</v>
      </c>
      <c r="B20" s="308" t="b">
        <v>0</v>
      </c>
      <c r="C20" s="335" t="s">
        <v>128</v>
      </c>
      <c r="D20" t="s">
        <v>284</v>
      </c>
      <c r="E20">
        <v>2</v>
      </c>
      <c r="F20">
        <v>30</v>
      </c>
      <c r="G20">
        <v>7</v>
      </c>
      <c r="H20" t="s">
        <v>283</v>
      </c>
      <c r="I20" t="s">
        <v>285</v>
      </c>
    </row>
    <row r="21" spans="1:9">
      <c r="A21" t="s">
        <v>297</v>
      </c>
      <c r="B21" s="308" t="b">
        <v>0</v>
      </c>
      <c r="C21" t="s">
        <v>125</v>
      </c>
      <c r="D21" t="s">
        <v>298</v>
      </c>
      <c r="E21">
        <v>2</v>
      </c>
      <c r="F21">
        <v>4</v>
      </c>
      <c r="G21">
        <v>1</v>
      </c>
      <c r="H21" t="s">
        <v>299</v>
      </c>
      <c r="I21" t="s">
        <v>300</v>
      </c>
    </row>
    <row r="22" spans="1:9">
      <c r="A22" t="s">
        <v>313</v>
      </c>
      <c r="B22" s="308" t="b">
        <v>0</v>
      </c>
      <c r="C22" t="s">
        <v>110</v>
      </c>
      <c r="D22" t="s">
        <v>314</v>
      </c>
      <c r="E22">
        <v>2</v>
      </c>
      <c r="F22">
        <v>20</v>
      </c>
      <c r="G22" t="s">
        <v>315</v>
      </c>
      <c r="H22" t="s">
        <v>283</v>
      </c>
      <c r="I22" t="s">
        <v>316</v>
      </c>
    </row>
    <row r="23" spans="1:9">
      <c r="A23" t="s">
        <v>323</v>
      </c>
      <c r="B23" s="308" t="b">
        <v>0</v>
      </c>
      <c r="C23" t="s">
        <v>128</v>
      </c>
      <c r="D23" t="s">
        <v>324</v>
      </c>
      <c r="E23">
        <v>2</v>
      </c>
      <c r="F23">
        <v>7</v>
      </c>
      <c r="G23">
        <v>3</v>
      </c>
      <c r="H23" t="s">
        <v>325</v>
      </c>
      <c r="I23" t="s">
        <v>316</v>
      </c>
    </row>
    <row r="24" spans="1:9">
      <c r="A24" t="s">
        <v>328</v>
      </c>
      <c r="B24" s="308" t="b">
        <v>0</v>
      </c>
      <c r="C24" t="s">
        <v>110</v>
      </c>
      <c r="D24" t="s">
        <v>302</v>
      </c>
      <c r="E24">
        <v>2</v>
      </c>
      <c r="F24">
        <v>5</v>
      </c>
      <c r="G24" t="s">
        <v>329</v>
      </c>
      <c r="H24" t="s">
        <v>304</v>
      </c>
      <c r="I24" t="s">
        <v>330</v>
      </c>
    </row>
    <row r="25" spans="1:9">
      <c r="A25" t="s">
        <v>355</v>
      </c>
      <c r="B25" s="308" t="b">
        <v>0</v>
      </c>
      <c r="C25" t="s">
        <v>113</v>
      </c>
      <c r="D25" t="s">
        <v>320</v>
      </c>
      <c r="E25">
        <v>2</v>
      </c>
      <c r="F25" t="s">
        <v>356</v>
      </c>
      <c r="G25">
        <v>27</v>
      </c>
      <c r="H25" t="s">
        <v>283</v>
      </c>
    </row>
    <row r="26" spans="1:9">
      <c r="A26" t="s">
        <v>326</v>
      </c>
      <c r="B26" s="308" t="b">
        <v>0</v>
      </c>
      <c r="C26" t="s">
        <v>110</v>
      </c>
      <c r="D26" t="s">
        <v>327</v>
      </c>
      <c r="E26">
        <v>1</v>
      </c>
      <c r="F26">
        <v>7</v>
      </c>
      <c r="G26">
        <v>7</v>
      </c>
      <c r="H26" t="s">
        <v>283</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AF561-6D23-4997-9193-B2D79BB11F81}">
  <sheetPr filterMode="1"/>
  <dimension ref="A1:BB320"/>
  <sheetViews>
    <sheetView topLeftCell="A19" zoomScale="77" workbookViewId="0">
      <selection activeCell="BC160" sqref="BC160"/>
    </sheetView>
  </sheetViews>
  <sheetFormatPr baseColWidth="10" defaultColWidth="11.44140625" defaultRowHeight="15.75"/>
  <cols>
    <col min="1" max="1" width="29.88671875" style="331" bestFit="1" customWidth="1"/>
    <col min="2" max="2" width="35.5546875" customWidth="1"/>
    <col min="3" max="3" width="8.33203125" hidden="1" customWidth="1"/>
    <col min="4" max="4" width="10" customWidth="1"/>
    <col min="5" max="5" width="7.88671875" hidden="1" customWidth="1"/>
    <col min="6" max="6" width="9.6640625" style="245" customWidth="1"/>
    <col min="7" max="7" width="4.6640625" style="245" hidden="1" customWidth="1"/>
    <col min="8" max="8" width="19" style="245" hidden="1" customWidth="1"/>
    <col min="9" max="9" width="34" style="245" hidden="1" customWidth="1"/>
    <col min="10" max="10" width="4.6640625" style="245" hidden="1" customWidth="1"/>
    <col min="11" max="11" width="3.33203125" style="337" customWidth="1"/>
    <col min="12" max="18" width="11.44140625" hidden="1" customWidth="1"/>
    <col min="19" max="19" width="8.6640625" style="244" hidden="1" customWidth="1"/>
    <col min="20" max="20" width="15.44140625" style="244" hidden="1" customWidth="1"/>
    <col min="21" max="21" width="8.6640625" style="244" hidden="1" customWidth="1"/>
    <col min="22" max="22" width="7.88671875" style="262" hidden="1" customWidth="1"/>
    <col min="23" max="23" width="10" style="262" hidden="1" customWidth="1"/>
    <col min="24" max="24" width="10.44140625" style="262" hidden="1" customWidth="1"/>
    <col min="25" max="25" width="7.88671875" style="262" hidden="1" customWidth="1"/>
    <col min="26" max="26" width="5.5546875" style="262" hidden="1" customWidth="1"/>
    <col min="27" max="27" width="4.77734375" style="262" hidden="1" customWidth="1"/>
    <col min="28" max="29" width="2.6640625" style="262" hidden="1" customWidth="1"/>
    <col min="30" max="30" width="3.44140625" style="262" hidden="1" customWidth="1"/>
    <col min="31" max="31" width="5.77734375" style="262" hidden="1" customWidth="1"/>
    <col min="32" max="32" width="6.109375" style="262" hidden="1" customWidth="1"/>
    <col min="33" max="33" width="4.33203125" style="262" hidden="1" customWidth="1"/>
    <col min="34" max="34" width="10.33203125" style="262" hidden="1" customWidth="1"/>
    <col min="35" max="35" width="6.109375" style="262" hidden="1" customWidth="1"/>
    <col min="36" max="36" width="6.77734375" style="262" hidden="1" customWidth="1"/>
    <col min="37" max="37" width="10" style="262" hidden="1" customWidth="1"/>
    <col min="38" max="38" width="7.88671875" style="262" hidden="1" customWidth="1"/>
    <col min="39" max="39" width="5.88671875" style="262" hidden="1" customWidth="1"/>
    <col min="40" max="40" width="4.109375" style="262" hidden="1" customWidth="1"/>
    <col min="41" max="41" width="5.6640625" style="262" hidden="1" customWidth="1"/>
    <col min="42" max="42" width="8.5546875" style="262" hidden="1" customWidth="1"/>
    <col min="43" max="43" width="5.44140625" style="262" hidden="1" customWidth="1"/>
    <col min="44" max="44" width="6.5546875" style="262" hidden="1" customWidth="1"/>
    <col min="45" max="45" width="8.33203125" style="262" hidden="1" customWidth="1"/>
    <col min="46" max="46" width="7.21875" style="262" hidden="1" customWidth="1"/>
    <col min="47" max="47" width="7.5546875" style="262" hidden="1" customWidth="1"/>
    <col min="48" max="48" width="10.77734375" style="262" hidden="1" customWidth="1"/>
    <col min="49" max="49" width="6" customWidth="1"/>
    <col min="51" max="51" width="15.33203125" bestFit="1" customWidth="1"/>
    <col min="52" max="52" width="13.109375" bestFit="1" customWidth="1"/>
    <col min="53" max="53" width="20.44140625" bestFit="1" customWidth="1"/>
    <col min="54" max="54" width="11.5546875" customWidth="1"/>
  </cols>
  <sheetData>
    <row r="1" spans="1:45">
      <c r="A1" s="326" t="s">
        <v>357</v>
      </c>
      <c r="B1" s="322" t="s">
        <v>1408</v>
      </c>
      <c r="D1" s="245"/>
      <c r="AS1" s="296"/>
    </row>
    <row r="2" spans="1:45" ht="16.5" thickBot="1">
      <c r="A2" s="327" t="s">
        <v>358</v>
      </c>
      <c r="B2" s="245"/>
      <c r="D2" s="245"/>
      <c r="AS2" s="296"/>
    </row>
    <row r="3" spans="1:45">
      <c r="A3" s="328" t="s">
        <v>359</v>
      </c>
      <c r="B3" s="321" t="b">
        <v>0</v>
      </c>
      <c r="G3"/>
      <c r="H3"/>
      <c r="I3"/>
      <c r="J3"/>
      <c r="AS3" s="296"/>
    </row>
    <row r="4" spans="1:45">
      <c r="A4" s="329" t="s">
        <v>360</v>
      </c>
      <c r="B4" s="322" t="b">
        <v>0</v>
      </c>
      <c r="G4"/>
      <c r="H4"/>
      <c r="I4"/>
      <c r="J4"/>
      <c r="AS4" s="296"/>
    </row>
    <row r="5" spans="1:45">
      <c r="A5" s="329" t="s">
        <v>235</v>
      </c>
      <c r="B5" s="322" t="b">
        <v>1</v>
      </c>
      <c r="G5"/>
      <c r="H5"/>
      <c r="I5"/>
      <c r="J5"/>
      <c r="AS5" s="296"/>
    </row>
    <row r="6" spans="1:45">
      <c r="A6" s="329" t="s">
        <v>361</v>
      </c>
      <c r="B6" s="322" t="b">
        <v>0</v>
      </c>
      <c r="G6"/>
      <c r="H6"/>
      <c r="I6"/>
      <c r="J6"/>
      <c r="AS6" s="296"/>
    </row>
    <row r="7" spans="1:45">
      <c r="A7" s="329" t="s">
        <v>362</v>
      </c>
      <c r="B7" s="322" t="b">
        <v>0</v>
      </c>
      <c r="G7"/>
      <c r="H7"/>
      <c r="I7"/>
      <c r="J7"/>
      <c r="AS7" s="296"/>
    </row>
    <row r="8" spans="1:45">
      <c r="A8" s="329" t="s">
        <v>363</v>
      </c>
      <c r="B8" s="322" t="b">
        <v>0</v>
      </c>
      <c r="G8"/>
      <c r="H8"/>
      <c r="I8"/>
      <c r="J8"/>
      <c r="AS8" s="296"/>
    </row>
    <row r="9" spans="1:45">
      <c r="A9" s="329" t="s">
        <v>364</v>
      </c>
      <c r="B9" s="322" t="b">
        <v>0</v>
      </c>
      <c r="G9"/>
      <c r="H9"/>
      <c r="I9"/>
      <c r="J9"/>
      <c r="AS9" s="296"/>
    </row>
    <row r="10" spans="1:45">
      <c r="A10" s="329" t="s">
        <v>365</v>
      </c>
      <c r="B10" s="322" t="b">
        <v>0</v>
      </c>
      <c r="G10"/>
      <c r="H10"/>
      <c r="I10"/>
      <c r="J10"/>
      <c r="AS10" s="296"/>
    </row>
    <row r="11" spans="1:45">
      <c r="A11" s="329" t="s">
        <v>366</v>
      </c>
      <c r="B11" s="322" t="b">
        <v>0</v>
      </c>
      <c r="G11"/>
      <c r="H11"/>
      <c r="I11"/>
      <c r="J11"/>
      <c r="AS11" s="296"/>
    </row>
    <row r="12" spans="1:45">
      <c r="A12" s="329" t="s">
        <v>367</v>
      </c>
      <c r="B12" s="322" t="b">
        <v>0</v>
      </c>
      <c r="G12"/>
      <c r="H12"/>
      <c r="I12"/>
      <c r="J12"/>
      <c r="AS12" s="296"/>
    </row>
    <row r="13" spans="1:45">
      <c r="A13" s="329" t="s">
        <v>368</v>
      </c>
      <c r="B13" s="322" t="b">
        <v>1</v>
      </c>
      <c r="G13"/>
      <c r="H13"/>
      <c r="I13"/>
      <c r="J13"/>
      <c r="AS13" s="296"/>
    </row>
    <row r="14" spans="1:45">
      <c r="A14" s="329" t="s">
        <v>369</v>
      </c>
      <c r="B14" s="322" t="b">
        <v>0</v>
      </c>
      <c r="G14"/>
      <c r="H14"/>
      <c r="I14"/>
      <c r="J14"/>
      <c r="AS14" s="296"/>
    </row>
    <row r="15" spans="1:45">
      <c r="A15" s="329" t="s">
        <v>370</v>
      </c>
      <c r="B15" s="322" t="b">
        <v>0</v>
      </c>
      <c r="G15"/>
      <c r="H15"/>
      <c r="I15"/>
      <c r="J15"/>
      <c r="AS15" s="296"/>
    </row>
    <row r="16" spans="1:45">
      <c r="A16" s="329" t="s">
        <v>371</v>
      </c>
      <c r="B16" s="322" t="b">
        <v>0</v>
      </c>
      <c r="G16"/>
      <c r="H16"/>
      <c r="I16"/>
      <c r="J16"/>
      <c r="AS16" s="296"/>
    </row>
    <row r="17" spans="1:54">
      <c r="A17" s="329" t="s">
        <v>372</v>
      </c>
      <c r="B17" s="322" t="b">
        <v>0</v>
      </c>
      <c r="G17"/>
      <c r="H17"/>
      <c r="I17"/>
      <c r="J17"/>
      <c r="AS17" s="296"/>
    </row>
    <row r="18" spans="1:54">
      <c r="A18" s="329" t="s">
        <v>373</v>
      </c>
      <c r="B18" s="322" t="b">
        <v>0</v>
      </c>
      <c r="G18"/>
      <c r="H18"/>
      <c r="I18"/>
      <c r="J18"/>
      <c r="AS18" s="296"/>
    </row>
    <row r="19" spans="1:54">
      <c r="A19" s="329" t="s">
        <v>374</v>
      </c>
      <c r="B19" s="322" t="b">
        <v>0</v>
      </c>
      <c r="G19"/>
      <c r="H19"/>
      <c r="I19"/>
      <c r="J19"/>
      <c r="AS19" s="296"/>
    </row>
    <row r="20" spans="1:54">
      <c r="A20" s="329" t="s">
        <v>375</v>
      </c>
      <c r="B20" s="322" t="b">
        <v>0</v>
      </c>
      <c r="G20"/>
      <c r="H20"/>
      <c r="I20"/>
      <c r="J20"/>
      <c r="AS20" s="296"/>
    </row>
    <row r="21" spans="1:54">
      <c r="A21" s="329" t="s">
        <v>376</v>
      </c>
      <c r="B21" s="322" t="b">
        <v>0</v>
      </c>
      <c r="G21"/>
      <c r="H21"/>
      <c r="I21"/>
      <c r="J21"/>
      <c r="AS21" s="296"/>
    </row>
    <row r="22" spans="1:54">
      <c r="A22" s="329" t="s">
        <v>78</v>
      </c>
      <c r="B22" s="322" t="b">
        <v>0</v>
      </c>
      <c r="G22"/>
      <c r="H22"/>
      <c r="I22"/>
      <c r="J22"/>
      <c r="AS22" s="296"/>
    </row>
    <row r="23" spans="1:54">
      <c r="A23" s="329" t="s">
        <v>377</v>
      </c>
      <c r="B23" s="322" t="b">
        <v>0</v>
      </c>
      <c r="G23"/>
      <c r="H23"/>
      <c r="I23"/>
      <c r="J23"/>
      <c r="AS23" s="296"/>
    </row>
    <row r="24" spans="1:54">
      <c r="A24" s="329" t="s">
        <v>378</v>
      </c>
      <c r="B24" s="322" t="b">
        <v>0</v>
      </c>
      <c r="G24"/>
      <c r="H24"/>
      <c r="I24"/>
      <c r="J24"/>
      <c r="AS24" s="296"/>
    </row>
    <row r="25" spans="1:54">
      <c r="A25" s="329" t="s">
        <v>379</v>
      </c>
      <c r="B25" s="322" t="b">
        <v>0</v>
      </c>
      <c r="G25"/>
      <c r="H25"/>
      <c r="I25"/>
      <c r="J25"/>
      <c r="AS25" s="296"/>
    </row>
    <row r="26" spans="1:54">
      <c r="A26" s="329" t="s">
        <v>380</v>
      </c>
      <c r="B26" s="322" t="b">
        <v>0</v>
      </c>
      <c r="G26"/>
      <c r="H26"/>
      <c r="I26"/>
      <c r="J26"/>
      <c r="AS26" s="296"/>
    </row>
    <row r="27" spans="1:54">
      <c r="A27" s="329" t="s">
        <v>381</v>
      </c>
      <c r="B27" s="322" t="b">
        <v>0</v>
      </c>
      <c r="G27"/>
      <c r="H27"/>
      <c r="I27"/>
      <c r="J27"/>
      <c r="AS27" s="296"/>
    </row>
    <row r="28" spans="1:54">
      <c r="A28" s="329" t="s">
        <v>382</v>
      </c>
      <c r="B28" s="322" t="b">
        <v>0</v>
      </c>
      <c r="G28"/>
      <c r="H28"/>
      <c r="I28"/>
      <c r="J28"/>
    </row>
    <row r="29" spans="1:54" ht="16.5" thickBot="1">
      <c r="A29" s="330" t="s">
        <v>383</v>
      </c>
      <c r="B29" s="323" t="b">
        <v>0</v>
      </c>
      <c r="G29"/>
      <c r="H29"/>
      <c r="I29"/>
      <c r="J29"/>
    </row>
    <row r="31" spans="1:54" ht="16.5" thickBot="1">
      <c r="V31" s="46" t="b">
        <f>_xlfn.XLOOKUP(V32,$A$3:$A$29,Zauberliste!$B$3:$B$29,"")</f>
        <v>0</v>
      </c>
      <c r="W31" s="46" t="b">
        <f>_xlfn.XLOOKUP(W32,$A$3:$A$29,Zauberliste!$B$3:$B$29,"")</f>
        <v>0</v>
      </c>
      <c r="X31" s="46" t="b">
        <f>_xlfn.XLOOKUP(X32,$A$3:$A$29,Zauberliste!$B$3:$B$29,"")</f>
        <v>1</v>
      </c>
      <c r="Y31" s="46" t="b">
        <f>_xlfn.XLOOKUP(Y32,$A$3:$A$29,Zauberliste!$B$3:$B$29,"")</f>
        <v>0</v>
      </c>
      <c r="Z31" s="46" t="b">
        <f>_xlfn.XLOOKUP(Z32,$A$3:$A$29,Zauberliste!$B$3:$B$29,"")</f>
        <v>0</v>
      </c>
      <c r="AA31" s="46" t="b">
        <f>_xlfn.XLOOKUP(AA32,$A$3:$A$29,Zauberliste!$B$3:$B$29,"")</f>
        <v>0</v>
      </c>
      <c r="AB31" s="46" t="b">
        <f>_xlfn.XLOOKUP(AB32,$A$3:$A$29,Zauberliste!$B$3:$B$29,"")</f>
        <v>0</v>
      </c>
      <c r="AC31" s="46" t="b">
        <f>_xlfn.XLOOKUP(AC32,$A$3:$A$29,Zauberliste!$B$3:$B$29,"")</f>
        <v>0</v>
      </c>
      <c r="AD31" s="46" t="b">
        <f>_xlfn.XLOOKUP(AD32,$A$3:$A$29,Zauberliste!$B$3:$B$29,"")</f>
        <v>0</v>
      </c>
      <c r="AE31" s="46" t="b">
        <f>_xlfn.XLOOKUP(AE32,$A$3:$A$29,Zauberliste!$B$3:$B$29,"")</f>
        <v>0</v>
      </c>
      <c r="AF31" s="46" t="b">
        <f>_xlfn.XLOOKUP(AF32,$A$3:$A$29,Zauberliste!$B$3:$B$29,"")</f>
        <v>1</v>
      </c>
      <c r="AG31" s="46" t="b">
        <f>_xlfn.XLOOKUP(AG32,$A$3:$A$29,Zauberliste!$B$3:$B$29,"")</f>
        <v>0</v>
      </c>
      <c r="AH31" s="46" t="b">
        <f>_xlfn.XLOOKUP(AH32,$A$3:$A$29,Zauberliste!$B$3:$B$29,"")</f>
        <v>0</v>
      </c>
      <c r="AI31" s="46" t="b">
        <f>_xlfn.XLOOKUP(AI32,$A$3:$A$29,Zauberliste!$B$3:$B$29,"")</f>
        <v>0</v>
      </c>
      <c r="AJ31" s="46" t="b">
        <f>_xlfn.XLOOKUP(AJ32,$A$3:$A$29,Zauberliste!$B$3:$B$29,"")</f>
        <v>0</v>
      </c>
      <c r="AK31" s="46" t="b">
        <f>_xlfn.XLOOKUP(AK32,$A$3:$A$29,Zauberliste!$B$3:$B$29,"")</f>
        <v>0</v>
      </c>
      <c r="AL31" s="46" t="b">
        <f>_xlfn.XLOOKUP(AL32,$A$3:$A$29,Zauberliste!$B$3:$B$29,"")</f>
        <v>0</v>
      </c>
      <c r="AM31" s="46" t="b">
        <f>_xlfn.XLOOKUP(AM32,$A$3:$A$29,Zauberliste!$B$3:$B$29,"")</f>
        <v>0</v>
      </c>
      <c r="AN31" s="46" t="b">
        <f>_xlfn.XLOOKUP(AN32,$A$3:$A$29,Zauberliste!$B$3:$B$29,"")</f>
        <v>0</v>
      </c>
      <c r="AO31" s="46" t="b">
        <f>_xlfn.XLOOKUP(AO32,$A$3:$A$29,Zauberliste!$B$3:$B$29,"")</f>
        <v>0</v>
      </c>
      <c r="AP31" s="46" t="b">
        <f>_xlfn.XLOOKUP(AP32,$A$3:$A$29,Zauberliste!$B$3:$B$29,"")</f>
        <v>0</v>
      </c>
      <c r="AQ31" s="46" t="b">
        <f>_xlfn.XLOOKUP(AQ32,$A$3:$A$29,Zauberliste!$B$3:$B$29,"")</f>
        <v>0</v>
      </c>
      <c r="AR31" s="46" t="b">
        <f>_xlfn.XLOOKUP(AR32,$A$3:$A$29,Zauberliste!$B$3:$B$29,"")</f>
        <v>0</v>
      </c>
      <c r="AS31" s="46" t="b">
        <f>_xlfn.XLOOKUP(AS32,$A$3:$A$29,Zauberliste!$B$3:$B$29,"")</f>
        <v>0</v>
      </c>
      <c r="AT31" s="46" t="b">
        <f>_xlfn.XLOOKUP(AT32,$A$3:$A$29,Zauberliste!$B$3:$B$29,"")</f>
        <v>0</v>
      </c>
      <c r="AU31" s="46" t="b">
        <f>_xlfn.XLOOKUP(AU32,$A$3:$A$29,Zauberliste!$B$3:$B$29,"")</f>
        <v>0</v>
      </c>
      <c r="AV31" s="46" t="b">
        <f>_xlfn.XLOOKUP(AV32,$A$3:$A$29,Zauberliste!$B$3:$B$29,"")</f>
        <v>0</v>
      </c>
      <c r="AW31" s="245"/>
      <c r="AX31" s="245"/>
      <c r="AY31" s="245"/>
      <c r="AZ31" s="245"/>
    </row>
    <row r="32" spans="1:54">
      <c r="A32" s="332" t="s">
        <v>267</v>
      </c>
      <c r="B32" s="292" t="s">
        <v>235</v>
      </c>
      <c r="C32" s="292" t="s">
        <v>384</v>
      </c>
      <c r="D32" s="292" t="s">
        <v>268</v>
      </c>
      <c r="E32" s="292" t="s">
        <v>1585</v>
      </c>
      <c r="F32" s="292" t="s">
        <v>270</v>
      </c>
      <c r="G32" s="292" t="s">
        <v>1399</v>
      </c>
      <c r="H32" s="292" t="s">
        <v>1398</v>
      </c>
      <c r="I32" s="292" t="s">
        <v>1397</v>
      </c>
      <c r="J32" s="293" t="s">
        <v>385</v>
      </c>
      <c r="K32" s="292" t="s">
        <v>1586</v>
      </c>
      <c r="L32" s="292" t="s">
        <v>232</v>
      </c>
      <c r="M32" s="292" t="s">
        <v>386</v>
      </c>
      <c r="N32" s="292" t="s">
        <v>233</v>
      </c>
      <c r="O32" s="292" t="s">
        <v>387</v>
      </c>
      <c r="P32" s="292" t="s">
        <v>234</v>
      </c>
      <c r="Q32" s="292" t="s">
        <v>388</v>
      </c>
      <c r="R32" s="292" t="s">
        <v>240</v>
      </c>
      <c r="S32" s="292" t="s">
        <v>1400</v>
      </c>
      <c r="T32" s="292" t="s">
        <v>1401</v>
      </c>
      <c r="U32" s="292" t="s">
        <v>1402</v>
      </c>
      <c r="V32" s="334" t="s">
        <v>359</v>
      </c>
      <c r="W32" s="297" t="s">
        <v>360</v>
      </c>
      <c r="X32" s="297" t="s">
        <v>235</v>
      </c>
      <c r="Y32" s="297" t="s">
        <v>361</v>
      </c>
      <c r="Z32" s="297" t="s">
        <v>362</v>
      </c>
      <c r="AA32" s="297" t="s">
        <v>363</v>
      </c>
      <c r="AB32" s="297" t="s">
        <v>364</v>
      </c>
      <c r="AC32" s="297" t="s">
        <v>365</v>
      </c>
      <c r="AD32" s="297" t="s">
        <v>366</v>
      </c>
      <c r="AE32" s="297" t="s">
        <v>367</v>
      </c>
      <c r="AF32" s="297" t="s">
        <v>368</v>
      </c>
      <c r="AG32" s="297" t="s">
        <v>369</v>
      </c>
      <c r="AH32" s="297" t="s">
        <v>370</v>
      </c>
      <c r="AI32" s="297" t="s">
        <v>371</v>
      </c>
      <c r="AJ32" s="297" t="s">
        <v>372</v>
      </c>
      <c r="AK32" s="297" t="s">
        <v>373</v>
      </c>
      <c r="AL32" s="297" t="s">
        <v>374</v>
      </c>
      <c r="AM32" s="297" t="s">
        <v>375</v>
      </c>
      <c r="AN32" s="297" t="s">
        <v>376</v>
      </c>
      <c r="AO32" s="297" t="s">
        <v>78</v>
      </c>
      <c r="AP32" s="297" t="s">
        <v>377</v>
      </c>
      <c r="AQ32" s="297" t="s">
        <v>378</v>
      </c>
      <c r="AR32" s="297" t="s">
        <v>379</v>
      </c>
      <c r="AS32" s="297" t="s">
        <v>380</v>
      </c>
      <c r="AT32" s="297" t="s">
        <v>381</v>
      </c>
      <c r="AU32" s="297" t="s">
        <v>382</v>
      </c>
      <c r="AV32" s="297" t="s">
        <v>383</v>
      </c>
      <c r="AW32" s="243" t="s">
        <v>271</v>
      </c>
      <c r="AX32" s="242" t="s">
        <v>272</v>
      </c>
      <c r="AY32" s="242" t="s">
        <v>273</v>
      </c>
      <c r="AZ32" s="243" t="s">
        <v>274</v>
      </c>
      <c r="BA32" s="333" t="s">
        <v>275</v>
      </c>
      <c r="BB32" s="294" t="s">
        <v>389</v>
      </c>
    </row>
    <row r="33" spans="1:54" ht="15" hidden="1">
      <c r="A33" s="331" t="s">
        <v>390</v>
      </c>
      <c r="B33" s="295" t="str">
        <f t="shared" ref="B33:B35" si="0">L33&amp;": "&amp;M33&amp;" | "&amp;N33&amp;": "&amp;O33&amp;" | "&amp;P33&amp;": "&amp;Q33</f>
        <v>Klugheit: 12 | Klugheit: 12 | Fingerfertigkeit: 10</v>
      </c>
      <c r="C33" s="308" t="b">
        <v>0</v>
      </c>
      <c r="D33" s="308" t="b">
        <v>0</v>
      </c>
      <c r="E33" s="308" t="b">
        <f t="shared" ref="E33:E35" si="1">ISNUMBER(FIND($B$1,I33))</f>
        <v>1</v>
      </c>
      <c r="F33" t="s">
        <v>343</v>
      </c>
      <c r="G33" t="s">
        <v>110</v>
      </c>
      <c r="H33" t="s">
        <v>378</v>
      </c>
      <c r="I33" t="s">
        <v>391</v>
      </c>
      <c r="J33" s="295">
        <f>_xlfn.XLOOKUP(G33,Rechner!$A$17:$A$25,Rechner!$B$17:$B$25)</f>
        <v>4</v>
      </c>
      <c r="K33" s="295" t="str">
        <f>_xlfn.XLOOKUP(J33-SUMIF($V$31:$AV$31,TRUE,V33:AV33)-IF(D33=TRUE,1,0),Rechner!$B$17:$B$25,Rechner!$A$17:$A$25,"A+")</f>
        <v>C</v>
      </c>
      <c r="L33" s="295" t="str">
        <f>_xlfn.XLOOKUP(S33,Eigenschaften!$C$20:$C$27,Eigenschaften!$B$20:$B$27)</f>
        <v>Klugheit</v>
      </c>
      <c r="M33" s="295">
        <f>_xlfn.XLOOKUP(L33,Eigenschaften!$B$20:$B$27,Eigenschaften!$H$20:$H$27,"NaN",1)</f>
        <v>12</v>
      </c>
      <c r="N33" s="295" t="str">
        <f>_xlfn.XLOOKUP(T33,Eigenschaften!$C$20:$C$27,Eigenschaften!$B$20:$B$27)</f>
        <v>Klugheit</v>
      </c>
      <c r="O33" s="295">
        <f>_xlfn.XLOOKUP(N33,Eigenschaften!$B$20:$B$27,Eigenschaften!$H$20:$H$27,"NaN",1)</f>
        <v>12</v>
      </c>
      <c r="P33" s="295" t="str">
        <f>_xlfn.XLOOKUP(U33,Eigenschaften!$C$20:$C$27,Eigenschaften!$B$20:$B$27)</f>
        <v>Fingerfertigkeit</v>
      </c>
      <c r="Q33" s="295">
        <f>_xlfn.XLOOKUP(P33,Eigenschaften!$B$20:$B$27,Eigenschaften!$H$20:$H$27,"NaN",1)</f>
        <v>10</v>
      </c>
      <c r="R33" s="244"/>
      <c r="S33" s="244" t="str" cm="1">
        <f t="array" ref="S33:U33">_xlfn.TEXTSPLIT(F33,"/",,,,3)</f>
        <v>KL</v>
      </c>
      <c r="T33" s="244" t="str">
        <v>KL</v>
      </c>
      <c r="U33" s="244" t="str">
        <v>FF</v>
      </c>
      <c r="V33" s="244">
        <f t="shared" ref="V33:V35" si="2">IF(ISNUMBER(SEARCH(V$32,$H33)),1,0)</f>
        <v>0</v>
      </c>
      <c r="W33" s="244">
        <f t="shared" ref="W33:AV35" si="3">IF(ISNUMBER(SEARCH(W$32,$H33)),1,0)</f>
        <v>0</v>
      </c>
      <c r="X33" s="244">
        <f t="shared" si="3"/>
        <v>0</v>
      </c>
      <c r="Y33" s="244">
        <f t="shared" si="3"/>
        <v>0</v>
      </c>
      <c r="Z33" s="244">
        <f t="shared" si="3"/>
        <v>0</v>
      </c>
      <c r="AA33" s="244">
        <f t="shared" si="3"/>
        <v>0</v>
      </c>
      <c r="AB33" s="244">
        <f t="shared" si="3"/>
        <v>0</v>
      </c>
      <c r="AC33" s="244">
        <f t="shared" si="3"/>
        <v>0</v>
      </c>
      <c r="AD33" s="244">
        <f t="shared" si="3"/>
        <v>0</v>
      </c>
      <c r="AE33" s="244">
        <f t="shared" si="3"/>
        <v>0</v>
      </c>
      <c r="AF33" s="244">
        <f t="shared" si="3"/>
        <v>0</v>
      </c>
      <c r="AG33" s="244">
        <f t="shared" si="3"/>
        <v>0</v>
      </c>
      <c r="AH33" s="244">
        <f t="shared" si="3"/>
        <v>0</v>
      </c>
      <c r="AI33" s="244">
        <f t="shared" si="3"/>
        <v>0</v>
      </c>
      <c r="AJ33" s="244">
        <f t="shared" si="3"/>
        <v>0</v>
      </c>
      <c r="AK33" s="244">
        <f t="shared" si="3"/>
        <v>0</v>
      </c>
      <c r="AL33" s="244">
        <f t="shared" si="3"/>
        <v>0</v>
      </c>
      <c r="AM33" s="244">
        <f t="shared" si="3"/>
        <v>0</v>
      </c>
      <c r="AN33" s="244">
        <f t="shared" si="3"/>
        <v>0</v>
      </c>
      <c r="AO33" s="244">
        <f t="shared" si="3"/>
        <v>0</v>
      </c>
      <c r="AP33" s="244">
        <f t="shared" si="3"/>
        <v>0</v>
      </c>
      <c r="AQ33" s="244">
        <f t="shared" si="3"/>
        <v>1</v>
      </c>
      <c r="AR33" s="244">
        <f t="shared" si="3"/>
        <v>0</v>
      </c>
      <c r="AS33" s="244">
        <f t="shared" si="3"/>
        <v>0</v>
      </c>
      <c r="AT33" s="244">
        <f t="shared" si="3"/>
        <v>0</v>
      </c>
      <c r="AU33" s="244">
        <f t="shared" si="3"/>
        <v>0</v>
      </c>
      <c r="AV33" s="244">
        <f t="shared" si="3"/>
        <v>0</v>
      </c>
      <c r="AW33" s="244"/>
      <c r="AX33" s="244"/>
      <c r="AY33" s="244"/>
      <c r="AZ33" s="244"/>
      <c r="BA33" s="244"/>
      <c r="BB33" s="244"/>
    </row>
    <row r="34" spans="1:54" ht="15" hidden="1">
      <c r="A34" s="331" t="s">
        <v>392</v>
      </c>
      <c r="B34" s="295" t="str">
        <f t="shared" si="0"/>
        <v>Klugheit: 12 | Charisma: 15 | Fingerfertigkeit: 10</v>
      </c>
      <c r="C34" s="308" t="b">
        <v>0</v>
      </c>
      <c r="D34" s="308" t="b">
        <v>0</v>
      </c>
      <c r="E34" s="308" t="b">
        <f t="shared" si="1"/>
        <v>1</v>
      </c>
      <c r="F34" t="s">
        <v>393</v>
      </c>
      <c r="G34" t="s">
        <v>110</v>
      </c>
      <c r="H34" t="s">
        <v>378</v>
      </c>
      <c r="I34" t="s">
        <v>394</v>
      </c>
      <c r="J34" s="295">
        <f>_xlfn.XLOOKUP(G34,Rechner!$A$17:$A$25,Rechner!$B$17:$B$25)</f>
        <v>4</v>
      </c>
      <c r="K34" s="295" t="str">
        <f>_xlfn.XLOOKUP(J34-SUMIF($V$31:$AV$31,TRUE,V34:AV34)-IF(D34=TRUE,1,0),Rechner!$B$17:$B$25,Rechner!$A$17:$A$25,"A+")</f>
        <v>C</v>
      </c>
      <c r="L34" s="295" t="str">
        <f>_xlfn.XLOOKUP(S34,Eigenschaften!$C$20:$C$27,Eigenschaften!$B$20:$B$27)</f>
        <v>Klugheit</v>
      </c>
      <c r="M34" s="295">
        <f>_xlfn.XLOOKUP(L34,Eigenschaften!$B$20:$B$27,Eigenschaften!$H$20:$H$27,"NaN",1)</f>
        <v>12</v>
      </c>
      <c r="N34" s="295" t="str">
        <f>_xlfn.XLOOKUP(T34,Eigenschaften!$C$20:$C$27,Eigenschaften!$B$20:$B$27)</f>
        <v>Charisma</v>
      </c>
      <c r="O34" s="295">
        <f>_xlfn.XLOOKUP(N34,Eigenschaften!$B$20:$B$27,Eigenschaften!$H$20:$H$27,"NaN",1)</f>
        <v>15</v>
      </c>
      <c r="P34" s="295" t="str">
        <f>_xlfn.XLOOKUP(U34,Eigenschaften!$C$20:$C$27,Eigenschaften!$B$20:$B$27)</f>
        <v>Fingerfertigkeit</v>
      </c>
      <c r="Q34" s="295">
        <f>_xlfn.XLOOKUP(P34,Eigenschaften!$B$20:$B$27,Eigenschaften!$H$20:$H$27,"NaN",1)</f>
        <v>10</v>
      </c>
      <c r="R34" s="244"/>
      <c r="S34" s="244" t="str" cm="1">
        <f t="array" ref="S34:U34">_xlfn.TEXTSPLIT(F34,"/",,,,3)</f>
        <v>KL</v>
      </c>
      <c r="T34" s="244" t="str">
        <v>CH</v>
      </c>
      <c r="U34" s="244" t="str">
        <v>FF</v>
      </c>
      <c r="V34" s="244">
        <f t="shared" si="2"/>
        <v>0</v>
      </c>
      <c r="W34" s="244">
        <f t="shared" si="3"/>
        <v>0</v>
      </c>
      <c r="X34" s="244">
        <f t="shared" si="3"/>
        <v>0</v>
      </c>
      <c r="Y34" s="244">
        <f t="shared" si="3"/>
        <v>0</v>
      </c>
      <c r="Z34" s="244">
        <f t="shared" si="3"/>
        <v>0</v>
      </c>
      <c r="AA34" s="244">
        <f t="shared" si="3"/>
        <v>0</v>
      </c>
      <c r="AB34" s="244">
        <f t="shared" si="3"/>
        <v>0</v>
      </c>
      <c r="AC34" s="244">
        <f t="shared" si="3"/>
        <v>0</v>
      </c>
      <c r="AD34" s="244">
        <f t="shared" si="3"/>
        <v>0</v>
      </c>
      <c r="AE34" s="244">
        <f t="shared" si="3"/>
        <v>0</v>
      </c>
      <c r="AF34" s="244">
        <f t="shared" si="3"/>
        <v>0</v>
      </c>
      <c r="AG34" s="244">
        <f t="shared" si="3"/>
        <v>0</v>
      </c>
      <c r="AH34" s="244">
        <f t="shared" si="3"/>
        <v>0</v>
      </c>
      <c r="AI34" s="244">
        <f t="shared" si="3"/>
        <v>0</v>
      </c>
      <c r="AJ34" s="244">
        <f t="shared" si="3"/>
        <v>0</v>
      </c>
      <c r="AK34" s="244">
        <f t="shared" si="3"/>
        <v>0</v>
      </c>
      <c r="AL34" s="244">
        <f t="shared" si="3"/>
        <v>0</v>
      </c>
      <c r="AM34" s="244">
        <f t="shared" si="3"/>
        <v>0</v>
      </c>
      <c r="AN34" s="244">
        <f t="shared" si="3"/>
        <v>0</v>
      </c>
      <c r="AO34" s="244">
        <f t="shared" si="3"/>
        <v>0</v>
      </c>
      <c r="AP34" s="244">
        <f t="shared" si="3"/>
        <v>0</v>
      </c>
      <c r="AQ34" s="244">
        <f t="shared" si="3"/>
        <v>1</v>
      </c>
      <c r="AR34" s="244">
        <f t="shared" si="3"/>
        <v>0</v>
      </c>
      <c r="AS34" s="244">
        <f t="shared" si="3"/>
        <v>0</v>
      </c>
      <c r="AT34" s="244">
        <f t="shared" si="3"/>
        <v>0</v>
      </c>
      <c r="AU34" s="244">
        <f t="shared" si="3"/>
        <v>0</v>
      </c>
      <c r="AV34" s="244">
        <f t="shared" si="3"/>
        <v>0</v>
      </c>
      <c r="AW34" s="244"/>
      <c r="AX34" s="244"/>
      <c r="AY34" s="244"/>
      <c r="AZ34" s="244"/>
      <c r="BA34" s="244"/>
      <c r="BB34" s="244"/>
    </row>
    <row r="35" spans="1:54" ht="15" hidden="1">
      <c r="A35" s="331" t="s">
        <v>395</v>
      </c>
      <c r="B35" s="295" t="str">
        <f t="shared" si="0"/>
        <v>Klugheit: 12 | Fingerfertigkeit: 10 | Konstitution: 12</v>
      </c>
      <c r="C35" s="308" t="b">
        <v>0</v>
      </c>
      <c r="D35" s="308" t="b">
        <v>0</v>
      </c>
      <c r="E35" s="308" t="b">
        <f t="shared" si="1"/>
        <v>0</v>
      </c>
      <c r="F35" t="s">
        <v>295</v>
      </c>
      <c r="G35" t="s">
        <v>110</v>
      </c>
      <c r="H35" t="s">
        <v>396</v>
      </c>
      <c r="I35" t="s">
        <v>397</v>
      </c>
      <c r="J35" s="295">
        <f>_xlfn.XLOOKUP(G35,Rechner!$A$17:$A$25,Rechner!$B$17:$B$25)</f>
        <v>4</v>
      </c>
      <c r="K35" s="295" t="str">
        <f>_xlfn.XLOOKUP(J35-SUMIF($V$31:$AV$31,TRUE,V35:AV35)-IF(D35=TRUE,1,0),Rechner!$B$17:$B$25,Rechner!$A$17:$A$25,"A+")</f>
        <v>C</v>
      </c>
      <c r="L35" s="295" t="str">
        <f>_xlfn.XLOOKUP(S35,Eigenschaften!$C$20:$C$27,Eigenschaften!$B$20:$B$27)</f>
        <v>Klugheit</v>
      </c>
      <c r="M35" s="295">
        <f>_xlfn.XLOOKUP(L35,Eigenschaften!$B$20:$B$27,Eigenschaften!$H$20:$H$27,"NaN",1)</f>
        <v>12</v>
      </c>
      <c r="N35" s="295" t="str">
        <f>_xlfn.XLOOKUP(T35,Eigenschaften!$C$20:$C$27,Eigenschaften!$B$20:$B$27)</f>
        <v>Fingerfertigkeit</v>
      </c>
      <c r="O35" s="295">
        <f>_xlfn.XLOOKUP(N35,Eigenschaften!$B$20:$B$27,Eigenschaften!$H$20:$H$27,"NaN",1)</f>
        <v>10</v>
      </c>
      <c r="P35" s="295" t="str">
        <f>_xlfn.XLOOKUP(U35,Eigenschaften!$C$20:$C$27,Eigenschaften!$B$20:$B$27)</f>
        <v>Konstitution</v>
      </c>
      <c r="Q35" s="295">
        <f>_xlfn.XLOOKUP(P35,Eigenschaften!$B$20:$B$27,Eigenschaften!$H$20:$H$27,"NaN",1)</f>
        <v>12</v>
      </c>
      <c r="R35" s="244"/>
      <c r="S35" s="244" t="str" cm="1">
        <f t="array" ref="S35:U35">_xlfn.TEXTSPLIT(F35,"/",,,,3)</f>
        <v>KL</v>
      </c>
      <c r="T35" s="244" t="str">
        <v>FF</v>
      </c>
      <c r="U35" s="244" t="str">
        <v>KO</v>
      </c>
      <c r="V35" s="244">
        <f t="shared" si="2"/>
        <v>0</v>
      </c>
      <c r="W35" s="244">
        <f t="shared" si="3"/>
        <v>0</v>
      </c>
      <c r="X35" s="244">
        <f t="shared" si="3"/>
        <v>0</v>
      </c>
      <c r="Y35" s="244">
        <f t="shared" si="3"/>
        <v>1</v>
      </c>
      <c r="Z35" s="244">
        <f t="shared" si="3"/>
        <v>0</v>
      </c>
      <c r="AA35" s="244">
        <f t="shared" si="3"/>
        <v>0</v>
      </c>
      <c r="AB35" s="244">
        <f t="shared" si="3"/>
        <v>1</v>
      </c>
      <c r="AC35" s="244">
        <f t="shared" si="3"/>
        <v>0</v>
      </c>
      <c r="AD35" s="244">
        <f t="shared" si="3"/>
        <v>0</v>
      </c>
      <c r="AE35" s="244">
        <f t="shared" si="3"/>
        <v>0</v>
      </c>
      <c r="AF35" s="244">
        <f t="shared" si="3"/>
        <v>0</v>
      </c>
      <c r="AG35" s="244">
        <f t="shared" si="3"/>
        <v>0</v>
      </c>
      <c r="AH35" s="244">
        <f t="shared" si="3"/>
        <v>0</v>
      </c>
      <c r="AI35" s="244">
        <f t="shared" si="3"/>
        <v>0</v>
      </c>
      <c r="AJ35" s="244">
        <f t="shared" si="3"/>
        <v>0</v>
      </c>
      <c r="AK35" s="244">
        <f t="shared" si="3"/>
        <v>0</v>
      </c>
      <c r="AL35" s="244">
        <f t="shared" si="3"/>
        <v>0</v>
      </c>
      <c r="AM35" s="244">
        <f t="shared" si="3"/>
        <v>0</v>
      </c>
      <c r="AN35" s="244">
        <f t="shared" si="3"/>
        <v>0</v>
      </c>
      <c r="AO35" s="244">
        <f t="shared" si="3"/>
        <v>0</v>
      </c>
      <c r="AP35" s="244">
        <f t="shared" si="3"/>
        <v>0</v>
      </c>
      <c r="AQ35" s="244">
        <f t="shared" si="3"/>
        <v>1</v>
      </c>
      <c r="AR35" s="244">
        <f t="shared" si="3"/>
        <v>0</v>
      </c>
      <c r="AS35" s="244">
        <f t="shared" si="3"/>
        <v>0</v>
      </c>
      <c r="AT35" s="244">
        <f t="shared" si="3"/>
        <v>0</v>
      </c>
      <c r="AU35" s="244">
        <f t="shared" si="3"/>
        <v>0</v>
      </c>
      <c r="AV35" s="244">
        <f t="shared" si="3"/>
        <v>0</v>
      </c>
      <c r="AW35" s="244"/>
      <c r="AX35" s="244"/>
      <c r="AY35" s="244"/>
      <c r="AZ35" s="244"/>
      <c r="BA35" s="244"/>
      <c r="BB35" s="244"/>
    </row>
    <row r="36" spans="1:54" ht="15">
      <c r="A36" s="331" t="s">
        <v>280</v>
      </c>
      <c r="B36" s="295" t="str">
        <f t="shared" ref="B36:B99" si="4">L36&amp;": "&amp;M36&amp;" | "&amp;N36&amp;": "&amp;O36&amp;" | "&amp;P36&amp;": "&amp;Q36</f>
        <v>Intuition: 15 | Gewandheit: 14 | Konstitution: 12</v>
      </c>
      <c r="C36" s="308" t="b">
        <v>1</v>
      </c>
      <c r="D36" s="308" t="b">
        <v>0</v>
      </c>
      <c r="E36" s="308" t="b">
        <f t="shared" ref="E36:E99" si="5">ISNUMBER(FIND($B$1,I36))</f>
        <v>1</v>
      </c>
      <c r="F36" t="s">
        <v>281</v>
      </c>
      <c r="G36" t="s">
        <v>125</v>
      </c>
      <c r="H36" t="s">
        <v>419</v>
      </c>
      <c r="I36" t="s">
        <v>451</v>
      </c>
      <c r="J36" s="295">
        <f>_xlfn.XLOOKUP(G36,Rechner!$A$17:$A$25,Rechner!$B$17:$B$25)</f>
        <v>3</v>
      </c>
      <c r="K36" s="338" t="str">
        <f>_xlfn.XLOOKUP(J36-SUMIF($V$31:$AV$31,TRUE,V36:AV36)-IF(D36=TRUE,1,0),Rechner!$B$17:$B$25,Rechner!$A$17:$A$25,"A+")</f>
        <v>A</v>
      </c>
      <c r="L36" s="295" t="str">
        <f>_xlfn.XLOOKUP(S36,Eigenschaften!$C$20:$C$27,Eigenschaften!$B$20:$B$27)</f>
        <v>Intuition</v>
      </c>
      <c r="M36" s="295">
        <f>_xlfn.XLOOKUP(L36,Eigenschaften!$B$20:$B$27,Eigenschaften!$H$20:$H$27,"NaN",1)</f>
        <v>15</v>
      </c>
      <c r="N36" s="295" t="str">
        <f>_xlfn.XLOOKUP(T36,Eigenschaften!$C$20:$C$27,Eigenschaften!$B$20:$B$27)</f>
        <v>Gewandheit</v>
      </c>
      <c r="O36" s="295">
        <f>_xlfn.XLOOKUP(N36,Eigenschaften!$B$20:$B$27,Eigenschaften!$H$20:$H$27,"NaN",1)</f>
        <v>14</v>
      </c>
      <c r="P36" s="295" t="str">
        <f>_xlfn.XLOOKUP(U36,Eigenschaften!$C$20:$C$27,Eigenschaften!$B$20:$B$27)</f>
        <v>Konstitution</v>
      </c>
      <c r="Q36" s="295">
        <f>_xlfn.XLOOKUP(P36,Eigenschaften!$B$20:$B$27,Eigenschaften!$H$20:$H$27,"NaN",1)</f>
        <v>12</v>
      </c>
      <c r="R36" s="244"/>
      <c r="S36" s="244" t="str" cm="1">
        <f t="array" ref="S36:U36">_xlfn.TEXTSPLIT(F36,"/",,,,3)</f>
        <v>IN</v>
      </c>
      <c r="T36" s="244" t="str">
        <v>GE</v>
      </c>
      <c r="U36" s="244" t="str">
        <v>KO</v>
      </c>
      <c r="V36" s="244">
        <f t="shared" ref="V36:AE45" si="6">IF(ISNUMBER(SEARCH(V$32,$H36)),1,0)</f>
        <v>0</v>
      </c>
      <c r="W36" s="244">
        <f t="shared" si="6"/>
        <v>0</v>
      </c>
      <c r="X36" s="244">
        <f t="shared" si="6"/>
        <v>1</v>
      </c>
      <c r="Y36" s="244">
        <f t="shared" si="6"/>
        <v>1</v>
      </c>
      <c r="Z36" s="244">
        <f t="shared" si="6"/>
        <v>0</v>
      </c>
      <c r="AA36" s="244">
        <f t="shared" si="6"/>
        <v>0</v>
      </c>
      <c r="AB36" s="244">
        <f t="shared" si="6"/>
        <v>1</v>
      </c>
      <c r="AC36" s="244">
        <f t="shared" si="6"/>
        <v>0</v>
      </c>
      <c r="AD36" s="244">
        <f t="shared" si="6"/>
        <v>0</v>
      </c>
      <c r="AE36" s="244">
        <f t="shared" si="6"/>
        <v>0</v>
      </c>
      <c r="AF36" s="244">
        <f t="shared" ref="AF36:AO45" si="7">IF(ISNUMBER(SEARCH(AF$32,$H36)),1,0)</f>
        <v>0</v>
      </c>
      <c r="AG36" s="244">
        <f t="shared" si="7"/>
        <v>0</v>
      </c>
      <c r="AH36" s="244">
        <f t="shared" si="7"/>
        <v>0</v>
      </c>
      <c r="AI36" s="244">
        <f t="shared" si="7"/>
        <v>0</v>
      </c>
      <c r="AJ36" s="244">
        <f t="shared" si="7"/>
        <v>0</v>
      </c>
      <c r="AK36" s="244">
        <f t="shared" si="7"/>
        <v>0</v>
      </c>
      <c r="AL36" s="244">
        <f t="shared" si="7"/>
        <v>0</v>
      </c>
      <c r="AM36" s="244">
        <f t="shared" si="7"/>
        <v>0</v>
      </c>
      <c r="AN36" s="244">
        <f t="shared" si="7"/>
        <v>0</v>
      </c>
      <c r="AO36" s="244">
        <f t="shared" si="7"/>
        <v>0</v>
      </c>
      <c r="AP36" s="244">
        <f t="shared" ref="AP36:AV45" si="8">IF(ISNUMBER(SEARCH(AP$32,$H36)),1,0)</f>
        <v>0</v>
      </c>
      <c r="AQ36" s="244">
        <f t="shared" si="8"/>
        <v>0</v>
      </c>
      <c r="AR36" s="244">
        <f t="shared" si="8"/>
        <v>0</v>
      </c>
      <c r="AS36" s="244">
        <f t="shared" si="8"/>
        <v>0</v>
      </c>
      <c r="AT36" s="244">
        <f t="shared" si="8"/>
        <v>0</v>
      </c>
      <c r="AU36" s="244">
        <f t="shared" si="8"/>
        <v>0</v>
      </c>
      <c r="AV36" s="244">
        <f t="shared" si="8"/>
        <v>0</v>
      </c>
      <c r="AW36" s="244">
        <v>12</v>
      </c>
      <c r="AX36" s="244" t="s">
        <v>1625</v>
      </c>
      <c r="AY36" s="244" t="s">
        <v>1650</v>
      </c>
      <c r="AZ36" s="244" t="s">
        <v>278</v>
      </c>
      <c r="BA36" s="244" t="s">
        <v>1626</v>
      </c>
      <c r="BB36" s="244"/>
    </row>
    <row r="37" spans="1:54" ht="15" hidden="1">
      <c r="A37" s="331" t="s">
        <v>401</v>
      </c>
      <c r="B37" s="295" t="str">
        <f t="shared" si="4"/>
        <v>Mut: 13 | Intuition: 15 | Gewandheit: 14</v>
      </c>
      <c r="C37" s="308" t="b">
        <v>0</v>
      </c>
      <c r="D37" s="308" t="b">
        <v>0</v>
      </c>
      <c r="E37" s="308" t="b">
        <f t="shared" si="5"/>
        <v>1</v>
      </c>
      <c r="F37" t="s">
        <v>402</v>
      </c>
      <c r="G37" t="s">
        <v>113</v>
      </c>
      <c r="H37" t="s">
        <v>369</v>
      </c>
      <c r="I37" t="s">
        <v>403</v>
      </c>
      <c r="J37" s="295">
        <f>_xlfn.XLOOKUP(G37,Rechner!$A$17:$A$25,Rechner!$B$17:$B$25)</f>
        <v>5</v>
      </c>
      <c r="K37" s="295" t="str">
        <f>_xlfn.XLOOKUP(J37-SUMIF($V$31:$AV$31,TRUE,V37:AV37)-IF(D37=TRUE,1,0),Rechner!$B$17:$B$25,Rechner!$A$17:$A$25,"A+")</f>
        <v>D</v>
      </c>
      <c r="L37" s="295" t="str">
        <f>_xlfn.XLOOKUP(S37,Eigenschaften!$C$20:$C$27,Eigenschaften!$B$20:$B$27)</f>
        <v>Mut</v>
      </c>
      <c r="M37" s="295">
        <f>_xlfn.XLOOKUP(L37,Eigenschaften!$B$20:$B$27,Eigenschaften!$H$20:$H$27,"NaN",1)</f>
        <v>13</v>
      </c>
      <c r="N37" s="295" t="str">
        <f>_xlfn.XLOOKUP(T37,Eigenschaften!$C$20:$C$27,Eigenschaften!$B$20:$B$27)</f>
        <v>Intuition</v>
      </c>
      <c r="O37" s="295">
        <f>_xlfn.XLOOKUP(N37,Eigenschaften!$B$20:$B$27,Eigenschaften!$H$20:$H$27,"NaN",1)</f>
        <v>15</v>
      </c>
      <c r="P37" s="295" t="str">
        <f>_xlfn.XLOOKUP(U37,Eigenschaften!$C$20:$C$27,Eigenschaften!$B$20:$B$27)</f>
        <v>Gewandheit</v>
      </c>
      <c r="Q37" s="295">
        <f>_xlfn.XLOOKUP(P37,Eigenschaften!$B$20:$B$27,Eigenschaften!$H$20:$H$27,"NaN",1)</f>
        <v>14</v>
      </c>
      <c r="R37" s="244"/>
      <c r="S37" s="244" t="str" cm="1">
        <f t="array" ref="S37:U37">_xlfn.TEXTSPLIT(F37,"/",,,,3)</f>
        <v>MU</v>
      </c>
      <c r="T37" s="244" t="str">
        <v>IN</v>
      </c>
      <c r="U37" s="244" t="str">
        <v>GE</v>
      </c>
      <c r="V37" s="244">
        <f t="shared" si="6"/>
        <v>0</v>
      </c>
      <c r="W37" s="244">
        <f t="shared" si="6"/>
        <v>0</v>
      </c>
      <c r="X37" s="244">
        <f t="shared" si="6"/>
        <v>0</v>
      </c>
      <c r="Y37" s="244">
        <f t="shared" si="6"/>
        <v>0</v>
      </c>
      <c r="Z37" s="244">
        <f t="shared" si="6"/>
        <v>0</v>
      </c>
      <c r="AA37" s="244">
        <f t="shared" si="6"/>
        <v>0</v>
      </c>
      <c r="AB37" s="244">
        <f t="shared" si="6"/>
        <v>0</v>
      </c>
      <c r="AC37" s="244">
        <f t="shared" si="6"/>
        <v>0</v>
      </c>
      <c r="AD37" s="244">
        <f t="shared" si="6"/>
        <v>0</v>
      </c>
      <c r="AE37" s="244">
        <f t="shared" si="6"/>
        <v>0</v>
      </c>
      <c r="AF37" s="244">
        <f t="shared" si="7"/>
        <v>0</v>
      </c>
      <c r="AG37" s="244">
        <f t="shared" si="7"/>
        <v>1</v>
      </c>
      <c r="AH37" s="244">
        <f t="shared" si="7"/>
        <v>0</v>
      </c>
      <c r="AI37" s="244">
        <f t="shared" si="7"/>
        <v>0</v>
      </c>
      <c r="AJ37" s="244">
        <f t="shared" si="7"/>
        <v>0</v>
      </c>
      <c r="AK37" s="244">
        <f t="shared" si="7"/>
        <v>0</v>
      </c>
      <c r="AL37" s="244">
        <f t="shared" si="7"/>
        <v>0</v>
      </c>
      <c r="AM37" s="244">
        <f t="shared" si="7"/>
        <v>0</v>
      </c>
      <c r="AN37" s="244">
        <f t="shared" si="7"/>
        <v>0</v>
      </c>
      <c r="AO37" s="244">
        <f t="shared" si="7"/>
        <v>0</v>
      </c>
      <c r="AP37" s="244">
        <f t="shared" si="8"/>
        <v>0</v>
      </c>
      <c r="AQ37" s="244">
        <f t="shared" si="8"/>
        <v>0</v>
      </c>
      <c r="AR37" s="244">
        <f t="shared" si="8"/>
        <v>0</v>
      </c>
      <c r="AS37" s="244">
        <f t="shared" si="8"/>
        <v>0</v>
      </c>
      <c r="AT37" s="244">
        <f t="shared" si="8"/>
        <v>0</v>
      </c>
      <c r="AU37" s="244">
        <f t="shared" si="8"/>
        <v>0</v>
      </c>
      <c r="AV37" s="244">
        <f t="shared" si="8"/>
        <v>0</v>
      </c>
      <c r="AW37" s="244"/>
      <c r="AX37" s="244"/>
      <c r="AY37" s="244"/>
      <c r="AZ37" s="244"/>
      <c r="BA37" s="244"/>
      <c r="BB37" s="244"/>
    </row>
    <row r="38" spans="1:54" ht="15" hidden="1">
      <c r="A38" s="331" t="s">
        <v>405</v>
      </c>
      <c r="B38" s="295" t="str">
        <f t="shared" si="4"/>
        <v>Klugheit: 12 | Charisma: 15 | Konstitution: 12</v>
      </c>
      <c r="C38" s="308" t="b">
        <v>0</v>
      </c>
      <c r="D38" s="308" t="b">
        <v>0</v>
      </c>
      <c r="E38" s="308" t="b">
        <f t="shared" si="5"/>
        <v>0</v>
      </c>
      <c r="F38" t="s">
        <v>406</v>
      </c>
      <c r="G38" t="s">
        <v>125</v>
      </c>
      <c r="H38" t="s">
        <v>407</v>
      </c>
      <c r="I38" t="s">
        <v>408</v>
      </c>
      <c r="J38" s="295">
        <f>_xlfn.XLOOKUP(G38,Rechner!$A$17:$A$25,Rechner!$B$17:$B$25)</f>
        <v>3</v>
      </c>
      <c r="K38" s="295" t="str">
        <f>_xlfn.XLOOKUP(J38-SUMIF($V$31:$AV$31,TRUE,V38:AV38)-IF(D38=TRUE,1,0),Rechner!$B$17:$B$25,Rechner!$A$17:$A$25,"A+")</f>
        <v>B</v>
      </c>
      <c r="L38" s="295" t="str">
        <f>_xlfn.XLOOKUP(S38,Eigenschaften!$C$20:$C$27,Eigenschaften!$B$20:$B$27)</f>
        <v>Klugheit</v>
      </c>
      <c r="M38" s="295">
        <f>_xlfn.XLOOKUP(L38,Eigenschaften!$B$20:$B$27,Eigenschaften!$H$20:$H$27,"NaN",1)</f>
        <v>12</v>
      </c>
      <c r="N38" s="295" t="str">
        <f>_xlfn.XLOOKUP(T38,Eigenschaften!$C$20:$C$27,Eigenschaften!$B$20:$B$27)</f>
        <v>Charisma</v>
      </c>
      <c r="O38" s="295">
        <f>_xlfn.XLOOKUP(N38,Eigenschaften!$B$20:$B$27,Eigenschaften!$H$20:$H$27,"NaN",1)</f>
        <v>15</v>
      </c>
      <c r="P38" s="295" t="str">
        <f>_xlfn.XLOOKUP(U38,Eigenschaften!$C$20:$C$27,Eigenschaften!$B$20:$B$27)</f>
        <v>Konstitution</v>
      </c>
      <c r="Q38" s="295">
        <f>_xlfn.XLOOKUP(P38,Eigenschaften!$B$20:$B$27,Eigenschaften!$H$20:$H$27,"NaN",1)</f>
        <v>12</v>
      </c>
      <c r="R38" s="244"/>
      <c r="S38" s="244" t="str" cm="1">
        <f t="array" ref="S38:U38">_xlfn.TEXTSPLIT(F38,"/",,,,3)</f>
        <v>KL</v>
      </c>
      <c r="T38" s="244" t="str">
        <v>CH</v>
      </c>
      <c r="U38" s="244" t="str">
        <v>KO</v>
      </c>
      <c r="V38" s="244">
        <f t="shared" si="6"/>
        <v>0</v>
      </c>
      <c r="W38" s="244">
        <f t="shared" si="6"/>
        <v>0</v>
      </c>
      <c r="X38" s="244">
        <f t="shared" si="6"/>
        <v>0</v>
      </c>
      <c r="Y38" s="244">
        <f t="shared" si="6"/>
        <v>1</v>
      </c>
      <c r="Z38" s="244">
        <f t="shared" si="6"/>
        <v>0</v>
      </c>
      <c r="AA38" s="244">
        <f t="shared" si="6"/>
        <v>0</v>
      </c>
      <c r="AB38" s="244">
        <f t="shared" si="6"/>
        <v>0</v>
      </c>
      <c r="AC38" s="244">
        <f t="shared" si="6"/>
        <v>0</v>
      </c>
      <c r="AD38" s="244">
        <f t="shared" si="6"/>
        <v>1</v>
      </c>
      <c r="AE38" s="244">
        <f t="shared" si="6"/>
        <v>0</v>
      </c>
      <c r="AF38" s="244">
        <f t="shared" si="7"/>
        <v>0</v>
      </c>
      <c r="AG38" s="244">
        <f t="shared" si="7"/>
        <v>0</v>
      </c>
      <c r="AH38" s="244">
        <f t="shared" si="7"/>
        <v>0</v>
      </c>
      <c r="AI38" s="244">
        <f t="shared" si="7"/>
        <v>0</v>
      </c>
      <c r="AJ38" s="244">
        <f t="shared" si="7"/>
        <v>0</v>
      </c>
      <c r="AK38" s="244">
        <f t="shared" si="7"/>
        <v>0</v>
      </c>
      <c r="AL38" s="244">
        <f t="shared" si="7"/>
        <v>0</v>
      </c>
      <c r="AM38" s="244">
        <f t="shared" si="7"/>
        <v>0</v>
      </c>
      <c r="AN38" s="244">
        <f t="shared" si="7"/>
        <v>0</v>
      </c>
      <c r="AO38" s="244">
        <f t="shared" si="7"/>
        <v>0</v>
      </c>
      <c r="AP38" s="244">
        <f t="shared" si="8"/>
        <v>0</v>
      </c>
      <c r="AQ38" s="244">
        <f t="shared" si="8"/>
        <v>0</v>
      </c>
      <c r="AR38" s="244">
        <f t="shared" si="8"/>
        <v>0</v>
      </c>
      <c r="AS38" s="244">
        <f t="shared" si="8"/>
        <v>0</v>
      </c>
      <c r="AT38" s="244">
        <f t="shared" si="8"/>
        <v>0</v>
      </c>
      <c r="AU38" s="244">
        <f t="shared" si="8"/>
        <v>1</v>
      </c>
      <c r="AV38" s="244">
        <f t="shared" si="8"/>
        <v>0</v>
      </c>
      <c r="AW38" s="244"/>
      <c r="AX38" s="244"/>
      <c r="AY38" s="244"/>
      <c r="AZ38" s="244"/>
      <c r="BA38" s="244"/>
      <c r="BB38" s="244"/>
    </row>
    <row r="39" spans="1:54" ht="15" hidden="1">
      <c r="A39" s="331" t="s">
        <v>409</v>
      </c>
      <c r="B39" s="295" t="str">
        <f t="shared" si="4"/>
        <v>Mut: 13 | Konstitution: 12 | Körperkraft: 12</v>
      </c>
      <c r="C39" s="308" t="b">
        <v>0</v>
      </c>
      <c r="D39" s="308" t="b">
        <v>0</v>
      </c>
      <c r="E39" s="308" t="b">
        <f t="shared" si="5"/>
        <v>0</v>
      </c>
      <c r="F39" t="s">
        <v>410</v>
      </c>
      <c r="G39" t="s">
        <v>113</v>
      </c>
      <c r="H39" t="s">
        <v>407</v>
      </c>
      <c r="I39" t="s">
        <v>411</v>
      </c>
      <c r="J39" s="295">
        <f>_xlfn.XLOOKUP(G39,Rechner!$A$17:$A$25,Rechner!$B$17:$B$25)</f>
        <v>5</v>
      </c>
      <c r="K39" s="295" t="str">
        <f>_xlfn.XLOOKUP(J39-SUMIF($V$31:$AV$31,TRUE,V39:AV39)-IF(D39=TRUE,1,0),Rechner!$B$17:$B$25,Rechner!$A$17:$A$25,"A+")</f>
        <v>D</v>
      </c>
      <c r="L39" s="295" t="str">
        <f>_xlfn.XLOOKUP(S39,Eigenschaften!$C$20:$C$27,Eigenschaften!$B$20:$B$27)</f>
        <v>Mut</v>
      </c>
      <c r="M39" s="295">
        <f>_xlfn.XLOOKUP(L39,Eigenschaften!$B$20:$B$27,Eigenschaften!$H$20:$H$27,"NaN",1)</f>
        <v>13</v>
      </c>
      <c r="N39" s="295" t="str">
        <f>_xlfn.XLOOKUP(T39,Eigenschaften!$C$20:$C$27,Eigenschaften!$B$20:$B$27)</f>
        <v>Konstitution</v>
      </c>
      <c r="O39" s="295">
        <f>_xlfn.XLOOKUP(N39,Eigenschaften!$B$20:$B$27,Eigenschaften!$H$20:$H$27,"NaN",1)</f>
        <v>12</v>
      </c>
      <c r="P39" s="295" t="str">
        <f>_xlfn.XLOOKUP(U39,Eigenschaften!$C$20:$C$27,Eigenschaften!$B$20:$B$27)</f>
        <v>Körperkraft</v>
      </c>
      <c r="Q39" s="295">
        <f>_xlfn.XLOOKUP(P39,Eigenschaften!$B$20:$B$27,Eigenschaften!$H$20:$H$27,"NaN",1)</f>
        <v>12</v>
      </c>
      <c r="R39" s="244"/>
      <c r="S39" s="244" t="str" cm="1">
        <f t="array" ref="S39:U39">_xlfn.TEXTSPLIT(F39,"/",,,,3)</f>
        <v>MU</v>
      </c>
      <c r="T39" s="244" t="str">
        <v>KO</v>
      </c>
      <c r="U39" s="244" t="str">
        <v>KK</v>
      </c>
      <c r="V39" s="244">
        <f t="shared" si="6"/>
        <v>0</v>
      </c>
      <c r="W39" s="244">
        <f t="shared" si="6"/>
        <v>0</v>
      </c>
      <c r="X39" s="244">
        <f t="shared" si="6"/>
        <v>0</v>
      </c>
      <c r="Y39" s="244">
        <f t="shared" si="6"/>
        <v>1</v>
      </c>
      <c r="Z39" s="244">
        <f t="shared" si="6"/>
        <v>0</v>
      </c>
      <c r="AA39" s="244">
        <f t="shared" si="6"/>
        <v>0</v>
      </c>
      <c r="AB39" s="244">
        <f t="shared" si="6"/>
        <v>0</v>
      </c>
      <c r="AC39" s="244">
        <f t="shared" si="6"/>
        <v>0</v>
      </c>
      <c r="AD39" s="244">
        <f t="shared" si="6"/>
        <v>1</v>
      </c>
      <c r="AE39" s="244">
        <f t="shared" si="6"/>
        <v>0</v>
      </c>
      <c r="AF39" s="244">
        <f t="shared" si="7"/>
        <v>0</v>
      </c>
      <c r="AG39" s="244">
        <f t="shared" si="7"/>
        <v>0</v>
      </c>
      <c r="AH39" s="244">
        <f t="shared" si="7"/>
        <v>0</v>
      </c>
      <c r="AI39" s="244">
        <f t="shared" si="7"/>
        <v>0</v>
      </c>
      <c r="AJ39" s="244">
        <f t="shared" si="7"/>
        <v>0</v>
      </c>
      <c r="AK39" s="244">
        <f t="shared" si="7"/>
        <v>0</v>
      </c>
      <c r="AL39" s="244">
        <f t="shared" si="7"/>
        <v>0</v>
      </c>
      <c r="AM39" s="244">
        <f t="shared" si="7"/>
        <v>0</v>
      </c>
      <c r="AN39" s="244">
        <f t="shared" si="7"/>
        <v>0</v>
      </c>
      <c r="AO39" s="244">
        <f t="shared" si="7"/>
        <v>0</v>
      </c>
      <c r="AP39" s="244">
        <f t="shared" si="8"/>
        <v>0</v>
      </c>
      <c r="AQ39" s="244">
        <f t="shared" si="8"/>
        <v>0</v>
      </c>
      <c r="AR39" s="244">
        <f t="shared" si="8"/>
        <v>0</v>
      </c>
      <c r="AS39" s="244">
        <f t="shared" si="8"/>
        <v>0</v>
      </c>
      <c r="AT39" s="244">
        <f t="shared" si="8"/>
        <v>0</v>
      </c>
      <c r="AU39" s="244">
        <f t="shared" si="8"/>
        <v>1</v>
      </c>
      <c r="AV39" s="244">
        <f t="shared" si="8"/>
        <v>0</v>
      </c>
      <c r="AW39" s="244"/>
      <c r="AX39" s="244"/>
      <c r="AY39" s="244"/>
      <c r="AZ39" s="244"/>
      <c r="BA39" s="244"/>
      <c r="BB39" s="244"/>
    </row>
    <row r="40" spans="1:54" ht="15" hidden="1">
      <c r="A40" s="331" t="s">
        <v>412</v>
      </c>
      <c r="B40" s="295" t="str">
        <f t="shared" si="4"/>
        <v>Mut: 13 | Intuition: 15 | Konstitution: 12</v>
      </c>
      <c r="C40" s="308" t="b">
        <v>0</v>
      </c>
      <c r="D40" s="308" t="b">
        <v>0</v>
      </c>
      <c r="E40" s="308" t="b">
        <f t="shared" si="5"/>
        <v>0</v>
      </c>
      <c r="F40" t="s">
        <v>310</v>
      </c>
      <c r="G40" t="s">
        <v>113</v>
      </c>
      <c r="H40" t="s">
        <v>407</v>
      </c>
      <c r="I40" t="s">
        <v>413</v>
      </c>
      <c r="J40" s="295">
        <f>_xlfn.XLOOKUP(G40,Rechner!$A$17:$A$25,Rechner!$B$17:$B$25)</f>
        <v>5</v>
      </c>
      <c r="K40" s="295" t="str">
        <f>_xlfn.XLOOKUP(J40-SUMIF($V$31:$AV$31,TRUE,V40:AV40)-IF(D40=TRUE,1,0),Rechner!$B$17:$B$25,Rechner!$A$17:$A$25,"A+")</f>
        <v>D</v>
      </c>
      <c r="L40" s="295" t="str">
        <f>_xlfn.XLOOKUP(S40,Eigenschaften!$C$20:$C$27,Eigenschaften!$B$20:$B$27)</f>
        <v>Mut</v>
      </c>
      <c r="M40" s="295">
        <f>_xlfn.XLOOKUP(L40,Eigenschaften!$B$20:$B$27,Eigenschaften!$H$20:$H$27,"NaN",1)</f>
        <v>13</v>
      </c>
      <c r="N40" s="295" t="str">
        <f>_xlfn.XLOOKUP(T40,Eigenschaften!$C$20:$C$27,Eigenschaften!$B$20:$B$27)</f>
        <v>Intuition</v>
      </c>
      <c r="O40" s="295">
        <f>_xlfn.XLOOKUP(N40,Eigenschaften!$B$20:$B$27,Eigenschaften!$H$20:$H$27,"NaN",1)</f>
        <v>15</v>
      </c>
      <c r="P40" s="295" t="str">
        <f>_xlfn.XLOOKUP(U40,Eigenschaften!$C$20:$C$27,Eigenschaften!$B$20:$B$27)</f>
        <v>Konstitution</v>
      </c>
      <c r="Q40" s="295">
        <f>_xlfn.XLOOKUP(P40,Eigenschaften!$B$20:$B$27,Eigenschaften!$H$20:$H$27,"NaN",1)</f>
        <v>12</v>
      </c>
      <c r="R40" s="244"/>
      <c r="S40" s="244" t="str" cm="1">
        <f t="array" ref="S40:U40">_xlfn.TEXTSPLIT(F40,"/",,,,3)</f>
        <v>MU</v>
      </c>
      <c r="T40" s="244" t="str">
        <v>IN</v>
      </c>
      <c r="U40" s="244" t="str">
        <v>KO</v>
      </c>
      <c r="V40" s="244">
        <f t="shared" si="6"/>
        <v>0</v>
      </c>
      <c r="W40" s="244">
        <f t="shared" si="6"/>
        <v>0</v>
      </c>
      <c r="X40" s="244">
        <f t="shared" si="6"/>
        <v>0</v>
      </c>
      <c r="Y40" s="244">
        <f t="shared" si="6"/>
        <v>1</v>
      </c>
      <c r="Z40" s="244">
        <f t="shared" si="6"/>
        <v>0</v>
      </c>
      <c r="AA40" s="244">
        <f t="shared" si="6"/>
        <v>0</v>
      </c>
      <c r="AB40" s="244">
        <f t="shared" si="6"/>
        <v>0</v>
      </c>
      <c r="AC40" s="244">
        <f t="shared" si="6"/>
        <v>0</v>
      </c>
      <c r="AD40" s="244">
        <f t="shared" si="6"/>
        <v>1</v>
      </c>
      <c r="AE40" s="244">
        <f t="shared" si="6"/>
        <v>0</v>
      </c>
      <c r="AF40" s="244">
        <f t="shared" si="7"/>
        <v>0</v>
      </c>
      <c r="AG40" s="244">
        <f t="shared" si="7"/>
        <v>0</v>
      </c>
      <c r="AH40" s="244">
        <f t="shared" si="7"/>
        <v>0</v>
      </c>
      <c r="AI40" s="244">
        <f t="shared" si="7"/>
        <v>0</v>
      </c>
      <c r="AJ40" s="244">
        <f t="shared" si="7"/>
        <v>0</v>
      </c>
      <c r="AK40" s="244">
        <f t="shared" si="7"/>
        <v>0</v>
      </c>
      <c r="AL40" s="244">
        <f t="shared" si="7"/>
        <v>0</v>
      </c>
      <c r="AM40" s="244">
        <f t="shared" si="7"/>
        <v>0</v>
      </c>
      <c r="AN40" s="244">
        <f t="shared" si="7"/>
        <v>0</v>
      </c>
      <c r="AO40" s="244">
        <f t="shared" si="7"/>
        <v>0</v>
      </c>
      <c r="AP40" s="244">
        <f t="shared" si="8"/>
        <v>0</v>
      </c>
      <c r="AQ40" s="244">
        <f t="shared" si="8"/>
        <v>0</v>
      </c>
      <c r="AR40" s="244">
        <f t="shared" si="8"/>
        <v>0</v>
      </c>
      <c r="AS40" s="244">
        <f t="shared" si="8"/>
        <v>0</v>
      </c>
      <c r="AT40" s="244">
        <f t="shared" si="8"/>
        <v>0</v>
      </c>
      <c r="AU40" s="244">
        <f t="shared" si="8"/>
        <v>1</v>
      </c>
      <c r="AV40" s="244">
        <f t="shared" si="8"/>
        <v>0</v>
      </c>
      <c r="AW40" s="244"/>
      <c r="AX40" s="244"/>
      <c r="AY40" s="244"/>
      <c r="AZ40" s="244"/>
      <c r="BA40" s="244"/>
      <c r="BB40" s="244"/>
    </row>
    <row r="41" spans="1:54" ht="15" hidden="1">
      <c r="A41" s="331" t="s">
        <v>415</v>
      </c>
      <c r="B41" s="295" t="str">
        <f t="shared" si="4"/>
        <v>Mut: 13 | Charisma: 15 | Gewandheit: 14</v>
      </c>
      <c r="C41" s="308" t="b">
        <v>0</v>
      </c>
      <c r="D41" s="308" t="b">
        <v>0</v>
      </c>
      <c r="E41" s="308" t="b">
        <f t="shared" si="5"/>
        <v>0</v>
      </c>
      <c r="F41" t="s">
        <v>416</v>
      </c>
      <c r="G41" t="s">
        <v>110</v>
      </c>
      <c r="H41" t="s">
        <v>417</v>
      </c>
      <c r="I41" t="s">
        <v>418</v>
      </c>
      <c r="J41" s="295">
        <f>_xlfn.XLOOKUP(G41,Rechner!$A$17:$A$25,Rechner!$B$17:$B$25)</f>
        <v>4</v>
      </c>
      <c r="K41" s="295" t="str">
        <f>_xlfn.XLOOKUP(J41-SUMIF($V$31:$AV$31,TRUE,V41:AV41)-IF(D41=TRUE,1,0),Rechner!$B$17:$B$25,Rechner!$A$17:$A$25,"A+")</f>
        <v>B</v>
      </c>
      <c r="L41" s="295" t="str">
        <f>_xlfn.XLOOKUP(S41,Eigenschaften!$C$20:$C$27,Eigenschaften!$B$20:$B$27)</f>
        <v>Mut</v>
      </c>
      <c r="M41" s="295">
        <f>_xlfn.XLOOKUP(L41,Eigenschaften!$B$20:$B$27,Eigenschaften!$H$20:$H$27,"NaN",1)</f>
        <v>13</v>
      </c>
      <c r="N41" s="295" t="str">
        <f>_xlfn.XLOOKUP(T41,Eigenschaften!$C$20:$C$27,Eigenschaften!$B$20:$B$27)</f>
        <v>Charisma</v>
      </c>
      <c r="O41" s="295">
        <f>_xlfn.XLOOKUP(N41,Eigenschaften!$B$20:$B$27,Eigenschaften!$H$20:$H$27,"NaN",1)</f>
        <v>15</v>
      </c>
      <c r="P41" s="295" t="str">
        <f>_xlfn.XLOOKUP(U41,Eigenschaften!$C$20:$C$27,Eigenschaften!$B$20:$B$27)</f>
        <v>Gewandheit</v>
      </c>
      <c r="Q41" s="295">
        <f>_xlfn.XLOOKUP(P41,Eigenschaften!$B$20:$B$27,Eigenschaften!$H$20:$H$27,"NaN",1)</f>
        <v>14</v>
      </c>
      <c r="R41" s="244"/>
      <c r="S41" s="244" t="str" cm="1">
        <f t="array" ref="S41:U41">_xlfn.TEXTSPLIT(F41,"/",,,,3)</f>
        <v>MU</v>
      </c>
      <c r="T41" s="244" t="str">
        <v>CH</v>
      </c>
      <c r="U41" s="244" t="str">
        <v>GE</v>
      </c>
      <c r="V41" s="244">
        <f t="shared" si="6"/>
        <v>0</v>
      </c>
      <c r="W41" s="244">
        <f t="shared" si="6"/>
        <v>0</v>
      </c>
      <c r="X41" s="244">
        <f t="shared" si="6"/>
        <v>0</v>
      </c>
      <c r="Y41" s="244">
        <f t="shared" si="6"/>
        <v>0</v>
      </c>
      <c r="Z41" s="244">
        <f t="shared" si="6"/>
        <v>0</v>
      </c>
      <c r="AA41" s="244">
        <f t="shared" si="6"/>
        <v>0</v>
      </c>
      <c r="AB41" s="244">
        <f t="shared" si="6"/>
        <v>0</v>
      </c>
      <c r="AC41" s="244">
        <f t="shared" si="6"/>
        <v>0</v>
      </c>
      <c r="AD41" s="244">
        <f t="shared" si="6"/>
        <v>0</v>
      </c>
      <c r="AE41" s="244">
        <f t="shared" si="6"/>
        <v>0</v>
      </c>
      <c r="AF41" s="244">
        <f t="shared" si="7"/>
        <v>1</v>
      </c>
      <c r="AG41" s="244">
        <f t="shared" si="7"/>
        <v>0</v>
      </c>
      <c r="AH41" s="244">
        <f t="shared" si="7"/>
        <v>0</v>
      </c>
      <c r="AI41" s="244">
        <f t="shared" si="7"/>
        <v>0</v>
      </c>
      <c r="AJ41" s="244">
        <f t="shared" si="7"/>
        <v>0</v>
      </c>
      <c r="AK41" s="244">
        <f t="shared" si="7"/>
        <v>0</v>
      </c>
      <c r="AL41" s="244">
        <f t="shared" si="7"/>
        <v>1</v>
      </c>
      <c r="AM41" s="244">
        <f t="shared" si="7"/>
        <v>0</v>
      </c>
      <c r="AN41" s="244">
        <f t="shared" si="7"/>
        <v>0</v>
      </c>
      <c r="AO41" s="244">
        <f t="shared" si="7"/>
        <v>0</v>
      </c>
      <c r="AP41" s="244">
        <f t="shared" si="8"/>
        <v>0</v>
      </c>
      <c r="AQ41" s="244">
        <f t="shared" si="8"/>
        <v>0</v>
      </c>
      <c r="AR41" s="244">
        <f t="shared" si="8"/>
        <v>0</v>
      </c>
      <c r="AS41" s="244">
        <f t="shared" si="8"/>
        <v>0</v>
      </c>
      <c r="AT41" s="244">
        <f t="shared" si="8"/>
        <v>0</v>
      </c>
      <c r="AU41" s="244">
        <f t="shared" si="8"/>
        <v>0</v>
      </c>
      <c r="AV41" s="244">
        <f t="shared" si="8"/>
        <v>0</v>
      </c>
      <c r="AW41" s="244"/>
      <c r="AX41" s="244"/>
      <c r="AY41" s="244"/>
      <c r="AZ41" s="244"/>
      <c r="BA41" s="244"/>
      <c r="BB41" s="244"/>
    </row>
    <row r="42" spans="1:54" ht="15" hidden="1">
      <c r="A42" s="331" t="s">
        <v>420</v>
      </c>
      <c r="B42" s="295" t="str">
        <f t="shared" si="4"/>
        <v>Klugheit: 12 | Klugheit: 12 | Intuition: ?</v>
      </c>
      <c r="C42" s="308" t="b">
        <v>0</v>
      </c>
      <c r="D42" s="308" t="b">
        <v>0</v>
      </c>
      <c r="E42" s="308" t="b">
        <f t="shared" si="5"/>
        <v>1</v>
      </c>
      <c r="F42" t="s">
        <v>421</v>
      </c>
      <c r="G42" t="s">
        <v>113</v>
      </c>
      <c r="H42" t="s">
        <v>404</v>
      </c>
      <c r="I42" t="s">
        <v>422</v>
      </c>
      <c r="J42" s="295">
        <f>_xlfn.XLOOKUP(G42,Rechner!$A$17:$A$25,Rechner!$B$17:$B$25)</f>
        <v>5</v>
      </c>
      <c r="K42" s="295" t="str">
        <f>_xlfn.XLOOKUP(J42-SUMIF($V$31:$AV$31,TRUE,V42:AV42)-IF(D42=TRUE,1,0),Rechner!$B$17:$B$25,Rechner!$A$17:$A$25,"A+")</f>
        <v>D</v>
      </c>
      <c r="L42" s="295" t="str">
        <f>_xlfn.XLOOKUP(S42,Eigenschaften!$C$20:$C$27,Eigenschaften!$B$20:$B$27)</f>
        <v>Klugheit</v>
      </c>
      <c r="M42" s="295">
        <f>_xlfn.XLOOKUP(L42,Eigenschaften!$B$20:$B$27,Eigenschaften!$H$20:$H$27,"NaN",1)</f>
        <v>12</v>
      </c>
      <c r="N42" s="295" t="str">
        <f>_xlfn.XLOOKUP(T42,Eigenschaften!$C$20:$C$27,Eigenschaften!$B$20:$B$27)</f>
        <v>Klugheit</v>
      </c>
      <c r="O42" s="295">
        <f>_xlfn.XLOOKUP(N42,Eigenschaften!$B$20:$B$27,Eigenschaften!$H$20:$H$27,"NaN",1)</f>
        <v>12</v>
      </c>
      <c r="P42" s="295" t="str">
        <f>_xlfn.XLOOKUP(U42,Eigenschaften!$C$20:$C$27,Eigenschaften!$B$20:$B$27,"*")</f>
        <v>Intuition</v>
      </c>
      <c r="Q42" s="295" t="s">
        <v>423</v>
      </c>
      <c r="R42" s="244"/>
      <c r="S42" s="244" t="str" cm="1">
        <f t="array" ref="S42:U42">_xlfn.TEXTSPLIT(F42,"/",,,,3)</f>
        <v>KL</v>
      </c>
      <c r="T42" s="244" t="str">
        <v>KL</v>
      </c>
      <c r="U42" s="244" t="str">
        <v>IN</v>
      </c>
      <c r="V42" s="244">
        <f t="shared" si="6"/>
        <v>0</v>
      </c>
      <c r="W42" s="244">
        <f t="shared" si="6"/>
        <v>0</v>
      </c>
      <c r="X42" s="244">
        <f t="shared" si="6"/>
        <v>0</v>
      </c>
      <c r="Y42" s="244">
        <f t="shared" si="6"/>
        <v>0</v>
      </c>
      <c r="Z42" s="244">
        <f t="shared" si="6"/>
        <v>0</v>
      </c>
      <c r="AA42" s="244">
        <f t="shared" si="6"/>
        <v>0</v>
      </c>
      <c r="AB42" s="244">
        <f t="shared" si="6"/>
        <v>0</v>
      </c>
      <c r="AC42" s="244">
        <f t="shared" si="6"/>
        <v>0</v>
      </c>
      <c r="AD42" s="244">
        <f t="shared" si="6"/>
        <v>0</v>
      </c>
      <c r="AE42" s="244">
        <f t="shared" si="6"/>
        <v>0</v>
      </c>
      <c r="AF42" s="244">
        <f t="shared" si="7"/>
        <v>0</v>
      </c>
      <c r="AG42" s="244">
        <f t="shared" si="7"/>
        <v>0</v>
      </c>
      <c r="AH42" s="244">
        <f t="shared" si="7"/>
        <v>0</v>
      </c>
      <c r="AI42" s="244">
        <f t="shared" si="7"/>
        <v>0</v>
      </c>
      <c r="AJ42" s="244">
        <f t="shared" si="7"/>
        <v>1</v>
      </c>
      <c r="AK42" s="244">
        <f t="shared" si="7"/>
        <v>0</v>
      </c>
      <c r="AL42" s="244">
        <f t="shared" si="7"/>
        <v>0</v>
      </c>
      <c r="AM42" s="244">
        <f t="shared" si="7"/>
        <v>0</v>
      </c>
      <c r="AN42" s="244">
        <f t="shared" si="7"/>
        <v>0</v>
      </c>
      <c r="AO42" s="244">
        <f t="shared" si="7"/>
        <v>0</v>
      </c>
      <c r="AP42" s="244">
        <f t="shared" si="8"/>
        <v>1</v>
      </c>
      <c r="AQ42" s="244">
        <f t="shared" si="8"/>
        <v>0</v>
      </c>
      <c r="AR42" s="244">
        <f t="shared" si="8"/>
        <v>0</v>
      </c>
      <c r="AS42" s="244">
        <f t="shared" si="8"/>
        <v>0</v>
      </c>
      <c r="AT42" s="244">
        <f t="shared" si="8"/>
        <v>0</v>
      </c>
      <c r="AU42" s="244">
        <f t="shared" si="8"/>
        <v>0</v>
      </c>
      <c r="AV42" s="244">
        <f t="shared" si="8"/>
        <v>0</v>
      </c>
      <c r="AW42" s="244"/>
      <c r="AX42" s="244"/>
      <c r="AY42" s="244"/>
      <c r="AZ42" s="244"/>
      <c r="BA42" s="244"/>
      <c r="BB42" s="244"/>
    </row>
    <row r="43" spans="1:54" ht="15" hidden="1">
      <c r="A43" s="331" t="s">
        <v>424</v>
      </c>
      <c r="B43" s="295" t="str">
        <f t="shared" si="4"/>
        <v>Mut: 13 | Intuition: 15 | Charisma: 15</v>
      </c>
      <c r="C43" s="308" t="b">
        <v>0</v>
      </c>
      <c r="D43" s="308" t="b">
        <v>0</v>
      </c>
      <c r="E43" s="308" t="b">
        <f t="shared" si="5"/>
        <v>1</v>
      </c>
      <c r="F43" t="s">
        <v>336</v>
      </c>
      <c r="G43" t="s">
        <v>110</v>
      </c>
      <c r="H43" t="s">
        <v>368</v>
      </c>
      <c r="I43" t="s">
        <v>425</v>
      </c>
      <c r="J43" s="295">
        <f>_xlfn.XLOOKUP(G43,Rechner!$A$17:$A$25,Rechner!$B$17:$B$25)</f>
        <v>4</v>
      </c>
      <c r="K43" s="295" t="str">
        <f>_xlfn.XLOOKUP(J43-SUMIF($V$31:$AV$31,TRUE,V43:AV43)-IF(D43=TRUE,1,0),Rechner!$B$17:$B$25,Rechner!$A$17:$A$25,"A+")</f>
        <v>B</v>
      </c>
      <c r="L43" s="295" t="str">
        <f>_xlfn.XLOOKUP(S43,Eigenschaften!$C$20:$C$27,Eigenschaften!$B$20:$B$27)</f>
        <v>Mut</v>
      </c>
      <c r="M43" s="295">
        <f>_xlfn.XLOOKUP(L43,Eigenschaften!$B$20:$B$27,Eigenschaften!$H$20:$H$27,"NaN",1)</f>
        <v>13</v>
      </c>
      <c r="N43" s="295" t="str">
        <f>_xlfn.XLOOKUP(T43,Eigenschaften!$C$20:$C$27,Eigenschaften!$B$20:$B$27)</f>
        <v>Intuition</v>
      </c>
      <c r="O43" s="295">
        <f>_xlfn.XLOOKUP(N43,Eigenschaften!$B$20:$B$27,Eigenschaften!$H$20:$H$27,"NaN",1)</f>
        <v>15</v>
      </c>
      <c r="P43" s="295" t="str">
        <f>_xlfn.XLOOKUP(U43,Eigenschaften!$C$20:$C$27,Eigenschaften!$B$20:$B$27)</f>
        <v>Charisma</v>
      </c>
      <c r="Q43" s="295">
        <f>_xlfn.XLOOKUP(P43,Eigenschaften!$B$20:$B$27,Eigenschaften!$H$20:$H$27,"NaN",1)</f>
        <v>15</v>
      </c>
      <c r="R43" s="244"/>
      <c r="S43" s="244" t="str" cm="1">
        <f t="array" ref="S43:U43">_xlfn.TEXTSPLIT(F43,"/",,,,3)</f>
        <v>MU</v>
      </c>
      <c r="T43" s="244" t="str">
        <v>IN</v>
      </c>
      <c r="U43" s="244" t="str">
        <v>CH</v>
      </c>
      <c r="V43" s="244">
        <f t="shared" si="6"/>
        <v>0</v>
      </c>
      <c r="W43" s="244">
        <f t="shared" si="6"/>
        <v>0</v>
      </c>
      <c r="X43" s="244">
        <f t="shared" si="6"/>
        <v>0</v>
      </c>
      <c r="Y43" s="244">
        <f t="shared" si="6"/>
        <v>0</v>
      </c>
      <c r="Z43" s="244">
        <f t="shared" si="6"/>
        <v>0</v>
      </c>
      <c r="AA43" s="244">
        <f t="shared" si="6"/>
        <v>0</v>
      </c>
      <c r="AB43" s="244">
        <f t="shared" si="6"/>
        <v>0</v>
      </c>
      <c r="AC43" s="244">
        <f t="shared" si="6"/>
        <v>0</v>
      </c>
      <c r="AD43" s="244">
        <f t="shared" si="6"/>
        <v>0</v>
      </c>
      <c r="AE43" s="244">
        <f t="shared" si="6"/>
        <v>0</v>
      </c>
      <c r="AF43" s="244">
        <f t="shared" si="7"/>
        <v>1</v>
      </c>
      <c r="AG43" s="244">
        <f t="shared" si="7"/>
        <v>0</v>
      </c>
      <c r="AH43" s="244">
        <f t="shared" si="7"/>
        <v>0</v>
      </c>
      <c r="AI43" s="244">
        <f t="shared" si="7"/>
        <v>0</v>
      </c>
      <c r="AJ43" s="244">
        <f t="shared" si="7"/>
        <v>0</v>
      </c>
      <c r="AK43" s="244">
        <f t="shared" si="7"/>
        <v>0</v>
      </c>
      <c r="AL43" s="244">
        <f t="shared" si="7"/>
        <v>0</v>
      </c>
      <c r="AM43" s="244">
        <f t="shared" si="7"/>
        <v>0</v>
      </c>
      <c r="AN43" s="244">
        <f t="shared" si="7"/>
        <v>0</v>
      </c>
      <c r="AO43" s="244">
        <f t="shared" si="7"/>
        <v>0</v>
      </c>
      <c r="AP43" s="244">
        <f t="shared" si="8"/>
        <v>0</v>
      </c>
      <c r="AQ43" s="244">
        <f t="shared" si="8"/>
        <v>0</v>
      </c>
      <c r="AR43" s="244">
        <f t="shared" si="8"/>
        <v>0</v>
      </c>
      <c r="AS43" s="244">
        <f t="shared" si="8"/>
        <v>0</v>
      </c>
      <c r="AT43" s="244">
        <f t="shared" si="8"/>
        <v>0</v>
      </c>
      <c r="AU43" s="244">
        <f t="shared" si="8"/>
        <v>0</v>
      </c>
      <c r="AV43" s="244">
        <f t="shared" si="8"/>
        <v>0</v>
      </c>
      <c r="AW43" s="244"/>
      <c r="AX43" s="244"/>
      <c r="AY43" s="244"/>
      <c r="AZ43" s="244"/>
      <c r="BA43" s="244"/>
      <c r="BB43" s="244"/>
    </row>
    <row r="44" spans="1:54" ht="15" hidden="1">
      <c r="A44" s="331" t="s">
        <v>427</v>
      </c>
      <c r="B44" s="295" t="str">
        <f t="shared" si="4"/>
        <v>Klugheit: 12 | Fingerfertigkeit: 10 | Gewandheit: 14</v>
      </c>
      <c r="C44" s="308" t="b">
        <v>0</v>
      </c>
      <c r="D44" s="308" t="b">
        <v>0</v>
      </c>
      <c r="E44" s="308" t="b">
        <f t="shared" si="5"/>
        <v>0</v>
      </c>
      <c r="F44" t="s">
        <v>428</v>
      </c>
      <c r="G44" t="s">
        <v>429</v>
      </c>
      <c r="H44" t="s">
        <v>380</v>
      </c>
      <c r="I44" t="s">
        <v>430</v>
      </c>
      <c r="J44" s="295">
        <f>_xlfn.XLOOKUP(G44,Rechner!$A$17:$A$25,Rechner!$B$17:$B$25)</f>
        <v>6</v>
      </c>
      <c r="K44" s="295" t="str">
        <f>_xlfn.XLOOKUP(J44-SUMIF($V$31:$AV$31,TRUE,V44:AV44)-IF(D44=TRUE,1,0),Rechner!$B$17:$B$25,Rechner!$A$17:$A$25,"A+")</f>
        <v>E</v>
      </c>
      <c r="L44" s="295" t="str">
        <f>_xlfn.XLOOKUP(S44,Eigenschaften!$C$20:$C$27,Eigenschaften!$B$20:$B$27)</f>
        <v>Klugheit</v>
      </c>
      <c r="M44" s="295">
        <f>_xlfn.XLOOKUP(L44,Eigenschaften!$B$20:$B$27,Eigenschaften!$H$20:$H$27,"NaN",1)</f>
        <v>12</v>
      </c>
      <c r="N44" s="295" t="str">
        <f>_xlfn.XLOOKUP(T44,Eigenschaften!$C$20:$C$27,Eigenschaften!$B$20:$B$27)</f>
        <v>Fingerfertigkeit</v>
      </c>
      <c r="O44" s="295">
        <f>_xlfn.XLOOKUP(N44,Eigenschaften!$B$20:$B$27,Eigenschaften!$H$20:$H$27,"NaN",1)</f>
        <v>10</v>
      </c>
      <c r="P44" s="295" t="str">
        <f>_xlfn.XLOOKUP(U44,Eigenschaften!$C$20:$C$27,Eigenschaften!$B$20:$B$27)</f>
        <v>Gewandheit</v>
      </c>
      <c r="Q44" s="295">
        <f>_xlfn.XLOOKUP(P44,Eigenschaften!$B$20:$B$27,Eigenschaften!$H$20:$H$27,"NaN",1)</f>
        <v>14</v>
      </c>
      <c r="R44" s="244"/>
      <c r="S44" s="244" t="str" cm="1">
        <f t="array" ref="S44:U44">_xlfn.TEXTSPLIT(F44,"/",,,,3)</f>
        <v>KL</v>
      </c>
      <c r="T44" s="244" t="str">
        <v>FF</v>
      </c>
      <c r="U44" s="244" t="str">
        <v>GE</v>
      </c>
      <c r="V44" s="244">
        <f t="shared" si="6"/>
        <v>0</v>
      </c>
      <c r="W44" s="244">
        <f t="shared" si="6"/>
        <v>0</v>
      </c>
      <c r="X44" s="244">
        <f t="shared" si="6"/>
        <v>0</v>
      </c>
      <c r="Y44" s="244">
        <f t="shared" si="6"/>
        <v>0</v>
      </c>
      <c r="Z44" s="244">
        <f t="shared" si="6"/>
        <v>0</v>
      </c>
      <c r="AA44" s="244">
        <f t="shared" si="6"/>
        <v>0</v>
      </c>
      <c r="AB44" s="244">
        <f t="shared" si="6"/>
        <v>0</v>
      </c>
      <c r="AC44" s="244">
        <f t="shared" si="6"/>
        <v>0</v>
      </c>
      <c r="AD44" s="244">
        <f t="shared" si="6"/>
        <v>0</v>
      </c>
      <c r="AE44" s="244">
        <f t="shared" si="6"/>
        <v>0</v>
      </c>
      <c r="AF44" s="244">
        <f t="shared" si="7"/>
        <v>0</v>
      </c>
      <c r="AG44" s="244">
        <f t="shared" si="7"/>
        <v>0</v>
      </c>
      <c r="AH44" s="244">
        <f t="shared" si="7"/>
        <v>0</v>
      </c>
      <c r="AI44" s="244">
        <f t="shared" si="7"/>
        <v>0</v>
      </c>
      <c r="AJ44" s="244">
        <f t="shared" si="7"/>
        <v>0</v>
      </c>
      <c r="AK44" s="244">
        <f t="shared" si="7"/>
        <v>0</v>
      </c>
      <c r="AL44" s="244">
        <f t="shared" si="7"/>
        <v>0</v>
      </c>
      <c r="AM44" s="244">
        <f t="shared" si="7"/>
        <v>0</v>
      </c>
      <c r="AN44" s="244">
        <f t="shared" si="7"/>
        <v>0</v>
      </c>
      <c r="AO44" s="244">
        <f t="shared" si="7"/>
        <v>0</v>
      </c>
      <c r="AP44" s="244">
        <f t="shared" si="8"/>
        <v>0</v>
      </c>
      <c r="AQ44" s="244">
        <f t="shared" si="8"/>
        <v>0</v>
      </c>
      <c r="AR44" s="244">
        <f t="shared" si="8"/>
        <v>0</v>
      </c>
      <c r="AS44" s="244">
        <f t="shared" si="8"/>
        <v>1</v>
      </c>
      <c r="AT44" s="244">
        <f t="shared" si="8"/>
        <v>0</v>
      </c>
      <c r="AU44" s="244">
        <f t="shared" si="8"/>
        <v>0</v>
      </c>
      <c r="AV44" s="244">
        <f t="shared" si="8"/>
        <v>0</v>
      </c>
      <c r="AW44" s="244"/>
      <c r="AX44" s="244"/>
      <c r="AY44" s="244"/>
      <c r="AZ44" s="244"/>
      <c r="BA44" s="244"/>
      <c r="BB44" s="244"/>
    </row>
    <row r="45" spans="1:54" ht="15" hidden="1">
      <c r="A45" s="331" t="s">
        <v>431</v>
      </c>
      <c r="B45" s="295" t="str">
        <f t="shared" si="4"/>
        <v>Klugheit: 12 | Fingerfertigkeit: 10 | Fingerfertigkeit: 10</v>
      </c>
      <c r="C45" s="308" t="b">
        <v>0</v>
      </c>
      <c r="D45" s="308" t="b">
        <v>0</v>
      </c>
      <c r="E45" s="308" t="b">
        <f t="shared" si="5"/>
        <v>0</v>
      </c>
      <c r="F45" t="s">
        <v>432</v>
      </c>
      <c r="G45" t="s">
        <v>110</v>
      </c>
      <c r="H45" t="s">
        <v>414</v>
      </c>
      <c r="I45" t="s">
        <v>433</v>
      </c>
      <c r="J45" s="295">
        <f>_xlfn.XLOOKUP(G45,Rechner!$A$17:$A$25,Rechner!$B$17:$B$25)</f>
        <v>4</v>
      </c>
      <c r="K45" s="295" t="str">
        <f>_xlfn.XLOOKUP(J45-SUMIF($V$31:$AV$31,TRUE,V45:AV45)-IF(D45=TRUE,1,0),Rechner!$B$17:$B$25,Rechner!$A$17:$A$25,"A+")</f>
        <v>C</v>
      </c>
      <c r="L45" s="295" t="str">
        <f>_xlfn.XLOOKUP(S45,Eigenschaften!$C$20:$C$27,Eigenschaften!$B$20:$B$27)</f>
        <v>Klugheit</v>
      </c>
      <c r="M45" s="295">
        <f>_xlfn.XLOOKUP(L45,Eigenschaften!$B$20:$B$27,Eigenschaften!$H$20:$H$27,"NaN",1)</f>
        <v>12</v>
      </c>
      <c r="N45" s="295" t="str">
        <f>_xlfn.XLOOKUP(T45,Eigenschaften!$C$20:$C$27,Eigenschaften!$B$20:$B$27)</f>
        <v>Fingerfertigkeit</v>
      </c>
      <c r="O45" s="295">
        <f>_xlfn.XLOOKUP(N45,Eigenschaften!$B$20:$B$27,Eigenschaften!$H$20:$H$27,"NaN",1)</f>
        <v>10</v>
      </c>
      <c r="P45" s="295" t="str">
        <f>_xlfn.XLOOKUP(U45,Eigenschaften!$C$20:$C$27,Eigenschaften!$B$20:$B$27)</f>
        <v>Fingerfertigkeit</v>
      </c>
      <c r="Q45" s="295">
        <f>_xlfn.XLOOKUP(P45,Eigenschaften!$B$20:$B$27,Eigenschaften!$H$20:$H$27,"NaN",1)</f>
        <v>10</v>
      </c>
      <c r="R45" s="244"/>
      <c r="S45" s="244" t="str" cm="1">
        <f t="array" ref="S45:U45">_xlfn.TEXTSPLIT(F45,"/",,,,3)</f>
        <v>KL</v>
      </c>
      <c r="T45" s="244" t="str">
        <v>FF</v>
      </c>
      <c r="U45" s="244" t="str">
        <v>FF</v>
      </c>
      <c r="V45" s="244">
        <f t="shared" si="6"/>
        <v>0</v>
      </c>
      <c r="W45" s="244">
        <f t="shared" si="6"/>
        <v>0</v>
      </c>
      <c r="X45" s="244">
        <f t="shared" si="6"/>
        <v>0</v>
      </c>
      <c r="Y45" s="244">
        <f t="shared" si="6"/>
        <v>0</v>
      </c>
      <c r="Z45" s="244">
        <f t="shared" si="6"/>
        <v>0</v>
      </c>
      <c r="AA45" s="244">
        <f t="shared" si="6"/>
        <v>0</v>
      </c>
      <c r="AB45" s="244">
        <f t="shared" si="6"/>
        <v>0</v>
      </c>
      <c r="AC45" s="244">
        <f t="shared" si="6"/>
        <v>0</v>
      </c>
      <c r="AD45" s="244">
        <f t="shared" si="6"/>
        <v>0</v>
      </c>
      <c r="AE45" s="244">
        <f t="shared" si="6"/>
        <v>0</v>
      </c>
      <c r="AF45" s="244">
        <f t="shared" si="7"/>
        <v>0</v>
      </c>
      <c r="AG45" s="244">
        <f t="shared" si="7"/>
        <v>0</v>
      </c>
      <c r="AH45" s="244">
        <f t="shared" si="7"/>
        <v>0</v>
      </c>
      <c r="AI45" s="244">
        <f t="shared" si="7"/>
        <v>0</v>
      </c>
      <c r="AJ45" s="244">
        <f t="shared" si="7"/>
        <v>0</v>
      </c>
      <c r="AK45" s="244">
        <f t="shared" si="7"/>
        <v>0</v>
      </c>
      <c r="AL45" s="244">
        <f t="shared" si="7"/>
        <v>0</v>
      </c>
      <c r="AM45" s="244">
        <f t="shared" si="7"/>
        <v>0</v>
      </c>
      <c r="AN45" s="244">
        <f t="shared" si="7"/>
        <v>0</v>
      </c>
      <c r="AO45" s="244">
        <f t="shared" si="7"/>
        <v>0</v>
      </c>
      <c r="AP45" s="244">
        <f t="shared" si="8"/>
        <v>1</v>
      </c>
      <c r="AQ45" s="244">
        <f t="shared" si="8"/>
        <v>1</v>
      </c>
      <c r="AR45" s="244">
        <f t="shared" si="8"/>
        <v>0</v>
      </c>
      <c r="AS45" s="244">
        <f t="shared" si="8"/>
        <v>0</v>
      </c>
      <c r="AT45" s="244">
        <f t="shared" si="8"/>
        <v>0</v>
      </c>
      <c r="AU45" s="244">
        <f t="shared" si="8"/>
        <v>0</v>
      </c>
      <c r="AV45" s="244">
        <f t="shared" si="8"/>
        <v>0</v>
      </c>
      <c r="AW45" s="244"/>
      <c r="AX45" s="244"/>
      <c r="AY45" s="244"/>
      <c r="AZ45" s="244"/>
      <c r="BA45" s="244"/>
      <c r="BB45" s="244"/>
    </row>
    <row r="46" spans="1:54" ht="15" hidden="1">
      <c r="A46" s="331" t="s">
        <v>434</v>
      </c>
      <c r="B46" s="295" t="str">
        <f t="shared" si="4"/>
        <v>Klugheit: 12 | Fingerfertigkeit: 10 | Konstitution: 12</v>
      </c>
      <c r="C46" s="308" t="b">
        <v>0</v>
      </c>
      <c r="D46" s="308" t="b">
        <v>0</v>
      </c>
      <c r="E46" s="308" t="b">
        <f t="shared" si="5"/>
        <v>0</v>
      </c>
      <c r="F46" t="s">
        <v>295</v>
      </c>
      <c r="G46" t="s">
        <v>110</v>
      </c>
      <c r="H46" t="s">
        <v>435</v>
      </c>
      <c r="I46" t="s">
        <v>436</v>
      </c>
      <c r="J46" s="295">
        <f>_xlfn.XLOOKUP(G46,Rechner!$A$17:$A$25,Rechner!$B$17:$B$25)</f>
        <v>4</v>
      </c>
      <c r="K46" s="295" t="str">
        <f>_xlfn.XLOOKUP(J46-SUMIF($V$31:$AV$31,TRUE,V46:AV46)-IF(D46=TRUE,1,0),Rechner!$B$17:$B$25,Rechner!$A$17:$A$25,"A+")</f>
        <v>C</v>
      </c>
      <c r="L46" s="295" t="str">
        <f>_xlfn.XLOOKUP(S46,Eigenschaften!$C$20:$C$27,Eigenschaften!$B$20:$B$27)</f>
        <v>Klugheit</v>
      </c>
      <c r="M46" s="295">
        <f>_xlfn.XLOOKUP(L46,Eigenschaften!$B$20:$B$27,Eigenschaften!$H$20:$H$27,"NaN",1)</f>
        <v>12</v>
      </c>
      <c r="N46" s="295" t="str">
        <f>_xlfn.XLOOKUP(T46,Eigenschaften!$C$20:$C$27,Eigenschaften!$B$20:$B$27)</f>
        <v>Fingerfertigkeit</v>
      </c>
      <c r="O46" s="295">
        <f>_xlfn.XLOOKUP(N46,Eigenschaften!$B$20:$B$27,Eigenschaften!$H$20:$H$27,"NaN",1)</f>
        <v>10</v>
      </c>
      <c r="P46" s="295" t="str">
        <f>_xlfn.XLOOKUP(U46,Eigenschaften!$C$20:$C$27,Eigenschaften!$B$20:$B$27)</f>
        <v>Konstitution</v>
      </c>
      <c r="Q46" s="295">
        <f>_xlfn.XLOOKUP(P46,Eigenschaften!$B$20:$B$27,Eigenschaften!$H$20:$H$27,"NaN",1)</f>
        <v>12</v>
      </c>
      <c r="R46" s="244"/>
      <c r="S46" s="244" t="str" cm="1">
        <f t="array" ref="S46:U46">_xlfn.TEXTSPLIT(F46,"/",,,,3)</f>
        <v>KL</v>
      </c>
      <c r="T46" s="244" t="str">
        <v>FF</v>
      </c>
      <c r="U46" s="244" t="str">
        <v>KO</v>
      </c>
      <c r="V46" s="244">
        <f t="shared" ref="V46:AE55" si="9">IF(ISNUMBER(SEARCH(V$32,$H46)),1,0)</f>
        <v>0</v>
      </c>
      <c r="W46" s="244">
        <f t="shared" si="9"/>
        <v>0</v>
      </c>
      <c r="X46" s="244">
        <f t="shared" si="9"/>
        <v>0</v>
      </c>
      <c r="Y46" s="244">
        <f t="shared" si="9"/>
        <v>1</v>
      </c>
      <c r="Z46" s="244">
        <f t="shared" si="9"/>
        <v>0</v>
      </c>
      <c r="AA46" s="244">
        <f t="shared" si="9"/>
        <v>0</v>
      </c>
      <c r="AB46" s="244">
        <f t="shared" si="9"/>
        <v>0</v>
      </c>
      <c r="AC46" s="244">
        <f t="shared" si="9"/>
        <v>0</v>
      </c>
      <c r="AD46" s="244">
        <f t="shared" si="9"/>
        <v>0</v>
      </c>
      <c r="AE46" s="244">
        <f t="shared" si="9"/>
        <v>1</v>
      </c>
      <c r="AF46" s="244">
        <f t="shared" ref="AF46:AO55" si="10">IF(ISNUMBER(SEARCH(AF$32,$H46)),1,0)</f>
        <v>0</v>
      </c>
      <c r="AG46" s="244">
        <f t="shared" si="10"/>
        <v>0</v>
      </c>
      <c r="AH46" s="244">
        <f t="shared" si="10"/>
        <v>0</v>
      </c>
      <c r="AI46" s="244">
        <f t="shared" si="10"/>
        <v>0</v>
      </c>
      <c r="AJ46" s="244">
        <f t="shared" si="10"/>
        <v>0</v>
      </c>
      <c r="AK46" s="244">
        <f t="shared" si="10"/>
        <v>0</v>
      </c>
      <c r="AL46" s="244">
        <f t="shared" si="10"/>
        <v>0</v>
      </c>
      <c r="AM46" s="244">
        <f t="shared" si="10"/>
        <v>0</v>
      </c>
      <c r="AN46" s="244">
        <f t="shared" si="10"/>
        <v>0</v>
      </c>
      <c r="AO46" s="244">
        <f t="shared" si="10"/>
        <v>0</v>
      </c>
      <c r="AP46" s="244">
        <f t="shared" ref="AP46:AV55" si="11">IF(ISNUMBER(SEARCH(AP$32,$H46)),1,0)</f>
        <v>0</v>
      </c>
      <c r="AQ46" s="244">
        <f t="shared" si="11"/>
        <v>0</v>
      </c>
      <c r="AR46" s="244">
        <f t="shared" si="11"/>
        <v>1</v>
      </c>
      <c r="AS46" s="244">
        <f t="shared" si="11"/>
        <v>0</v>
      </c>
      <c r="AT46" s="244">
        <f t="shared" si="11"/>
        <v>0</v>
      </c>
      <c r="AU46" s="244">
        <f t="shared" si="11"/>
        <v>0</v>
      </c>
      <c r="AV46" s="244">
        <f t="shared" si="11"/>
        <v>0</v>
      </c>
      <c r="AW46" s="244"/>
      <c r="AX46" s="244"/>
      <c r="AY46" s="244"/>
      <c r="AZ46" s="244"/>
      <c r="BA46" s="244"/>
      <c r="BB46" s="244"/>
    </row>
    <row r="47" spans="1:54" ht="15" hidden="1">
      <c r="A47" s="331" t="s">
        <v>438</v>
      </c>
      <c r="B47" s="295" t="str">
        <f t="shared" si="4"/>
        <v>Mut: 13 | Intuition: 15 | Konstitution: 12</v>
      </c>
      <c r="C47" s="308" t="b">
        <v>0</v>
      </c>
      <c r="D47" s="308" t="b">
        <v>0</v>
      </c>
      <c r="E47" s="308" t="b">
        <f t="shared" si="5"/>
        <v>0</v>
      </c>
      <c r="F47" t="s">
        <v>310</v>
      </c>
      <c r="G47" t="s">
        <v>113</v>
      </c>
      <c r="H47" t="s">
        <v>439</v>
      </c>
      <c r="I47" t="s">
        <v>440</v>
      </c>
      <c r="J47" s="295">
        <f>_xlfn.XLOOKUP(G47,Rechner!$A$17:$A$25,Rechner!$B$17:$B$25)</f>
        <v>5</v>
      </c>
      <c r="K47" s="295" t="str">
        <f>_xlfn.XLOOKUP(J47-SUMIF($V$31:$AV$31,TRUE,V47:AV47)-IF(D47=TRUE,1,0),Rechner!$B$17:$B$25,Rechner!$A$17:$A$25,"A+")</f>
        <v>D</v>
      </c>
      <c r="L47" s="295" t="str">
        <f>_xlfn.XLOOKUP(S47,Eigenschaften!$C$20:$C$27,Eigenschaften!$B$20:$B$27)</f>
        <v>Mut</v>
      </c>
      <c r="M47" s="295">
        <f>_xlfn.XLOOKUP(L47,Eigenschaften!$B$20:$B$27,Eigenschaften!$H$20:$H$27,"NaN",1)</f>
        <v>13</v>
      </c>
      <c r="N47" s="295" t="str">
        <f>_xlfn.XLOOKUP(T47,Eigenschaften!$C$20:$C$27,Eigenschaften!$B$20:$B$27)</f>
        <v>Intuition</v>
      </c>
      <c r="O47" s="295">
        <f>_xlfn.XLOOKUP(N47,Eigenschaften!$B$20:$B$27,Eigenschaften!$H$20:$H$27,"NaN",1)</f>
        <v>15</v>
      </c>
      <c r="P47" s="295" t="str">
        <f>_xlfn.XLOOKUP(U47,Eigenschaften!$C$20:$C$27,Eigenschaften!$B$20:$B$27)</f>
        <v>Konstitution</v>
      </c>
      <c r="Q47" s="295">
        <f>_xlfn.XLOOKUP(P47,Eigenschaften!$B$20:$B$27,Eigenschaften!$H$20:$H$27,"NaN",1)</f>
        <v>12</v>
      </c>
      <c r="R47" s="244"/>
      <c r="S47" s="244" t="str" cm="1">
        <f t="array" ref="S47:U47">_xlfn.TEXTSPLIT(F47,"/",,,,3)</f>
        <v>MU</v>
      </c>
      <c r="T47" s="244" t="str">
        <v>IN</v>
      </c>
      <c r="U47" s="244" t="str">
        <v>KO</v>
      </c>
      <c r="V47" s="244">
        <f t="shared" si="9"/>
        <v>0</v>
      </c>
      <c r="W47" s="244">
        <f t="shared" si="9"/>
        <v>0</v>
      </c>
      <c r="X47" s="244">
        <f t="shared" si="9"/>
        <v>0</v>
      </c>
      <c r="Y47" s="244">
        <f t="shared" si="9"/>
        <v>1</v>
      </c>
      <c r="Z47" s="244">
        <f t="shared" si="9"/>
        <v>0</v>
      </c>
      <c r="AA47" s="244">
        <f t="shared" si="9"/>
        <v>0</v>
      </c>
      <c r="AB47" s="244">
        <f t="shared" si="9"/>
        <v>0</v>
      </c>
      <c r="AC47" s="244">
        <f t="shared" si="9"/>
        <v>0</v>
      </c>
      <c r="AD47" s="244">
        <f t="shared" si="9"/>
        <v>0</v>
      </c>
      <c r="AE47" s="244">
        <f t="shared" si="9"/>
        <v>1</v>
      </c>
      <c r="AF47" s="244">
        <f t="shared" si="10"/>
        <v>0</v>
      </c>
      <c r="AG47" s="244">
        <f t="shared" si="10"/>
        <v>0</v>
      </c>
      <c r="AH47" s="244">
        <f t="shared" si="10"/>
        <v>0</v>
      </c>
      <c r="AI47" s="244">
        <f t="shared" si="10"/>
        <v>0</v>
      </c>
      <c r="AJ47" s="244">
        <f t="shared" si="10"/>
        <v>0</v>
      </c>
      <c r="AK47" s="244">
        <f t="shared" si="10"/>
        <v>0</v>
      </c>
      <c r="AL47" s="244">
        <f t="shared" si="10"/>
        <v>0</v>
      </c>
      <c r="AM47" s="244">
        <f t="shared" si="10"/>
        <v>0</v>
      </c>
      <c r="AN47" s="244">
        <f t="shared" si="10"/>
        <v>0</v>
      </c>
      <c r="AO47" s="244">
        <f t="shared" si="10"/>
        <v>0</v>
      </c>
      <c r="AP47" s="244">
        <f t="shared" si="11"/>
        <v>0</v>
      </c>
      <c r="AQ47" s="244">
        <f t="shared" si="11"/>
        <v>0</v>
      </c>
      <c r="AR47" s="244">
        <f t="shared" si="11"/>
        <v>1</v>
      </c>
      <c r="AS47" s="244">
        <f t="shared" si="11"/>
        <v>1</v>
      </c>
      <c r="AT47" s="244">
        <f t="shared" si="11"/>
        <v>0</v>
      </c>
      <c r="AU47" s="244">
        <f t="shared" si="11"/>
        <v>0</v>
      </c>
      <c r="AV47" s="244">
        <f t="shared" si="11"/>
        <v>0</v>
      </c>
      <c r="AW47" s="244"/>
      <c r="AX47" s="244"/>
      <c r="AY47" s="244"/>
      <c r="AZ47" s="244"/>
      <c r="BA47" s="244"/>
      <c r="BB47" s="244"/>
    </row>
    <row r="48" spans="1:54" ht="15" hidden="1">
      <c r="A48" s="331" t="s">
        <v>442</v>
      </c>
      <c r="B48" s="295" t="str">
        <f t="shared" si="4"/>
        <v>Mut: 13 | Intuition: 15 | Charisma: 15</v>
      </c>
      <c r="C48" s="308" t="b">
        <v>0</v>
      </c>
      <c r="D48" s="308" t="b">
        <v>0</v>
      </c>
      <c r="E48" s="308" t="b">
        <f t="shared" si="5"/>
        <v>1</v>
      </c>
      <c r="F48" t="s">
        <v>336</v>
      </c>
      <c r="G48" t="s">
        <v>113</v>
      </c>
      <c r="H48" t="s">
        <v>373</v>
      </c>
      <c r="I48" t="s">
        <v>443</v>
      </c>
      <c r="J48" s="295">
        <f>_xlfn.XLOOKUP(G48,Rechner!$A$17:$A$25,Rechner!$B$17:$B$25)</f>
        <v>5</v>
      </c>
      <c r="K48" s="295" t="str">
        <f>_xlfn.XLOOKUP(J48-SUMIF($V$31:$AV$31,TRUE,V48:AV48)-IF(D48=TRUE,1,0),Rechner!$B$17:$B$25,Rechner!$A$17:$A$25,"A+")</f>
        <v>D</v>
      </c>
      <c r="L48" s="295" t="str">
        <f>_xlfn.XLOOKUP(S48,Eigenschaften!$C$20:$C$27,Eigenschaften!$B$20:$B$27)</f>
        <v>Mut</v>
      </c>
      <c r="M48" s="295">
        <f>_xlfn.XLOOKUP(L48,Eigenschaften!$B$20:$B$27,Eigenschaften!$H$20:$H$27,"NaN",1)</f>
        <v>13</v>
      </c>
      <c r="N48" s="295" t="str">
        <f>_xlfn.XLOOKUP(T48,Eigenschaften!$C$20:$C$27,Eigenschaften!$B$20:$B$27)</f>
        <v>Intuition</v>
      </c>
      <c r="O48" s="295">
        <f>_xlfn.XLOOKUP(N48,Eigenschaften!$B$20:$B$27,Eigenschaften!$H$20:$H$27,"NaN",1)</f>
        <v>15</v>
      </c>
      <c r="P48" s="295" t="str">
        <f>_xlfn.XLOOKUP(U48,Eigenschaften!$C$20:$C$27,Eigenschaften!$B$20:$B$27)</f>
        <v>Charisma</v>
      </c>
      <c r="Q48" s="295">
        <f>_xlfn.XLOOKUP(P48,Eigenschaften!$B$20:$B$27,Eigenschaften!$H$20:$H$27,"NaN",1)</f>
        <v>15</v>
      </c>
      <c r="R48" s="244"/>
      <c r="S48" s="244" t="str" cm="1">
        <f t="array" ref="S48:U48">_xlfn.TEXTSPLIT(F48,"/",,,,3)</f>
        <v>MU</v>
      </c>
      <c r="T48" s="244" t="str">
        <v>IN</v>
      </c>
      <c r="U48" s="244" t="str">
        <v>CH</v>
      </c>
      <c r="V48" s="244">
        <f t="shared" si="9"/>
        <v>0</v>
      </c>
      <c r="W48" s="244">
        <f t="shared" si="9"/>
        <v>0</v>
      </c>
      <c r="X48" s="244">
        <f t="shared" si="9"/>
        <v>0</v>
      </c>
      <c r="Y48" s="244">
        <f t="shared" si="9"/>
        <v>0</v>
      </c>
      <c r="Z48" s="244">
        <f t="shared" si="9"/>
        <v>0</v>
      </c>
      <c r="AA48" s="244">
        <f t="shared" si="9"/>
        <v>0</v>
      </c>
      <c r="AB48" s="244">
        <f t="shared" si="9"/>
        <v>0</v>
      </c>
      <c r="AC48" s="244">
        <f t="shared" si="9"/>
        <v>0</v>
      </c>
      <c r="AD48" s="244">
        <f t="shared" si="9"/>
        <v>0</v>
      </c>
      <c r="AE48" s="244">
        <f t="shared" si="9"/>
        <v>0</v>
      </c>
      <c r="AF48" s="244">
        <f t="shared" si="10"/>
        <v>0</v>
      </c>
      <c r="AG48" s="244">
        <f t="shared" si="10"/>
        <v>0</v>
      </c>
      <c r="AH48" s="244">
        <f t="shared" si="10"/>
        <v>0</v>
      </c>
      <c r="AI48" s="244">
        <f t="shared" si="10"/>
        <v>0</v>
      </c>
      <c r="AJ48" s="244">
        <f t="shared" si="10"/>
        <v>0</v>
      </c>
      <c r="AK48" s="244">
        <f t="shared" si="10"/>
        <v>1</v>
      </c>
      <c r="AL48" s="244">
        <f t="shared" si="10"/>
        <v>0</v>
      </c>
      <c r="AM48" s="244">
        <f t="shared" si="10"/>
        <v>0</v>
      </c>
      <c r="AN48" s="244">
        <f t="shared" si="10"/>
        <v>0</v>
      </c>
      <c r="AO48" s="244">
        <f t="shared" si="10"/>
        <v>0</v>
      </c>
      <c r="AP48" s="244">
        <f t="shared" si="11"/>
        <v>0</v>
      </c>
      <c r="AQ48" s="244">
        <f t="shared" si="11"/>
        <v>0</v>
      </c>
      <c r="AR48" s="244">
        <f t="shared" si="11"/>
        <v>0</v>
      </c>
      <c r="AS48" s="244">
        <f t="shared" si="11"/>
        <v>0</v>
      </c>
      <c r="AT48" s="244">
        <f t="shared" si="11"/>
        <v>0</v>
      </c>
      <c r="AU48" s="244">
        <f t="shared" si="11"/>
        <v>0</v>
      </c>
      <c r="AV48" s="244">
        <f t="shared" si="11"/>
        <v>0</v>
      </c>
      <c r="AW48" s="244"/>
      <c r="AX48" s="244"/>
      <c r="AY48" s="244"/>
      <c r="AZ48" s="244"/>
      <c r="BA48" s="244"/>
      <c r="BB48" s="244"/>
    </row>
    <row r="49" spans="1:54" ht="15" hidden="1">
      <c r="A49" s="331" t="s">
        <v>445</v>
      </c>
      <c r="B49" s="295" t="str">
        <f t="shared" si="4"/>
        <v>Klugheit: 12 | Klugheit: 12 | Fingerfertigkeit: 10</v>
      </c>
      <c r="C49" s="308" t="b">
        <v>0</v>
      </c>
      <c r="D49" s="308" t="b">
        <v>0</v>
      </c>
      <c r="E49" s="308" t="b">
        <f t="shared" si="5"/>
        <v>1</v>
      </c>
      <c r="F49" t="s">
        <v>343</v>
      </c>
      <c r="G49" t="s">
        <v>429</v>
      </c>
      <c r="H49" t="s">
        <v>414</v>
      </c>
      <c r="I49" t="s">
        <v>446</v>
      </c>
      <c r="J49" s="295">
        <f>_xlfn.XLOOKUP(G49,Rechner!$A$17:$A$25,Rechner!$B$17:$B$25)</f>
        <v>6</v>
      </c>
      <c r="K49" s="295" t="str">
        <f>_xlfn.XLOOKUP(J49-SUMIF($V$31:$AV$31,TRUE,V49:AV49)-IF(D49=TRUE,1,0),Rechner!$B$17:$B$25,Rechner!$A$17:$A$25,"A+")</f>
        <v>E</v>
      </c>
      <c r="L49" s="295" t="str">
        <f>_xlfn.XLOOKUP(S49,Eigenschaften!$C$20:$C$27,Eigenschaften!$B$20:$B$27)</f>
        <v>Klugheit</v>
      </c>
      <c r="M49" s="295">
        <f>_xlfn.XLOOKUP(L49,Eigenschaften!$B$20:$B$27,Eigenschaften!$H$20:$H$27,"NaN",1)</f>
        <v>12</v>
      </c>
      <c r="N49" s="295" t="str">
        <f>_xlfn.XLOOKUP(T49,Eigenschaften!$C$20:$C$27,Eigenschaften!$B$20:$B$27)</f>
        <v>Klugheit</v>
      </c>
      <c r="O49" s="295">
        <f>_xlfn.XLOOKUP(N49,Eigenschaften!$B$20:$B$27,Eigenschaften!$H$20:$H$27,"NaN",1)</f>
        <v>12</v>
      </c>
      <c r="P49" s="295" t="str">
        <f>_xlfn.XLOOKUP(U49,Eigenschaften!$C$20:$C$27,Eigenschaften!$B$20:$B$27)</f>
        <v>Fingerfertigkeit</v>
      </c>
      <c r="Q49" s="295">
        <f>_xlfn.XLOOKUP(P49,Eigenschaften!$B$20:$B$27,Eigenschaften!$H$20:$H$27,"NaN",1)</f>
        <v>10</v>
      </c>
      <c r="R49" s="244"/>
      <c r="S49" s="244" t="str" cm="1">
        <f t="array" ref="S49:U49">_xlfn.TEXTSPLIT(F49,"/",,,,3)</f>
        <v>KL</v>
      </c>
      <c r="T49" s="244" t="str">
        <v>KL</v>
      </c>
      <c r="U49" s="244" t="str">
        <v>FF</v>
      </c>
      <c r="V49" s="244">
        <f t="shared" si="9"/>
        <v>0</v>
      </c>
      <c r="W49" s="244">
        <f t="shared" si="9"/>
        <v>0</v>
      </c>
      <c r="X49" s="244">
        <f t="shared" si="9"/>
        <v>0</v>
      </c>
      <c r="Y49" s="244">
        <f t="shared" si="9"/>
        <v>0</v>
      </c>
      <c r="Z49" s="244">
        <f t="shared" si="9"/>
        <v>0</v>
      </c>
      <c r="AA49" s="244">
        <f t="shared" si="9"/>
        <v>0</v>
      </c>
      <c r="AB49" s="244">
        <f t="shared" si="9"/>
        <v>0</v>
      </c>
      <c r="AC49" s="244">
        <f t="shared" si="9"/>
        <v>0</v>
      </c>
      <c r="AD49" s="244">
        <f t="shared" si="9"/>
        <v>0</v>
      </c>
      <c r="AE49" s="244">
        <f t="shared" si="9"/>
        <v>0</v>
      </c>
      <c r="AF49" s="244">
        <f t="shared" si="10"/>
        <v>0</v>
      </c>
      <c r="AG49" s="244">
        <f t="shared" si="10"/>
        <v>0</v>
      </c>
      <c r="AH49" s="244">
        <f t="shared" si="10"/>
        <v>0</v>
      </c>
      <c r="AI49" s="244">
        <f t="shared" si="10"/>
        <v>0</v>
      </c>
      <c r="AJ49" s="244">
        <f t="shared" si="10"/>
        <v>0</v>
      </c>
      <c r="AK49" s="244">
        <f t="shared" si="10"/>
        <v>0</v>
      </c>
      <c r="AL49" s="244">
        <f t="shared" si="10"/>
        <v>0</v>
      </c>
      <c r="AM49" s="244">
        <f t="shared" si="10"/>
        <v>0</v>
      </c>
      <c r="AN49" s="244">
        <f t="shared" si="10"/>
        <v>0</v>
      </c>
      <c r="AO49" s="244">
        <f t="shared" si="10"/>
        <v>0</v>
      </c>
      <c r="AP49" s="244">
        <f t="shared" si="11"/>
        <v>1</v>
      </c>
      <c r="AQ49" s="244">
        <f t="shared" si="11"/>
        <v>1</v>
      </c>
      <c r="AR49" s="244">
        <f t="shared" si="11"/>
        <v>0</v>
      </c>
      <c r="AS49" s="244">
        <f t="shared" si="11"/>
        <v>0</v>
      </c>
      <c r="AT49" s="244">
        <f t="shared" si="11"/>
        <v>0</v>
      </c>
      <c r="AU49" s="244">
        <f t="shared" si="11"/>
        <v>0</v>
      </c>
      <c r="AV49" s="244">
        <f t="shared" si="11"/>
        <v>0</v>
      </c>
      <c r="AW49" s="244"/>
      <c r="AX49" s="244"/>
      <c r="AY49" s="244"/>
      <c r="AZ49" s="244"/>
      <c r="BA49" s="244"/>
      <c r="BB49" s="244"/>
    </row>
    <row r="50" spans="1:54" ht="15" hidden="1">
      <c r="A50" s="331" t="s">
        <v>447</v>
      </c>
      <c r="B50" s="295" t="str">
        <f t="shared" si="4"/>
        <v>Klugheit: 12 | Fingerfertigkeit: 10 | Konstitution: 12</v>
      </c>
      <c r="C50" s="308" t="b">
        <v>0</v>
      </c>
      <c r="D50" s="308" t="b">
        <v>0</v>
      </c>
      <c r="E50" s="308" t="b">
        <f t="shared" si="5"/>
        <v>0</v>
      </c>
      <c r="F50" t="s">
        <v>295</v>
      </c>
      <c r="G50" t="s">
        <v>110</v>
      </c>
      <c r="H50" t="s">
        <v>448</v>
      </c>
      <c r="I50" t="s">
        <v>436</v>
      </c>
      <c r="J50" s="295">
        <f>_xlfn.XLOOKUP(G50,Rechner!$A$17:$A$25,Rechner!$B$17:$B$25)</f>
        <v>4</v>
      </c>
      <c r="K50" s="295" t="str">
        <f>_xlfn.XLOOKUP(J50-SUMIF($V$31:$AV$31,TRUE,V50:AV50)-IF(D50=TRUE,1,0),Rechner!$B$17:$B$25,Rechner!$A$17:$A$25,"A+")</f>
        <v>C</v>
      </c>
      <c r="L50" s="295" t="str">
        <f>_xlfn.XLOOKUP(S50,Eigenschaften!$C$20:$C$27,Eigenschaften!$B$20:$B$27)</f>
        <v>Klugheit</v>
      </c>
      <c r="M50" s="295">
        <f>_xlfn.XLOOKUP(L50,Eigenschaften!$B$20:$B$27,Eigenschaften!$H$20:$H$27,"NaN",1)</f>
        <v>12</v>
      </c>
      <c r="N50" s="295" t="str">
        <f>_xlfn.XLOOKUP(T50,Eigenschaften!$C$20:$C$27,Eigenschaften!$B$20:$B$27)</f>
        <v>Fingerfertigkeit</v>
      </c>
      <c r="O50" s="295">
        <f>_xlfn.XLOOKUP(N50,Eigenschaften!$B$20:$B$27,Eigenschaften!$H$20:$H$27,"NaN",1)</f>
        <v>10</v>
      </c>
      <c r="P50" s="295" t="str">
        <f>_xlfn.XLOOKUP(U50,Eigenschaften!$C$20:$C$27,Eigenschaften!$B$20:$B$27)</f>
        <v>Konstitution</v>
      </c>
      <c r="Q50" s="295">
        <f>_xlfn.XLOOKUP(P50,Eigenschaften!$B$20:$B$27,Eigenschaften!$H$20:$H$27,"NaN",1)</f>
        <v>12</v>
      </c>
      <c r="R50" s="244"/>
      <c r="S50" s="244" t="str" cm="1">
        <f t="array" ref="S50:U50">_xlfn.TEXTSPLIT(F50,"/",,,,3)</f>
        <v>KL</v>
      </c>
      <c r="T50" s="244" t="str">
        <v>FF</v>
      </c>
      <c r="U50" s="244" t="str">
        <v>KO</v>
      </c>
      <c r="V50" s="244">
        <f t="shared" si="9"/>
        <v>0</v>
      </c>
      <c r="W50" s="244">
        <f t="shared" si="9"/>
        <v>0</v>
      </c>
      <c r="X50" s="244">
        <f t="shared" si="9"/>
        <v>0</v>
      </c>
      <c r="Y50" s="244">
        <f t="shared" si="9"/>
        <v>1</v>
      </c>
      <c r="Z50" s="244">
        <f t="shared" si="9"/>
        <v>0</v>
      </c>
      <c r="AA50" s="244">
        <f t="shared" si="9"/>
        <v>0</v>
      </c>
      <c r="AB50" s="244">
        <f t="shared" si="9"/>
        <v>1</v>
      </c>
      <c r="AC50" s="244">
        <f t="shared" si="9"/>
        <v>0</v>
      </c>
      <c r="AD50" s="244">
        <f t="shared" si="9"/>
        <v>0</v>
      </c>
      <c r="AE50" s="244">
        <f t="shared" si="9"/>
        <v>0</v>
      </c>
      <c r="AF50" s="244">
        <f t="shared" si="10"/>
        <v>0</v>
      </c>
      <c r="AG50" s="244">
        <f t="shared" si="10"/>
        <v>0</v>
      </c>
      <c r="AH50" s="244">
        <f t="shared" si="10"/>
        <v>0</v>
      </c>
      <c r="AI50" s="244">
        <f t="shared" si="10"/>
        <v>0</v>
      </c>
      <c r="AJ50" s="244">
        <f t="shared" si="10"/>
        <v>0</v>
      </c>
      <c r="AK50" s="244">
        <f t="shared" si="10"/>
        <v>0</v>
      </c>
      <c r="AL50" s="244">
        <f t="shared" si="10"/>
        <v>0</v>
      </c>
      <c r="AM50" s="244">
        <f t="shared" si="10"/>
        <v>0</v>
      </c>
      <c r="AN50" s="244">
        <f t="shared" si="10"/>
        <v>0</v>
      </c>
      <c r="AO50" s="244">
        <f t="shared" si="10"/>
        <v>0</v>
      </c>
      <c r="AP50" s="244">
        <f t="shared" si="11"/>
        <v>0</v>
      </c>
      <c r="AQ50" s="244">
        <f t="shared" si="11"/>
        <v>0</v>
      </c>
      <c r="AR50" s="244">
        <f t="shared" si="11"/>
        <v>1</v>
      </c>
      <c r="AS50" s="244">
        <f t="shared" si="11"/>
        <v>0</v>
      </c>
      <c r="AT50" s="244">
        <f t="shared" si="11"/>
        <v>0</v>
      </c>
      <c r="AU50" s="244">
        <f t="shared" si="11"/>
        <v>0</v>
      </c>
      <c r="AV50" s="244">
        <f t="shared" si="11"/>
        <v>0</v>
      </c>
      <c r="AW50" s="244"/>
      <c r="AX50" s="244"/>
      <c r="AY50" s="244"/>
      <c r="AZ50" s="244"/>
      <c r="BA50" s="244"/>
      <c r="BB50" s="244"/>
    </row>
    <row r="51" spans="1:54" ht="15" hidden="1">
      <c r="A51" s="331" t="s">
        <v>449</v>
      </c>
      <c r="B51" s="295" t="str">
        <f t="shared" si="4"/>
        <v>Mut: 13 | Intuition: 15 | Konstitution: 12</v>
      </c>
      <c r="C51" s="308" t="b">
        <v>0</v>
      </c>
      <c r="D51" s="308" t="b">
        <v>0</v>
      </c>
      <c r="E51" s="308" t="b">
        <f t="shared" si="5"/>
        <v>0</v>
      </c>
      <c r="F51" t="s">
        <v>310</v>
      </c>
      <c r="G51" t="s">
        <v>113</v>
      </c>
      <c r="H51" t="s">
        <v>450</v>
      </c>
      <c r="I51" t="s">
        <v>440</v>
      </c>
      <c r="J51" s="295">
        <f>_xlfn.XLOOKUP(G51,Rechner!$A$17:$A$25,Rechner!$B$17:$B$25)</f>
        <v>5</v>
      </c>
      <c r="K51" s="295" t="str">
        <f>_xlfn.XLOOKUP(J51-SUMIF($V$31:$AV$31,TRUE,V51:AV51)-IF(D51=TRUE,1,0),Rechner!$B$17:$B$25,Rechner!$A$17:$A$25,"A+")</f>
        <v>D</v>
      </c>
      <c r="L51" s="295" t="str">
        <f>_xlfn.XLOOKUP(S51,Eigenschaften!$C$20:$C$27,Eigenschaften!$B$20:$B$27)</f>
        <v>Mut</v>
      </c>
      <c r="M51" s="295">
        <f>_xlfn.XLOOKUP(L51,Eigenschaften!$B$20:$B$27,Eigenschaften!$H$20:$H$27,"NaN",1)</f>
        <v>13</v>
      </c>
      <c r="N51" s="295" t="str">
        <f>_xlfn.XLOOKUP(T51,Eigenschaften!$C$20:$C$27,Eigenschaften!$B$20:$B$27)</f>
        <v>Intuition</v>
      </c>
      <c r="O51" s="295">
        <f>_xlfn.XLOOKUP(N51,Eigenschaften!$B$20:$B$27,Eigenschaften!$H$20:$H$27,"NaN",1)</f>
        <v>15</v>
      </c>
      <c r="P51" s="295" t="str">
        <f>_xlfn.XLOOKUP(U51,Eigenschaften!$C$20:$C$27,Eigenschaften!$B$20:$B$27)</f>
        <v>Konstitution</v>
      </c>
      <c r="Q51" s="295">
        <f>_xlfn.XLOOKUP(P51,Eigenschaften!$B$20:$B$27,Eigenschaften!$H$20:$H$27,"NaN",1)</f>
        <v>12</v>
      </c>
      <c r="R51" s="244"/>
      <c r="S51" s="244" t="str" cm="1">
        <f t="array" ref="S51:U51">_xlfn.TEXTSPLIT(F51,"/",,,,3)</f>
        <v>MU</v>
      </c>
      <c r="T51" s="244" t="str">
        <v>IN</v>
      </c>
      <c r="U51" s="244" t="str">
        <v>KO</v>
      </c>
      <c r="V51" s="244">
        <f t="shared" si="9"/>
        <v>0</v>
      </c>
      <c r="W51" s="244">
        <f t="shared" si="9"/>
        <v>0</v>
      </c>
      <c r="X51" s="244">
        <f t="shared" si="9"/>
        <v>0</v>
      </c>
      <c r="Y51" s="244">
        <f t="shared" si="9"/>
        <v>1</v>
      </c>
      <c r="Z51" s="244">
        <f t="shared" si="9"/>
        <v>0</v>
      </c>
      <c r="AA51" s="244">
        <f t="shared" si="9"/>
        <v>0</v>
      </c>
      <c r="AB51" s="244">
        <f t="shared" si="9"/>
        <v>1</v>
      </c>
      <c r="AC51" s="244">
        <f t="shared" si="9"/>
        <v>0</v>
      </c>
      <c r="AD51" s="244">
        <f t="shared" si="9"/>
        <v>0</v>
      </c>
      <c r="AE51" s="244">
        <f t="shared" si="9"/>
        <v>0</v>
      </c>
      <c r="AF51" s="244">
        <f t="shared" si="10"/>
        <v>0</v>
      </c>
      <c r="AG51" s="244">
        <f t="shared" si="10"/>
        <v>0</v>
      </c>
      <c r="AH51" s="244">
        <f t="shared" si="10"/>
        <v>0</v>
      </c>
      <c r="AI51" s="244">
        <f t="shared" si="10"/>
        <v>0</v>
      </c>
      <c r="AJ51" s="244">
        <f t="shared" si="10"/>
        <v>0</v>
      </c>
      <c r="AK51" s="244">
        <f t="shared" si="10"/>
        <v>0</v>
      </c>
      <c r="AL51" s="244">
        <f t="shared" si="10"/>
        <v>0</v>
      </c>
      <c r="AM51" s="244">
        <f t="shared" si="10"/>
        <v>0</v>
      </c>
      <c r="AN51" s="244">
        <f t="shared" si="10"/>
        <v>0</v>
      </c>
      <c r="AO51" s="244">
        <f t="shared" si="10"/>
        <v>0</v>
      </c>
      <c r="AP51" s="244">
        <f t="shared" si="11"/>
        <v>0</v>
      </c>
      <c r="AQ51" s="244">
        <f t="shared" si="11"/>
        <v>0</v>
      </c>
      <c r="AR51" s="244">
        <f t="shared" si="11"/>
        <v>1</v>
      </c>
      <c r="AS51" s="244">
        <f t="shared" si="11"/>
        <v>1</v>
      </c>
      <c r="AT51" s="244">
        <f t="shared" si="11"/>
        <v>0</v>
      </c>
      <c r="AU51" s="244">
        <f t="shared" si="11"/>
        <v>0</v>
      </c>
      <c r="AV51" s="244">
        <f t="shared" si="11"/>
        <v>0</v>
      </c>
      <c r="AW51" s="244"/>
      <c r="AX51" s="244"/>
      <c r="AY51" s="244"/>
      <c r="AZ51" s="244"/>
      <c r="BA51" s="244"/>
      <c r="BB51" s="244"/>
    </row>
    <row r="52" spans="1:54" ht="15">
      <c r="A52" s="331" t="s">
        <v>26</v>
      </c>
      <c r="B52" s="295" t="str">
        <f t="shared" si="4"/>
        <v>Klugheit: 12 | Charisma: 15 | *: ?</v>
      </c>
      <c r="C52" s="308" t="b">
        <v>1</v>
      </c>
      <c r="D52" s="308" t="b">
        <v>0</v>
      </c>
      <c r="E52" s="308" t="b">
        <f t="shared" si="5"/>
        <v>1</v>
      </c>
      <c r="F52" t="s">
        <v>454</v>
      </c>
      <c r="G52" t="s">
        <v>125</v>
      </c>
      <c r="H52" t="s">
        <v>235</v>
      </c>
      <c r="I52" t="s">
        <v>455</v>
      </c>
      <c r="J52" s="295">
        <f>_xlfn.XLOOKUP(G52,Rechner!$A$17:$A$25,Rechner!$B$17:$B$25)</f>
        <v>3</v>
      </c>
      <c r="K52" s="338" t="str">
        <f>_xlfn.XLOOKUP(J52-SUMIF($V$31:$AV$31,TRUE,V52:AV52)-IF(D52=TRUE,1,0),Rechner!$B$17:$B$25,Rechner!$A$17:$A$25,"A+")</f>
        <v>A</v>
      </c>
      <c r="L52" s="295" t="str">
        <f>_xlfn.XLOOKUP(S52,Eigenschaften!$C$20:$C$27,Eigenschaften!$B$20:$B$27)</f>
        <v>Klugheit</v>
      </c>
      <c r="M52" s="295">
        <f>_xlfn.XLOOKUP(L52,Eigenschaften!$B$20:$B$27,Eigenschaften!$H$20:$H$27,"NaN",1)</f>
        <v>12</v>
      </c>
      <c r="N52" s="295" t="str">
        <f>_xlfn.XLOOKUP(T52,Eigenschaften!$C$20:$C$27,Eigenschaften!$B$20:$B$27)</f>
        <v>Charisma</v>
      </c>
      <c r="O52" s="295">
        <f>_xlfn.XLOOKUP(N52,Eigenschaften!$B$20:$B$27,Eigenschaften!$H$20:$H$27,"NaN",1)</f>
        <v>15</v>
      </c>
      <c r="P52" s="295" t="s">
        <v>1403</v>
      </c>
      <c r="Q52" s="295" t="s">
        <v>423</v>
      </c>
      <c r="R52" s="244"/>
      <c r="S52" s="244" t="str" cm="1">
        <f t="array" ref="S52:U52">_xlfn.TEXTSPLIT(F52,"/",,,,3)</f>
        <v>KL</v>
      </c>
      <c r="T52" s="244" t="str">
        <v>CH</v>
      </c>
      <c r="U52" s="244" t="str">
        <v>*</v>
      </c>
      <c r="V52" s="244">
        <f t="shared" si="9"/>
        <v>0</v>
      </c>
      <c r="W52" s="244">
        <f t="shared" si="9"/>
        <v>0</v>
      </c>
      <c r="X52" s="244">
        <f t="shared" si="9"/>
        <v>1</v>
      </c>
      <c r="Y52" s="244">
        <f t="shared" si="9"/>
        <v>0</v>
      </c>
      <c r="Z52" s="244">
        <f t="shared" si="9"/>
        <v>0</v>
      </c>
      <c r="AA52" s="244">
        <f t="shared" si="9"/>
        <v>0</v>
      </c>
      <c r="AB52" s="244">
        <f t="shared" si="9"/>
        <v>0</v>
      </c>
      <c r="AC52" s="244">
        <f t="shared" si="9"/>
        <v>0</v>
      </c>
      <c r="AD52" s="244">
        <f t="shared" si="9"/>
        <v>0</v>
      </c>
      <c r="AE52" s="244">
        <f t="shared" si="9"/>
        <v>0</v>
      </c>
      <c r="AF52" s="244">
        <f t="shared" si="10"/>
        <v>0</v>
      </c>
      <c r="AG52" s="244">
        <f t="shared" si="10"/>
        <v>0</v>
      </c>
      <c r="AH52" s="244">
        <f t="shared" si="10"/>
        <v>0</v>
      </c>
      <c r="AI52" s="244">
        <f t="shared" si="10"/>
        <v>0</v>
      </c>
      <c r="AJ52" s="244">
        <f t="shared" si="10"/>
        <v>0</v>
      </c>
      <c r="AK52" s="244">
        <f t="shared" si="10"/>
        <v>0</v>
      </c>
      <c r="AL52" s="244">
        <f t="shared" si="10"/>
        <v>0</v>
      </c>
      <c r="AM52" s="244">
        <f t="shared" si="10"/>
        <v>0</v>
      </c>
      <c r="AN52" s="244">
        <f t="shared" si="10"/>
        <v>0</v>
      </c>
      <c r="AO52" s="244">
        <f t="shared" si="10"/>
        <v>0</v>
      </c>
      <c r="AP52" s="244">
        <f t="shared" si="11"/>
        <v>0</v>
      </c>
      <c r="AQ52" s="244">
        <f t="shared" si="11"/>
        <v>0</v>
      </c>
      <c r="AR52" s="244">
        <f t="shared" si="11"/>
        <v>0</v>
      </c>
      <c r="AS52" s="244">
        <f t="shared" si="11"/>
        <v>0</v>
      </c>
      <c r="AT52" s="244">
        <f t="shared" si="11"/>
        <v>0</v>
      </c>
      <c r="AU52" s="244">
        <f t="shared" si="11"/>
        <v>0</v>
      </c>
      <c r="AV52" s="244">
        <f t="shared" si="11"/>
        <v>0</v>
      </c>
      <c r="AW52" s="244">
        <v>12</v>
      </c>
      <c r="AX52" s="244" t="s">
        <v>1627</v>
      </c>
      <c r="AY52" s="244" t="s">
        <v>1620</v>
      </c>
      <c r="AZ52" s="244" t="s">
        <v>283</v>
      </c>
      <c r="BA52" s="244" t="s">
        <v>285</v>
      </c>
      <c r="BB52" s="244"/>
    </row>
    <row r="53" spans="1:54" ht="15" hidden="1">
      <c r="A53" s="331" t="s">
        <v>452</v>
      </c>
      <c r="B53" s="295" t="str">
        <f t="shared" si="4"/>
        <v>Mut: 13 | Konstitution: 12 | Körperkraft: 12</v>
      </c>
      <c r="C53" s="308" t="b">
        <v>0</v>
      </c>
      <c r="D53" s="308" t="b">
        <v>0</v>
      </c>
      <c r="E53" s="308" t="b">
        <f t="shared" si="5"/>
        <v>0</v>
      </c>
      <c r="F53" t="s">
        <v>410</v>
      </c>
      <c r="G53" t="s">
        <v>110</v>
      </c>
      <c r="H53" t="s">
        <v>235</v>
      </c>
      <c r="I53" t="s">
        <v>453</v>
      </c>
      <c r="J53" s="295">
        <f>_xlfn.XLOOKUP(G53,Rechner!$A$17:$A$25,Rechner!$B$17:$B$25)</f>
        <v>4</v>
      </c>
      <c r="K53" s="295" t="str">
        <f>_xlfn.XLOOKUP(J53-SUMIF($V$31:$AV$31,TRUE,V53:AV53)-IF(D53=TRUE,1,0),Rechner!$B$17:$B$25,Rechner!$A$17:$A$25,"A+")</f>
        <v>B</v>
      </c>
      <c r="L53" s="295" t="str">
        <f>_xlfn.XLOOKUP(S53,Eigenschaften!$C$20:$C$27,Eigenschaften!$B$20:$B$27)</f>
        <v>Mut</v>
      </c>
      <c r="M53" s="295">
        <f>_xlfn.XLOOKUP(L53,Eigenschaften!$B$20:$B$27,Eigenschaften!$H$20:$H$27,"NaN",1)</f>
        <v>13</v>
      </c>
      <c r="N53" s="295" t="str">
        <f>_xlfn.XLOOKUP(T53,Eigenschaften!$C$20:$C$27,Eigenschaften!$B$20:$B$27)</f>
        <v>Konstitution</v>
      </c>
      <c r="O53" s="295">
        <f>_xlfn.XLOOKUP(N53,Eigenschaften!$B$20:$B$27,Eigenschaften!$H$20:$H$27,"NaN",1)</f>
        <v>12</v>
      </c>
      <c r="P53" s="295" t="str">
        <f>_xlfn.XLOOKUP(U53,Eigenschaften!$C$20:$C$27,Eigenschaften!$B$20:$B$27)</f>
        <v>Körperkraft</v>
      </c>
      <c r="Q53" s="295">
        <f>_xlfn.XLOOKUP(P53,Eigenschaften!$B$20:$B$27,Eigenschaften!$H$20:$H$27,"NaN",1)</f>
        <v>12</v>
      </c>
      <c r="R53" s="244"/>
      <c r="S53" s="244" t="str" cm="1">
        <f t="array" ref="S53:U53">_xlfn.TEXTSPLIT(F53,"/",,,,3)</f>
        <v>MU</v>
      </c>
      <c r="T53" s="244" t="str">
        <v>KO</v>
      </c>
      <c r="U53" s="244" t="str">
        <v>KK</v>
      </c>
      <c r="V53" s="244">
        <f t="shared" si="9"/>
        <v>0</v>
      </c>
      <c r="W53" s="244">
        <f t="shared" si="9"/>
        <v>0</v>
      </c>
      <c r="X53" s="244">
        <f t="shared" si="9"/>
        <v>1</v>
      </c>
      <c r="Y53" s="244">
        <f t="shared" si="9"/>
        <v>0</v>
      </c>
      <c r="Z53" s="244">
        <f t="shared" si="9"/>
        <v>0</v>
      </c>
      <c r="AA53" s="244">
        <f t="shared" si="9"/>
        <v>0</v>
      </c>
      <c r="AB53" s="244">
        <f t="shared" si="9"/>
        <v>0</v>
      </c>
      <c r="AC53" s="244">
        <f t="shared" si="9"/>
        <v>0</v>
      </c>
      <c r="AD53" s="244">
        <f t="shared" si="9"/>
        <v>0</v>
      </c>
      <c r="AE53" s="244">
        <f t="shared" si="9"/>
        <v>0</v>
      </c>
      <c r="AF53" s="244">
        <f t="shared" si="10"/>
        <v>0</v>
      </c>
      <c r="AG53" s="244">
        <f t="shared" si="10"/>
        <v>0</v>
      </c>
      <c r="AH53" s="244">
        <f t="shared" si="10"/>
        <v>0</v>
      </c>
      <c r="AI53" s="244">
        <f t="shared" si="10"/>
        <v>0</v>
      </c>
      <c r="AJ53" s="244">
        <f t="shared" si="10"/>
        <v>0</v>
      </c>
      <c r="AK53" s="244">
        <f t="shared" si="10"/>
        <v>0</v>
      </c>
      <c r="AL53" s="244">
        <f t="shared" si="10"/>
        <v>0</v>
      </c>
      <c r="AM53" s="244">
        <f t="shared" si="10"/>
        <v>0</v>
      </c>
      <c r="AN53" s="244">
        <f t="shared" si="10"/>
        <v>0</v>
      </c>
      <c r="AO53" s="244">
        <f t="shared" si="10"/>
        <v>0</v>
      </c>
      <c r="AP53" s="244">
        <f t="shared" si="11"/>
        <v>0</v>
      </c>
      <c r="AQ53" s="244">
        <f t="shared" si="11"/>
        <v>0</v>
      </c>
      <c r="AR53" s="244">
        <f t="shared" si="11"/>
        <v>0</v>
      </c>
      <c r="AS53" s="244">
        <f t="shared" si="11"/>
        <v>0</v>
      </c>
      <c r="AT53" s="244">
        <f t="shared" si="11"/>
        <v>0</v>
      </c>
      <c r="AU53" s="244">
        <f t="shared" si="11"/>
        <v>0</v>
      </c>
      <c r="AV53" s="244">
        <f t="shared" si="11"/>
        <v>0</v>
      </c>
      <c r="AW53" s="244"/>
      <c r="AX53" s="244"/>
      <c r="AY53" s="244"/>
      <c r="AZ53" s="244"/>
      <c r="BA53" s="244"/>
      <c r="BB53" s="244"/>
    </row>
    <row r="54" spans="1:54" ht="15">
      <c r="A54" s="331" t="s">
        <v>323</v>
      </c>
      <c r="B54" s="295" t="str">
        <f t="shared" si="4"/>
        <v>Intuition: 15 | Gewandheit: 14 | Körperkraft: 12</v>
      </c>
      <c r="C54" s="308" t="b">
        <v>1</v>
      </c>
      <c r="D54" s="308" t="b">
        <v>0</v>
      </c>
      <c r="E54" s="308" t="b">
        <f t="shared" si="5"/>
        <v>1</v>
      </c>
      <c r="F54" t="s">
        <v>324</v>
      </c>
      <c r="G54" t="s">
        <v>125</v>
      </c>
      <c r="H54" t="s">
        <v>235</v>
      </c>
      <c r="I54" t="s">
        <v>766</v>
      </c>
      <c r="J54" s="295">
        <f>_xlfn.XLOOKUP(G54,Rechner!$A$17:$A$25,Rechner!$B$17:$B$25)</f>
        <v>3</v>
      </c>
      <c r="K54" s="338" t="str">
        <f>_xlfn.XLOOKUP(J54-SUMIF($V$31:$AV$31,TRUE,V54:AV54)-IF(D54=TRUE,1,0),Rechner!$B$17:$B$25,Rechner!$A$17:$A$25,"A+")</f>
        <v>A</v>
      </c>
      <c r="L54" s="295" t="str">
        <f>_xlfn.XLOOKUP(S54,Eigenschaften!$C$20:$C$27,Eigenschaften!$B$20:$B$27)</f>
        <v>Intuition</v>
      </c>
      <c r="M54" s="295">
        <f>_xlfn.XLOOKUP(L54,Eigenschaften!$B$20:$B$27,Eigenschaften!$H$20:$H$27,"NaN",1)</f>
        <v>15</v>
      </c>
      <c r="N54" s="295" t="str">
        <f>_xlfn.XLOOKUP(T54,Eigenschaften!$C$20:$C$27,Eigenschaften!$B$20:$B$27)</f>
        <v>Gewandheit</v>
      </c>
      <c r="O54" s="295">
        <f>_xlfn.XLOOKUP(N54,Eigenschaften!$B$20:$B$27,Eigenschaften!$H$20:$H$27,"NaN",1)</f>
        <v>14</v>
      </c>
      <c r="P54" s="295" t="str">
        <f>_xlfn.XLOOKUP(U54,Eigenschaften!$C$20:$C$27,Eigenschaften!$B$20:$B$27)</f>
        <v>Körperkraft</v>
      </c>
      <c r="Q54" s="295">
        <f>_xlfn.XLOOKUP(P54,Eigenschaften!$B$20:$B$27,Eigenschaften!$H$20:$H$27,"NaN",1)</f>
        <v>12</v>
      </c>
      <c r="R54" s="244"/>
      <c r="S54" s="244" t="str" cm="1">
        <f t="array" ref="S54:U54">_xlfn.TEXTSPLIT(F54,"/",,,,3)</f>
        <v>IN</v>
      </c>
      <c r="T54" s="244" t="str">
        <v>GE</v>
      </c>
      <c r="U54" s="244" t="str">
        <v>KK</v>
      </c>
      <c r="V54" s="244">
        <f t="shared" si="9"/>
        <v>0</v>
      </c>
      <c r="W54" s="244">
        <f t="shared" si="9"/>
        <v>0</v>
      </c>
      <c r="X54" s="244">
        <f t="shared" si="9"/>
        <v>1</v>
      </c>
      <c r="Y54" s="244">
        <f t="shared" si="9"/>
        <v>0</v>
      </c>
      <c r="Z54" s="244">
        <f t="shared" si="9"/>
        <v>0</v>
      </c>
      <c r="AA54" s="244">
        <f t="shared" si="9"/>
        <v>0</v>
      </c>
      <c r="AB54" s="244">
        <f t="shared" si="9"/>
        <v>0</v>
      </c>
      <c r="AC54" s="244">
        <f t="shared" si="9"/>
        <v>0</v>
      </c>
      <c r="AD54" s="244">
        <f t="shared" si="9"/>
        <v>0</v>
      </c>
      <c r="AE54" s="244">
        <f t="shared" si="9"/>
        <v>0</v>
      </c>
      <c r="AF54" s="244">
        <f t="shared" si="10"/>
        <v>0</v>
      </c>
      <c r="AG54" s="244">
        <f t="shared" si="10"/>
        <v>0</v>
      </c>
      <c r="AH54" s="244">
        <f t="shared" si="10"/>
        <v>0</v>
      </c>
      <c r="AI54" s="244">
        <f t="shared" si="10"/>
        <v>0</v>
      </c>
      <c r="AJ54" s="244">
        <f t="shared" si="10"/>
        <v>0</v>
      </c>
      <c r="AK54" s="244">
        <f t="shared" si="10"/>
        <v>0</v>
      </c>
      <c r="AL54" s="244">
        <f t="shared" si="10"/>
        <v>0</v>
      </c>
      <c r="AM54" s="244">
        <f t="shared" si="10"/>
        <v>0</v>
      </c>
      <c r="AN54" s="244">
        <f t="shared" si="10"/>
        <v>0</v>
      </c>
      <c r="AO54" s="244">
        <f t="shared" si="10"/>
        <v>0</v>
      </c>
      <c r="AP54" s="244">
        <f t="shared" si="11"/>
        <v>0</v>
      </c>
      <c r="AQ54" s="244">
        <f t="shared" si="11"/>
        <v>0</v>
      </c>
      <c r="AR54" s="244">
        <f t="shared" si="11"/>
        <v>0</v>
      </c>
      <c r="AS54" s="244">
        <f t="shared" si="11"/>
        <v>0</v>
      </c>
      <c r="AT54" s="244">
        <f t="shared" si="11"/>
        <v>0</v>
      </c>
      <c r="AU54" s="244">
        <f t="shared" si="11"/>
        <v>0</v>
      </c>
      <c r="AV54" s="244">
        <f t="shared" si="11"/>
        <v>0</v>
      </c>
      <c r="AW54" s="244">
        <v>10</v>
      </c>
      <c r="AX54" s="244" t="s">
        <v>1609</v>
      </c>
      <c r="AY54" s="244" t="s">
        <v>1610</v>
      </c>
      <c r="AZ54" s="244" t="s">
        <v>325</v>
      </c>
      <c r="BA54" s="244" t="s">
        <v>316</v>
      </c>
      <c r="BB54" s="244"/>
    </row>
    <row r="55" spans="1:54" ht="15" hidden="1">
      <c r="A55" s="331" t="s">
        <v>457</v>
      </c>
      <c r="B55" s="295" t="str">
        <f t="shared" si="4"/>
        <v>Charisma: 15 | Konstitution: 12 | Körperkraft: 12</v>
      </c>
      <c r="C55" s="308" t="b">
        <v>0</v>
      </c>
      <c r="D55" s="308" t="b">
        <v>0</v>
      </c>
      <c r="E55" s="308" t="b">
        <f t="shared" si="5"/>
        <v>0</v>
      </c>
      <c r="F55" t="s">
        <v>458</v>
      </c>
      <c r="G55" t="s">
        <v>110</v>
      </c>
      <c r="H55" t="s">
        <v>459</v>
      </c>
      <c r="I55" t="s">
        <v>460</v>
      </c>
      <c r="J55" s="295">
        <f>_xlfn.XLOOKUP(G55,Rechner!$A$17:$A$25,Rechner!$B$17:$B$25)</f>
        <v>4</v>
      </c>
      <c r="K55" s="295" t="str">
        <f>_xlfn.XLOOKUP(J55-SUMIF($V$31:$AV$31,TRUE,V55:AV55)-IF(D55=TRUE,1,0),Rechner!$B$17:$B$25,Rechner!$A$17:$A$25,"A+")</f>
        <v>C</v>
      </c>
      <c r="L55" s="295" t="str">
        <f>_xlfn.XLOOKUP(S55,Eigenschaften!$C$20:$C$27,Eigenschaften!$B$20:$B$27)</f>
        <v>Charisma</v>
      </c>
      <c r="M55" s="295">
        <f>_xlfn.XLOOKUP(L55,Eigenschaften!$B$20:$B$27,Eigenschaften!$H$20:$H$27,"NaN",1)</f>
        <v>15</v>
      </c>
      <c r="N55" s="295" t="str">
        <f>_xlfn.XLOOKUP(T55,Eigenschaften!$C$20:$C$27,Eigenschaften!$B$20:$B$27)</f>
        <v>Konstitution</v>
      </c>
      <c r="O55" s="295">
        <f>_xlfn.XLOOKUP(N55,Eigenschaften!$B$20:$B$27,Eigenschaften!$H$20:$H$27,"NaN",1)</f>
        <v>12</v>
      </c>
      <c r="P55" s="295" t="str">
        <f>_xlfn.XLOOKUP(U55,Eigenschaften!$C$20:$C$27,Eigenschaften!$B$20:$B$27)</f>
        <v>Körperkraft</v>
      </c>
      <c r="Q55" s="295">
        <f>_xlfn.XLOOKUP(P55,Eigenschaften!$B$20:$B$27,Eigenschaften!$H$20:$H$27,"NaN",1)</f>
        <v>12</v>
      </c>
      <c r="R55" s="244"/>
      <c r="S55" s="244" t="str" cm="1">
        <f t="array" ref="S55:U55">_xlfn.TEXTSPLIT(F55,"/",,,,3)</f>
        <v>CH</v>
      </c>
      <c r="T55" s="244" t="str">
        <v>KO</v>
      </c>
      <c r="U55" s="244" t="str">
        <v>KK</v>
      </c>
      <c r="V55" s="244">
        <f t="shared" si="9"/>
        <v>0</v>
      </c>
      <c r="W55" s="244">
        <f t="shared" si="9"/>
        <v>0</v>
      </c>
      <c r="X55" s="244">
        <f t="shared" si="9"/>
        <v>0</v>
      </c>
      <c r="Y55" s="244">
        <f t="shared" si="9"/>
        <v>1</v>
      </c>
      <c r="Z55" s="244">
        <f t="shared" si="9"/>
        <v>0</v>
      </c>
      <c r="AA55" s="244">
        <f t="shared" si="9"/>
        <v>0</v>
      </c>
      <c r="AB55" s="244">
        <f t="shared" si="9"/>
        <v>0</v>
      </c>
      <c r="AC55" s="244">
        <f t="shared" si="9"/>
        <v>0</v>
      </c>
      <c r="AD55" s="244">
        <f t="shared" si="9"/>
        <v>1</v>
      </c>
      <c r="AE55" s="244">
        <f t="shared" si="9"/>
        <v>0</v>
      </c>
      <c r="AF55" s="244">
        <f t="shared" si="10"/>
        <v>0</v>
      </c>
      <c r="AG55" s="244">
        <f t="shared" si="10"/>
        <v>1</v>
      </c>
      <c r="AH55" s="244">
        <f t="shared" si="10"/>
        <v>0</v>
      </c>
      <c r="AI55" s="244">
        <f t="shared" si="10"/>
        <v>0</v>
      </c>
      <c r="AJ55" s="244">
        <f t="shared" si="10"/>
        <v>0</v>
      </c>
      <c r="AK55" s="244">
        <f t="shared" si="10"/>
        <v>0</v>
      </c>
      <c r="AL55" s="244">
        <f t="shared" si="10"/>
        <v>0</v>
      </c>
      <c r="AM55" s="244">
        <f t="shared" si="10"/>
        <v>0</v>
      </c>
      <c r="AN55" s="244">
        <f t="shared" si="10"/>
        <v>0</v>
      </c>
      <c r="AO55" s="244">
        <f t="shared" si="10"/>
        <v>0</v>
      </c>
      <c r="AP55" s="244">
        <f t="shared" si="11"/>
        <v>0</v>
      </c>
      <c r="AQ55" s="244">
        <f t="shared" si="11"/>
        <v>0</v>
      </c>
      <c r="AR55" s="244">
        <f t="shared" si="11"/>
        <v>0</v>
      </c>
      <c r="AS55" s="244">
        <f t="shared" si="11"/>
        <v>0</v>
      </c>
      <c r="AT55" s="244">
        <f t="shared" si="11"/>
        <v>0</v>
      </c>
      <c r="AU55" s="244">
        <f t="shared" si="11"/>
        <v>0</v>
      </c>
      <c r="AV55" s="244">
        <f t="shared" si="11"/>
        <v>0</v>
      </c>
      <c r="AW55" s="244"/>
      <c r="AX55" s="244"/>
      <c r="AY55" s="244"/>
      <c r="AZ55" s="244"/>
      <c r="BA55" s="244"/>
      <c r="BB55" s="244"/>
    </row>
    <row r="56" spans="1:54" ht="15" hidden="1">
      <c r="A56" s="331" t="s">
        <v>461</v>
      </c>
      <c r="B56" s="295" t="str">
        <f t="shared" si="4"/>
        <v>Mut: 13 | Konstitution: 12 | Körperkraft: 12</v>
      </c>
      <c r="C56" s="308" t="b">
        <v>0</v>
      </c>
      <c r="D56" s="308" t="b">
        <v>0</v>
      </c>
      <c r="E56" s="308" t="b">
        <f t="shared" si="5"/>
        <v>0</v>
      </c>
      <c r="F56" t="s">
        <v>410</v>
      </c>
      <c r="G56" t="s">
        <v>429</v>
      </c>
      <c r="H56" t="s">
        <v>462</v>
      </c>
      <c r="I56" t="s">
        <v>463</v>
      </c>
      <c r="J56" s="295">
        <f>_xlfn.XLOOKUP(G56,Rechner!$A$17:$A$25,Rechner!$B$17:$B$25)</f>
        <v>6</v>
      </c>
      <c r="K56" s="295" t="str">
        <f>_xlfn.XLOOKUP(J56-SUMIF($V$31:$AV$31,TRUE,V56:AV56)-IF(D56=TRUE,1,0),Rechner!$B$17:$B$25,Rechner!$A$17:$A$25,"A+")</f>
        <v>E</v>
      </c>
      <c r="L56" s="295" t="str">
        <f>_xlfn.XLOOKUP(S56,Eigenschaften!$C$20:$C$27,Eigenschaften!$B$20:$B$27)</f>
        <v>Mut</v>
      </c>
      <c r="M56" s="295">
        <f>_xlfn.XLOOKUP(L56,Eigenschaften!$B$20:$B$27,Eigenschaften!$H$20:$H$27,"NaN",1)</f>
        <v>13</v>
      </c>
      <c r="N56" s="295" t="str">
        <f>_xlfn.XLOOKUP(T56,Eigenschaften!$C$20:$C$27,Eigenschaften!$B$20:$B$27)</f>
        <v>Konstitution</v>
      </c>
      <c r="O56" s="295">
        <f>_xlfn.XLOOKUP(N56,Eigenschaften!$B$20:$B$27,Eigenschaften!$H$20:$H$27,"NaN",1)</f>
        <v>12</v>
      </c>
      <c r="P56" s="295" t="str">
        <f>_xlfn.XLOOKUP(U56,Eigenschaften!$C$20:$C$27,Eigenschaften!$B$20:$B$27)</f>
        <v>Körperkraft</v>
      </c>
      <c r="Q56" s="295">
        <f>_xlfn.XLOOKUP(P56,Eigenschaften!$B$20:$B$27,Eigenschaften!$H$20:$H$27,"NaN",1)</f>
        <v>12</v>
      </c>
      <c r="R56" s="244"/>
      <c r="S56" s="244" t="str" cm="1">
        <f t="array" ref="S56:U56">_xlfn.TEXTSPLIT(F56,"/",,,,3)</f>
        <v>MU</v>
      </c>
      <c r="T56" s="244" t="str">
        <v>KO</v>
      </c>
      <c r="U56" s="244" t="str">
        <v>KK</v>
      </c>
      <c r="V56" s="244">
        <f t="shared" ref="V56:AE65" si="12">IF(ISNUMBER(SEARCH(V$32,$H56)),1,0)</f>
        <v>0</v>
      </c>
      <c r="W56" s="244">
        <f t="shared" si="12"/>
        <v>0</v>
      </c>
      <c r="X56" s="244">
        <f t="shared" si="12"/>
        <v>0</v>
      </c>
      <c r="Y56" s="244">
        <f t="shared" si="12"/>
        <v>0</v>
      </c>
      <c r="Z56" s="244">
        <f t="shared" si="12"/>
        <v>0</v>
      </c>
      <c r="AA56" s="244">
        <f t="shared" si="12"/>
        <v>0</v>
      </c>
      <c r="AB56" s="244">
        <f t="shared" si="12"/>
        <v>0</v>
      </c>
      <c r="AC56" s="244">
        <f t="shared" si="12"/>
        <v>0</v>
      </c>
      <c r="AD56" s="244">
        <f t="shared" si="12"/>
        <v>0</v>
      </c>
      <c r="AE56" s="244">
        <f t="shared" si="12"/>
        <v>0</v>
      </c>
      <c r="AF56" s="244">
        <f t="shared" ref="AF56:AO65" si="13">IF(ISNUMBER(SEARCH(AF$32,$H56)),1,0)</f>
        <v>0</v>
      </c>
      <c r="AG56" s="244">
        <f t="shared" si="13"/>
        <v>0</v>
      </c>
      <c r="AH56" s="244">
        <f t="shared" si="13"/>
        <v>0</v>
      </c>
      <c r="AI56" s="244">
        <f t="shared" si="13"/>
        <v>0</v>
      </c>
      <c r="AJ56" s="244">
        <f t="shared" si="13"/>
        <v>0</v>
      </c>
      <c r="AK56" s="244">
        <f t="shared" si="13"/>
        <v>0</v>
      </c>
      <c r="AL56" s="244">
        <f t="shared" si="13"/>
        <v>0</v>
      </c>
      <c r="AM56" s="244">
        <f t="shared" si="13"/>
        <v>0</v>
      </c>
      <c r="AN56" s="244">
        <f t="shared" si="13"/>
        <v>1</v>
      </c>
      <c r="AO56" s="244">
        <f t="shared" si="13"/>
        <v>1</v>
      </c>
      <c r="AP56" s="244">
        <f t="shared" ref="AP56:AV65" si="14">IF(ISNUMBER(SEARCH(AP$32,$H56)),1,0)</f>
        <v>0</v>
      </c>
      <c r="AQ56" s="244">
        <f t="shared" si="14"/>
        <v>0</v>
      </c>
      <c r="AR56" s="244">
        <f t="shared" si="14"/>
        <v>0</v>
      </c>
      <c r="AS56" s="244">
        <f t="shared" si="14"/>
        <v>0</v>
      </c>
      <c r="AT56" s="244">
        <f t="shared" si="14"/>
        <v>0</v>
      </c>
      <c r="AU56" s="244">
        <f t="shared" si="14"/>
        <v>0</v>
      </c>
      <c r="AV56" s="244">
        <f t="shared" si="14"/>
        <v>0</v>
      </c>
      <c r="AW56" s="244"/>
      <c r="AX56" s="244"/>
      <c r="AY56" s="244"/>
      <c r="AZ56" s="244"/>
      <c r="BA56" s="244"/>
      <c r="BB56" s="244"/>
    </row>
    <row r="57" spans="1:54" ht="15" hidden="1">
      <c r="A57" s="331" t="s">
        <v>464</v>
      </c>
      <c r="B57" s="295" t="str">
        <f t="shared" si="4"/>
        <v>Intuition: 15 | Charisma: 15 | Fingerfertigkeit: 10</v>
      </c>
      <c r="C57" s="308" t="b">
        <v>0</v>
      </c>
      <c r="D57" s="308" t="b">
        <v>0</v>
      </c>
      <c r="E57" s="308" t="b">
        <f t="shared" si="5"/>
        <v>0</v>
      </c>
      <c r="F57" t="s">
        <v>314</v>
      </c>
      <c r="G57" t="s">
        <v>128</v>
      </c>
      <c r="H57" t="s">
        <v>375</v>
      </c>
      <c r="I57" t="s">
        <v>465</v>
      </c>
      <c r="J57" s="295">
        <f>_xlfn.XLOOKUP(G57,Rechner!$A$17:$A$25,Rechner!$B$17:$B$25)</f>
        <v>2</v>
      </c>
      <c r="K57" s="295" t="str">
        <f>_xlfn.XLOOKUP(J57-SUMIF($V$31:$AV$31,TRUE,V57:AV57)-IF(D57=TRUE,1,0),Rechner!$B$17:$B$25,Rechner!$A$17:$A$25,"A+")</f>
        <v>A</v>
      </c>
      <c r="L57" s="295" t="str">
        <f>_xlfn.XLOOKUP(S57,Eigenschaften!$C$20:$C$27,Eigenschaften!$B$20:$B$27)</f>
        <v>Intuition</v>
      </c>
      <c r="M57" s="295">
        <f>_xlfn.XLOOKUP(L57,Eigenschaften!$B$20:$B$27,Eigenschaften!$H$20:$H$27,"NaN",1)</f>
        <v>15</v>
      </c>
      <c r="N57" s="295" t="str">
        <f>_xlfn.XLOOKUP(T57,Eigenschaften!$C$20:$C$27,Eigenschaften!$B$20:$B$27)</f>
        <v>Charisma</v>
      </c>
      <c r="O57" s="295">
        <f>_xlfn.XLOOKUP(N57,Eigenschaften!$B$20:$B$27,Eigenschaften!$H$20:$H$27,"NaN",1)</f>
        <v>15</v>
      </c>
      <c r="P57" s="295" t="str">
        <f>_xlfn.XLOOKUP(U57,Eigenschaften!$C$20:$C$27,Eigenschaften!$B$20:$B$27)</f>
        <v>Fingerfertigkeit</v>
      </c>
      <c r="Q57" s="295">
        <f>_xlfn.XLOOKUP(P57,Eigenschaften!$B$20:$B$27,Eigenschaften!$H$20:$H$27,"NaN",1)</f>
        <v>10</v>
      </c>
      <c r="R57" s="244"/>
      <c r="S57" s="244" t="str" cm="1">
        <f t="array" ref="S57:U57">_xlfn.TEXTSPLIT(F57,"/",,,,3)</f>
        <v>IN</v>
      </c>
      <c r="T57" s="244" t="str">
        <v>CH</v>
      </c>
      <c r="U57" s="244" t="str">
        <v>FF</v>
      </c>
      <c r="V57" s="244">
        <f t="shared" si="12"/>
        <v>0</v>
      </c>
      <c r="W57" s="244">
        <f t="shared" si="12"/>
        <v>0</v>
      </c>
      <c r="X57" s="244">
        <f t="shared" si="12"/>
        <v>0</v>
      </c>
      <c r="Y57" s="244">
        <f t="shared" si="12"/>
        <v>0</v>
      </c>
      <c r="Z57" s="244">
        <f t="shared" si="12"/>
        <v>0</v>
      </c>
      <c r="AA57" s="244">
        <f t="shared" si="12"/>
        <v>0</v>
      </c>
      <c r="AB57" s="244">
        <f t="shared" si="12"/>
        <v>0</v>
      </c>
      <c r="AC57" s="244">
        <f t="shared" si="12"/>
        <v>0</v>
      </c>
      <c r="AD57" s="244">
        <f t="shared" si="12"/>
        <v>0</v>
      </c>
      <c r="AE57" s="244">
        <f t="shared" si="12"/>
        <v>0</v>
      </c>
      <c r="AF57" s="244">
        <f t="shared" si="13"/>
        <v>0</v>
      </c>
      <c r="AG57" s="244">
        <f t="shared" si="13"/>
        <v>0</v>
      </c>
      <c r="AH57" s="244">
        <f t="shared" si="13"/>
        <v>0</v>
      </c>
      <c r="AI57" s="244">
        <f t="shared" si="13"/>
        <v>0</v>
      </c>
      <c r="AJ57" s="244">
        <f t="shared" si="13"/>
        <v>0</v>
      </c>
      <c r="AK57" s="244">
        <f t="shared" si="13"/>
        <v>0</v>
      </c>
      <c r="AL57" s="244">
        <f t="shared" si="13"/>
        <v>0</v>
      </c>
      <c r="AM57" s="244">
        <f t="shared" si="13"/>
        <v>1</v>
      </c>
      <c r="AN57" s="244">
        <f t="shared" si="13"/>
        <v>0</v>
      </c>
      <c r="AO57" s="244">
        <f t="shared" si="13"/>
        <v>0</v>
      </c>
      <c r="AP57" s="244">
        <f t="shared" si="14"/>
        <v>0</v>
      </c>
      <c r="AQ57" s="244">
        <f t="shared" si="14"/>
        <v>0</v>
      </c>
      <c r="AR57" s="244">
        <f t="shared" si="14"/>
        <v>0</v>
      </c>
      <c r="AS57" s="244">
        <f t="shared" si="14"/>
        <v>0</v>
      </c>
      <c r="AT57" s="244">
        <f t="shared" si="14"/>
        <v>0</v>
      </c>
      <c r="AU57" s="244">
        <f t="shared" si="14"/>
        <v>0</v>
      </c>
      <c r="AV57" s="244">
        <f t="shared" si="14"/>
        <v>0</v>
      </c>
      <c r="AW57" s="244"/>
      <c r="AX57" s="244"/>
      <c r="AY57" s="244"/>
      <c r="AZ57" s="244"/>
      <c r="BA57" s="244"/>
      <c r="BB57" s="244"/>
    </row>
    <row r="58" spans="1:54" ht="15" hidden="1">
      <c r="A58" s="331" t="s">
        <v>467</v>
      </c>
      <c r="B58" s="295" t="str">
        <f t="shared" si="4"/>
        <v>Klugheit: 12 | Charisma: 15 | Fingerfertigkeit: 10</v>
      </c>
      <c r="C58" s="308" t="b">
        <v>0</v>
      </c>
      <c r="D58" s="308" t="b">
        <v>0</v>
      </c>
      <c r="E58" s="308" t="b">
        <f t="shared" si="5"/>
        <v>0</v>
      </c>
      <c r="F58" t="s">
        <v>393</v>
      </c>
      <c r="G58" t="s">
        <v>113</v>
      </c>
      <c r="H58" t="s">
        <v>375</v>
      </c>
      <c r="I58" t="s">
        <v>468</v>
      </c>
      <c r="J58" s="295">
        <f>_xlfn.XLOOKUP(G58,Rechner!$A$17:$A$25,Rechner!$B$17:$B$25)</f>
        <v>5</v>
      </c>
      <c r="K58" s="295" t="str">
        <f>_xlfn.XLOOKUP(J58-SUMIF($V$31:$AV$31,TRUE,V58:AV58)-IF(D58=TRUE,1,0),Rechner!$B$17:$B$25,Rechner!$A$17:$A$25,"A+")</f>
        <v>D</v>
      </c>
      <c r="L58" s="295" t="str">
        <f>_xlfn.XLOOKUP(S58,Eigenschaften!$C$20:$C$27,Eigenschaften!$B$20:$B$27)</f>
        <v>Klugheit</v>
      </c>
      <c r="M58" s="295">
        <f>_xlfn.XLOOKUP(L58,Eigenschaften!$B$20:$B$27,Eigenschaften!$H$20:$H$27,"NaN",1)</f>
        <v>12</v>
      </c>
      <c r="N58" s="295" t="str">
        <f>_xlfn.XLOOKUP(T58,Eigenschaften!$C$20:$C$27,Eigenschaften!$B$20:$B$27)</f>
        <v>Charisma</v>
      </c>
      <c r="O58" s="295">
        <f>_xlfn.XLOOKUP(N58,Eigenschaften!$B$20:$B$27,Eigenschaften!$H$20:$H$27,"NaN",1)</f>
        <v>15</v>
      </c>
      <c r="P58" s="295" t="str">
        <f>_xlfn.XLOOKUP(U58,Eigenschaften!$C$20:$C$27,Eigenschaften!$B$20:$B$27)</f>
        <v>Fingerfertigkeit</v>
      </c>
      <c r="Q58" s="295">
        <f>_xlfn.XLOOKUP(P58,Eigenschaften!$B$20:$B$27,Eigenschaften!$H$20:$H$27,"NaN",1)</f>
        <v>10</v>
      </c>
      <c r="R58" s="244"/>
      <c r="S58" s="244" t="str" cm="1">
        <f t="array" ref="S58:U58">_xlfn.TEXTSPLIT(F58,"/",,,,3)</f>
        <v>KL</v>
      </c>
      <c r="T58" s="244" t="str">
        <v>CH</v>
      </c>
      <c r="U58" s="244" t="str">
        <v>FF</v>
      </c>
      <c r="V58" s="244">
        <f t="shared" si="12"/>
        <v>0</v>
      </c>
      <c r="W58" s="244">
        <f t="shared" si="12"/>
        <v>0</v>
      </c>
      <c r="X58" s="244">
        <f t="shared" si="12"/>
        <v>0</v>
      </c>
      <c r="Y58" s="244">
        <f t="shared" si="12"/>
        <v>0</v>
      </c>
      <c r="Z58" s="244">
        <f t="shared" si="12"/>
        <v>0</v>
      </c>
      <c r="AA58" s="244">
        <f t="shared" si="12"/>
        <v>0</v>
      </c>
      <c r="AB58" s="244">
        <f t="shared" si="12"/>
        <v>0</v>
      </c>
      <c r="AC58" s="244">
        <f t="shared" si="12"/>
        <v>0</v>
      </c>
      <c r="AD58" s="244">
        <f t="shared" si="12"/>
        <v>0</v>
      </c>
      <c r="AE58" s="244">
        <f t="shared" si="12"/>
        <v>0</v>
      </c>
      <c r="AF58" s="244">
        <f t="shared" si="13"/>
        <v>0</v>
      </c>
      <c r="AG58" s="244">
        <f t="shared" si="13"/>
        <v>0</v>
      </c>
      <c r="AH58" s="244">
        <f t="shared" si="13"/>
        <v>0</v>
      </c>
      <c r="AI58" s="244">
        <f t="shared" si="13"/>
        <v>0</v>
      </c>
      <c r="AJ58" s="244">
        <f t="shared" si="13"/>
        <v>0</v>
      </c>
      <c r="AK58" s="244">
        <f t="shared" si="13"/>
        <v>0</v>
      </c>
      <c r="AL58" s="244">
        <f t="shared" si="13"/>
        <v>0</v>
      </c>
      <c r="AM58" s="244">
        <f t="shared" si="13"/>
        <v>1</v>
      </c>
      <c r="AN58" s="244">
        <f t="shared" si="13"/>
        <v>0</v>
      </c>
      <c r="AO58" s="244">
        <f t="shared" si="13"/>
        <v>0</v>
      </c>
      <c r="AP58" s="244">
        <f t="shared" si="14"/>
        <v>0</v>
      </c>
      <c r="AQ58" s="244">
        <f t="shared" si="14"/>
        <v>0</v>
      </c>
      <c r="AR58" s="244">
        <f t="shared" si="14"/>
        <v>0</v>
      </c>
      <c r="AS58" s="244">
        <f t="shared" si="14"/>
        <v>0</v>
      </c>
      <c r="AT58" s="244">
        <f t="shared" si="14"/>
        <v>0</v>
      </c>
      <c r="AU58" s="244">
        <f t="shared" si="14"/>
        <v>0</v>
      </c>
      <c r="AV58" s="244">
        <f t="shared" si="14"/>
        <v>0</v>
      </c>
      <c r="AW58" s="244"/>
      <c r="AX58" s="244"/>
      <c r="AY58" s="244"/>
      <c r="AZ58" s="244"/>
      <c r="BA58" s="244"/>
      <c r="BB58" s="244"/>
    </row>
    <row r="59" spans="1:54" ht="15" hidden="1">
      <c r="A59" s="331" t="s">
        <v>469</v>
      </c>
      <c r="B59" s="295" t="str">
        <f t="shared" si="4"/>
        <v>Klugheit: 12 | Gewandheit: 14 | Konstitution: 12</v>
      </c>
      <c r="C59" s="308" t="b">
        <v>0</v>
      </c>
      <c r="D59" s="308" t="b">
        <v>0</v>
      </c>
      <c r="E59" s="308" t="b">
        <f t="shared" si="5"/>
        <v>0</v>
      </c>
      <c r="F59" t="s">
        <v>470</v>
      </c>
      <c r="G59" t="s">
        <v>110</v>
      </c>
      <c r="H59" t="s">
        <v>235</v>
      </c>
      <c r="I59" t="s">
        <v>471</v>
      </c>
      <c r="J59" s="295">
        <f>_xlfn.XLOOKUP(G59,Rechner!$A$17:$A$25,Rechner!$B$17:$B$25)</f>
        <v>4</v>
      </c>
      <c r="K59" s="295" t="str">
        <f>_xlfn.XLOOKUP(J59-SUMIF($V$31:$AV$31,TRUE,V59:AV59)-IF(D59=TRUE,1,0),Rechner!$B$17:$B$25,Rechner!$A$17:$A$25,"A+")</f>
        <v>B</v>
      </c>
      <c r="L59" s="295" t="str">
        <f>_xlfn.XLOOKUP(S59,Eigenschaften!$C$20:$C$27,Eigenschaften!$B$20:$B$27)</f>
        <v>Klugheit</v>
      </c>
      <c r="M59" s="295">
        <f>_xlfn.XLOOKUP(L59,Eigenschaften!$B$20:$B$27,Eigenschaften!$H$20:$H$27,"NaN",1)</f>
        <v>12</v>
      </c>
      <c r="N59" s="295" t="str">
        <f>_xlfn.XLOOKUP(T59,Eigenschaften!$C$20:$C$27,Eigenschaften!$B$20:$B$27)</f>
        <v>Gewandheit</v>
      </c>
      <c r="O59" s="295">
        <f>_xlfn.XLOOKUP(N59,Eigenschaften!$B$20:$B$27,Eigenschaften!$H$20:$H$27,"NaN",1)</f>
        <v>14</v>
      </c>
      <c r="P59" s="295" t="str">
        <f>_xlfn.XLOOKUP(U59,Eigenschaften!$C$20:$C$27,Eigenschaften!$B$20:$B$27)</f>
        <v>Konstitution</v>
      </c>
      <c r="Q59" s="295">
        <f>_xlfn.XLOOKUP(P59,Eigenschaften!$B$20:$B$27,Eigenschaften!$H$20:$H$27,"NaN",1)</f>
        <v>12</v>
      </c>
      <c r="R59" s="244"/>
      <c r="S59" s="244" t="str" cm="1">
        <f t="array" ref="S59:U59">_xlfn.TEXTSPLIT(F59,"/",,,,3)</f>
        <v>KL</v>
      </c>
      <c r="T59" s="244" t="str">
        <v>GE</v>
      </c>
      <c r="U59" s="244" t="str">
        <v>KO</v>
      </c>
      <c r="V59" s="244">
        <f t="shared" si="12"/>
        <v>0</v>
      </c>
      <c r="W59" s="244">
        <f t="shared" si="12"/>
        <v>0</v>
      </c>
      <c r="X59" s="244">
        <f t="shared" si="12"/>
        <v>1</v>
      </c>
      <c r="Y59" s="244">
        <f t="shared" si="12"/>
        <v>0</v>
      </c>
      <c r="Z59" s="244">
        <f t="shared" si="12"/>
        <v>0</v>
      </c>
      <c r="AA59" s="244">
        <f t="shared" si="12"/>
        <v>0</v>
      </c>
      <c r="AB59" s="244">
        <f t="shared" si="12"/>
        <v>0</v>
      </c>
      <c r="AC59" s="244">
        <f t="shared" si="12"/>
        <v>0</v>
      </c>
      <c r="AD59" s="244">
        <f t="shared" si="12"/>
        <v>0</v>
      </c>
      <c r="AE59" s="244">
        <f t="shared" si="12"/>
        <v>0</v>
      </c>
      <c r="AF59" s="244">
        <f t="shared" si="13"/>
        <v>0</v>
      </c>
      <c r="AG59" s="244">
        <f t="shared" si="13"/>
        <v>0</v>
      </c>
      <c r="AH59" s="244">
        <f t="shared" si="13"/>
        <v>0</v>
      </c>
      <c r="AI59" s="244">
        <f t="shared" si="13"/>
        <v>0</v>
      </c>
      <c r="AJ59" s="244">
        <f t="shared" si="13"/>
        <v>0</v>
      </c>
      <c r="AK59" s="244">
        <f t="shared" si="13"/>
        <v>0</v>
      </c>
      <c r="AL59" s="244">
        <f t="shared" si="13"/>
        <v>0</v>
      </c>
      <c r="AM59" s="244">
        <f t="shared" si="13"/>
        <v>0</v>
      </c>
      <c r="AN59" s="244">
        <f t="shared" si="13"/>
        <v>0</v>
      </c>
      <c r="AO59" s="244">
        <f t="shared" si="13"/>
        <v>0</v>
      </c>
      <c r="AP59" s="244">
        <f t="shared" si="14"/>
        <v>0</v>
      </c>
      <c r="AQ59" s="244">
        <f t="shared" si="14"/>
        <v>0</v>
      </c>
      <c r="AR59" s="244">
        <f t="shared" si="14"/>
        <v>0</v>
      </c>
      <c r="AS59" s="244">
        <f t="shared" si="14"/>
        <v>0</v>
      </c>
      <c r="AT59" s="244">
        <f t="shared" si="14"/>
        <v>0</v>
      </c>
      <c r="AU59" s="244">
        <f t="shared" si="14"/>
        <v>0</v>
      </c>
      <c r="AV59" s="244">
        <f t="shared" si="14"/>
        <v>0</v>
      </c>
      <c r="AW59" s="244"/>
      <c r="AX59" s="244"/>
      <c r="AY59" s="244"/>
      <c r="AZ59" s="244"/>
      <c r="BA59" s="244"/>
      <c r="BB59" s="244"/>
    </row>
    <row r="60" spans="1:54">
      <c r="A60" s="331" t="s">
        <v>339</v>
      </c>
      <c r="B60" s="295" t="str">
        <f t="shared" si="4"/>
        <v>Mut: 13 | Charisma: 15 | Konstitution: 12</v>
      </c>
      <c r="C60" s="308" t="b">
        <v>1</v>
      </c>
      <c r="D60" s="308" t="b">
        <v>1</v>
      </c>
      <c r="E60" s="308" t="b">
        <f t="shared" si="5"/>
        <v>1</v>
      </c>
      <c r="F60" t="s">
        <v>340</v>
      </c>
      <c r="G60" t="s">
        <v>110</v>
      </c>
      <c r="H60" t="s">
        <v>656</v>
      </c>
      <c r="I60" t="s">
        <v>765</v>
      </c>
      <c r="J60" s="295">
        <f>_xlfn.XLOOKUP(G60,Rechner!$A$17:$A$25,Rechner!$B$17:$B$25)</f>
        <v>4</v>
      </c>
      <c r="K60" s="338" t="str">
        <f>_xlfn.XLOOKUP(J60-SUMIF($V$31:$AV$31,TRUE,V60:AV60)-IF(D60=TRUE,1,0),Rechner!$B$17:$B$25,Rechner!$A$17:$A$25,"A+")</f>
        <v>B</v>
      </c>
      <c r="L60" s="295" t="str">
        <f>_xlfn.XLOOKUP(S60,Eigenschaften!$C$20:$C$27,Eigenschaften!$B$20:$B$27)</f>
        <v>Mut</v>
      </c>
      <c r="M60" s="295">
        <f>_xlfn.XLOOKUP(L60,Eigenschaften!$B$20:$B$27,Eigenschaften!$H$20:$H$27,"NaN",1)</f>
        <v>13</v>
      </c>
      <c r="N60" s="295" t="str">
        <f>_xlfn.XLOOKUP(T60,Eigenschaften!$C$20:$C$27,Eigenschaften!$B$20:$B$27)</f>
        <v>Charisma</v>
      </c>
      <c r="O60" s="295">
        <f>_xlfn.XLOOKUP(N60,Eigenschaften!$B$20:$B$27,Eigenschaften!$H$20:$H$27,"NaN",1)</f>
        <v>15</v>
      </c>
      <c r="P60" s="295" t="str">
        <f>_xlfn.XLOOKUP(U60,Eigenschaften!$C$20:$C$27,Eigenschaften!$B$20:$B$27)</f>
        <v>Konstitution</v>
      </c>
      <c r="Q60" s="295">
        <f>_xlfn.XLOOKUP(P60,Eigenschaften!$B$20:$B$27,Eigenschaften!$H$20:$H$27,"NaN",1)</f>
        <v>12</v>
      </c>
      <c r="R60" s="244"/>
      <c r="S60" s="244" t="str" cm="1">
        <f t="array" ref="S60:U60">_xlfn.TEXTSPLIT(F60,"/",,,,3)</f>
        <v>MU</v>
      </c>
      <c r="T60" s="244" t="str">
        <v>CH</v>
      </c>
      <c r="U60" s="244" t="str">
        <v>KO</v>
      </c>
      <c r="V60" s="343">
        <f t="shared" si="12"/>
        <v>0</v>
      </c>
      <c r="W60" s="343">
        <f t="shared" si="12"/>
        <v>0</v>
      </c>
      <c r="X60" s="343">
        <f t="shared" si="12"/>
        <v>0</v>
      </c>
      <c r="Y60" s="343">
        <f t="shared" si="12"/>
        <v>1</v>
      </c>
      <c r="Z60" s="343">
        <f t="shared" si="12"/>
        <v>0</v>
      </c>
      <c r="AA60" s="343">
        <f t="shared" si="12"/>
        <v>0</v>
      </c>
      <c r="AB60" s="343">
        <f t="shared" si="12"/>
        <v>0</v>
      </c>
      <c r="AC60" s="343">
        <f t="shared" si="12"/>
        <v>0</v>
      </c>
      <c r="AD60" s="343">
        <f t="shared" si="12"/>
        <v>1</v>
      </c>
      <c r="AE60" s="343">
        <f t="shared" si="12"/>
        <v>0</v>
      </c>
      <c r="AF60" s="343">
        <f t="shared" si="13"/>
        <v>0</v>
      </c>
      <c r="AG60" s="343">
        <f t="shared" si="13"/>
        <v>0</v>
      </c>
      <c r="AH60" s="343">
        <f t="shared" si="13"/>
        <v>0</v>
      </c>
      <c r="AI60" s="343">
        <f t="shared" si="13"/>
        <v>0</v>
      </c>
      <c r="AJ60" s="343">
        <f t="shared" si="13"/>
        <v>0</v>
      </c>
      <c r="AK60" s="343">
        <f t="shared" si="13"/>
        <v>0</v>
      </c>
      <c r="AL60" s="343">
        <f t="shared" si="13"/>
        <v>0</v>
      </c>
      <c r="AM60" s="343">
        <f t="shared" si="13"/>
        <v>0</v>
      </c>
      <c r="AN60" s="343">
        <f t="shared" si="13"/>
        <v>0</v>
      </c>
      <c r="AO60" s="343">
        <f t="shared" si="13"/>
        <v>0</v>
      </c>
      <c r="AP60" s="343">
        <f t="shared" si="14"/>
        <v>0</v>
      </c>
      <c r="AQ60" s="343">
        <f t="shared" si="14"/>
        <v>0</v>
      </c>
      <c r="AR60" s="343">
        <f t="shared" si="14"/>
        <v>0</v>
      </c>
      <c r="AS60" s="343">
        <f t="shared" si="14"/>
        <v>1</v>
      </c>
      <c r="AT60" s="343">
        <f t="shared" si="14"/>
        <v>0</v>
      </c>
      <c r="AU60" s="343">
        <f t="shared" si="14"/>
        <v>0</v>
      </c>
      <c r="AV60" s="343">
        <f t="shared" si="14"/>
        <v>0</v>
      </c>
      <c r="AW60" s="244">
        <v>10</v>
      </c>
      <c r="AX60" s="244" t="s">
        <v>300</v>
      </c>
      <c r="AY60" s="244" t="s">
        <v>1653</v>
      </c>
      <c r="AZ60" s="244" t="s">
        <v>321</v>
      </c>
      <c r="BA60" s="244" t="s">
        <v>1654</v>
      </c>
      <c r="BB60" s="244"/>
    </row>
    <row r="61" spans="1:54" ht="15" hidden="1">
      <c r="A61" s="331" t="s">
        <v>476</v>
      </c>
      <c r="B61" s="295" t="str">
        <f t="shared" si="4"/>
        <v>Klugheit: 12 | Charisma: 15 | Körperkraft: 12</v>
      </c>
      <c r="C61" s="308" t="b">
        <v>0</v>
      </c>
      <c r="D61" s="308" t="b">
        <v>0</v>
      </c>
      <c r="E61" s="308" t="b">
        <f t="shared" si="5"/>
        <v>1</v>
      </c>
      <c r="F61" t="s">
        <v>477</v>
      </c>
      <c r="G61" t="s">
        <v>110</v>
      </c>
      <c r="H61" t="s">
        <v>368</v>
      </c>
      <c r="I61" t="s">
        <v>478</v>
      </c>
      <c r="J61" s="295">
        <f>_xlfn.XLOOKUP(G61,Rechner!$A$17:$A$25,Rechner!$B$17:$B$25)</f>
        <v>4</v>
      </c>
      <c r="K61" s="295" t="str">
        <f>_xlfn.XLOOKUP(J61-SUMIF($V$31:$AV$31,TRUE,V61:AV61)-IF(D61=TRUE,1,0),Rechner!$B$17:$B$25,Rechner!$A$17:$A$25,"A+")</f>
        <v>B</v>
      </c>
      <c r="L61" s="295" t="str">
        <f>_xlfn.XLOOKUP(S61,Eigenschaften!$C$20:$C$27,Eigenschaften!$B$20:$B$27)</f>
        <v>Klugheit</v>
      </c>
      <c r="M61" s="295">
        <f>_xlfn.XLOOKUP(L61,Eigenschaften!$B$20:$B$27,Eigenschaften!$H$20:$H$27,"NaN",1)</f>
        <v>12</v>
      </c>
      <c r="N61" s="295" t="str">
        <f>_xlfn.XLOOKUP(T61,Eigenschaften!$C$20:$C$27,Eigenschaften!$B$20:$B$27)</f>
        <v>Charisma</v>
      </c>
      <c r="O61" s="295">
        <f>_xlfn.XLOOKUP(N61,Eigenschaften!$B$20:$B$27,Eigenschaften!$H$20:$H$27,"NaN",1)</f>
        <v>15</v>
      </c>
      <c r="P61" s="295" t="str">
        <f>_xlfn.XLOOKUP(U61,Eigenschaften!$C$20:$C$27,Eigenschaften!$B$20:$B$27)</f>
        <v>Körperkraft</v>
      </c>
      <c r="Q61" s="295">
        <f>_xlfn.XLOOKUP(P61,Eigenschaften!$B$20:$B$27,Eigenschaften!$H$20:$H$27,"NaN",1)</f>
        <v>12</v>
      </c>
      <c r="R61" s="244"/>
      <c r="S61" s="244" t="str" cm="1">
        <f t="array" ref="S61:U61">_xlfn.TEXTSPLIT(F61,"/",,,,3)</f>
        <v>KL</v>
      </c>
      <c r="T61" s="244" t="str">
        <v>CH</v>
      </c>
      <c r="U61" s="244" t="str">
        <v>KK</v>
      </c>
      <c r="V61" s="244">
        <f t="shared" si="12"/>
        <v>0</v>
      </c>
      <c r="W61" s="244">
        <f t="shared" si="12"/>
        <v>0</v>
      </c>
      <c r="X61" s="244">
        <f t="shared" si="12"/>
        <v>0</v>
      </c>
      <c r="Y61" s="244">
        <f t="shared" si="12"/>
        <v>0</v>
      </c>
      <c r="Z61" s="244">
        <f t="shared" si="12"/>
        <v>0</v>
      </c>
      <c r="AA61" s="244">
        <f t="shared" si="12"/>
        <v>0</v>
      </c>
      <c r="AB61" s="244">
        <f t="shared" si="12"/>
        <v>0</v>
      </c>
      <c r="AC61" s="244">
        <f t="shared" si="12"/>
        <v>0</v>
      </c>
      <c r="AD61" s="244">
        <f t="shared" si="12"/>
        <v>0</v>
      </c>
      <c r="AE61" s="244">
        <f t="shared" si="12"/>
        <v>0</v>
      </c>
      <c r="AF61" s="244">
        <f t="shared" si="13"/>
        <v>1</v>
      </c>
      <c r="AG61" s="244">
        <f t="shared" si="13"/>
        <v>0</v>
      </c>
      <c r="AH61" s="244">
        <f t="shared" si="13"/>
        <v>0</v>
      </c>
      <c r="AI61" s="244">
        <f t="shared" si="13"/>
        <v>0</v>
      </c>
      <c r="AJ61" s="244">
        <f t="shared" si="13"/>
        <v>0</v>
      </c>
      <c r="AK61" s="244">
        <f t="shared" si="13"/>
        <v>0</v>
      </c>
      <c r="AL61" s="244">
        <f t="shared" si="13"/>
        <v>0</v>
      </c>
      <c r="AM61" s="244">
        <f t="shared" si="13"/>
        <v>0</v>
      </c>
      <c r="AN61" s="244">
        <f t="shared" si="13"/>
        <v>0</v>
      </c>
      <c r="AO61" s="244">
        <f t="shared" si="13"/>
        <v>0</v>
      </c>
      <c r="AP61" s="244">
        <f t="shared" si="14"/>
        <v>0</v>
      </c>
      <c r="AQ61" s="244">
        <f t="shared" si="14"/>
        <v>0</v>
      </c>
      <c r="AR61" s="244">
        <f t="shared" si="14"/>
        <v>0</v>
      </c>
      <c r="AS61" s="244">
        <f t="shared" si="14"/>
        <v>0</v>
      </c>
      <c r="AT61" s="244">
        <f t="shared" si="14"/>
        <v>0</v>
      </c>
      <c r="AU61" s="244">
        <f t="shared" si="14"/>
        <v>0</v>
      </c>
      <c r="AV61" s="244">
        <f t="shared" si="14"/>
        <v>0</v>
      </c>
      <c r="AW61" s="244"/>
      <c r="AX61" s="244"/>
      <c r="AY61" s="244"/>
      <c r="AZ61" s="244"/>
      <c r="BA61" s="244"/>
      <c r="BB61" s="244"/>
    </row>
    <row r="62" spans="1:54" ht="15">
      <c r="A62" s="331" t="s">
        <v>480</v>
      </c>
      <c r="B62" s="295" t="str">
        <f t="shared" si="4"/>
        <v>Intuition: 15 | Charisma: 15 | Charisma: 15</v>
      </c>
      <c r="C62" s="308" t="b">
        <v>1</v>
      </c>
      <c r="D62" s="308" t="b">
        <v>0</v>
      </c>
      <c r="E62" s="308" t="b">
        <f t="shared" si="5"/>
        <v>1</v>
      </c>
      <c r="F62" t="s">
        <v>481</v>
      </c>
      <c r="G62" t="s">
        <v>125</v>
      </c>
      <c r="H62" t="s">
        <v>368</v>
      </c>
      <c r="I62" t="s">
        <v>482</v>
      </c>
      <c r="J62" s="295">
        <f>_xlfn.XLOOKUP(G62,Rechner!$A$17:$A$25,Rechner!$B$17:$B$25)</f>
        <v>3</v>
      </c>
      <c r="K62" s="338" t="str">
        <f>_xlfn.XLOOKUP(J62-SUMIF($V$31:$AV$31,TRUE,V62:AV62)-IF(D62=TRUE,1,0),Rechner!$B$17:$B$25,Rechner!$A$17:$A$25,"A+")</f>
        <v>A</v>
      </c>
      <c r="L62" s="295" t="str">
        <f>_xlfn.XLOOKUP(S62,Eigenschaften!$C$20:$C$27,Eigenschaften!$B$20:$B$27)</f>
        <v>Intuition</v>
      </c>
      <c r="M62" s="295">
        <f>_xlfn.XLOOKUP(L62,Eigenschaften!$B$20:$B$27,Eigenschaften!$H$20:$H$27,"NaN",1)</f>
        <v>15</v>
      </c>
      <c r="N62" s="295" t="str">
        <f>_xlfn.XLOOKUP(T62,Eigenschaften!$C$20:$C$27,Eigenschaften!$B$20:$B$27)</f>
        <v>Charisma</v>
      </c>
      <c r="O62" s="295">
        <f>_xlfn.XLOOKUP(N62,Eigenschaften!$B$20:$B$27,Eigenschaften!$H$20:$H$27,"NaN",1)</f>
        <v>15</v>
      </c>
      <c r="P62" s="295" t="str">
        <f>_xlfn.XLOOKUP(U62,Eigenschaften!$C$20:$C$27,Eigenschaften!$B$20:$B$27)</f>
        <v>Charisma</v>
      </c>
      <c r="Q62" s="295">
        <f>_xlfn.XLOOKUP(P62,Eigenschaften!$B$20:$B$27,Eigenschaften!$H$20:$H$27,"NaN",1)</f>
        <v>15</v>
      </c>
      <c r="R62" s="244"/>
      <c r="S62" s="244" t="str" cm="1">
        <f t="array" ref="S62:U62">_xlfn.TEXTSPLIT(F62,"/",,,,3)</f>
        <v>IN</v>
      </c>
      <c r="T62" s="244" t="str">
        <v>CH</v>
      </c>
      <c r="U62" s="244" t="str">
        <v>CH</v>
      </c>
      <c r="V62" s="244">
        <f t="shared" si="12"/>
        <v>0</v>
      </c>
      <c r="W62" s="244">
        <f t="shared" si="12"/>
        <v>0</v>
      </c>
      <c r="X62" s="244">
        <f t="shared" si="12"/>
        <v>0</v>
      </c>
      <c r="Y62" s="244">
        <f t="shared" si="12"/>
        <v>0</v>
      </c>
      <c r="Z62" s="244">
        <f t="shared" si="12"/>
        <v>0</v>
      </c>
      <c r="AA62" s="244">
        <f t="shared" si="12"/>
        <v>0</v>
      </c>
      <c r="AB62" s="244">
        <f t="shared" si="12"/>
        <v>0</v>
      </c>
      <c r="AC62" s="244">
        <f t="shared" si="12"/>
        <v>0</v>
      </c>
      <c r="AD62" s="244">
        <f t="shared" si="12"/>
        <v>0</v>
      </c>
      <c r="AE62" s="244">
        <f t="shared" si="12"/>
        <v>0</v>
      </c>
      <c r="AF62" s="244">
        <f t="shared" si="13"/>
        <v>1</v>
      </c>
      <c r="AG62" s="244">
        <f t="shared" si="13"/>
        <v>0</v>
      </c>
      <c r="AH62" s="244">
        <f t="shared" si="13"/>
        <v>0</v>
      </c>
      <c r="AI62" s="244">
        <f t="shared" si="13"/>
        <v>0</v>
      </c>
      <c r="AJ62" s="244">
        <f t="shared" si="13"/>
        <v>0</v>
      </c>
      <c r="AK62" s="244">
        <f t="shared" si="13"/>
        <v>0</v>
      </c>
      <c r="AL62" s="244">
        <f t="shared" si="13"/>
        <v>0</v>
      </c>
      <c r="AM62" s="244">
        <f t="shared" si="13"/>
        <v>0</v>
      </c>
      <c r="AN62" s="244">
        <f t="shared" si="13"/>
        <v>0</v>
      </c>
      <c r="AO62" s="244">
        <f t="shared" si="13"/>
        <v>0</v>
      </c>
      <c r="AP62" s="244">
        <f t="shared" si="14"/>
        <v>0</v>
      </c>
      <c r="AQ62" s="244">
        <f t="shared" si="14"/>
        <v>0</v>
      </c>
      <c r="AR62" s="244">
        <f t="shared" si="14"/>
        <v>0</v>
      </c>
      <c r="AS62" s="244">
        <f t="shared" si="14"/>
        <v>0</v>
      </c>
      <c r="AT62" s="244">
        <f t="shared" si="14"/>
        <v>0</v>
      </c>
      <c r="AU62" s="244">
        <f t="shared" si="14"/>
        <v>0</v>
      </c>
      <c r="AV62" s="244">
        <f t="shared" si="14"/>
        <v>0</v>
      </c>
      <c r="AW62" s="244">
        <v>9</v>
      </c>
      <c r="AX62" s="244" t="s">
        <v>1615</v>
      </c>
      <c r="AY62" s="244" t="s">
        <v>1620</v>
      </c>
      <c r="AZ62" s="244" t="s">
        <v>1630</v>
      </c>
      <c r="BA62" s="244" t="s">
        <v>292</v>
      </c>
      <c r="BB62" s="244"/>
    </row>
    <row r="63" spans="1:54" ht="15" hidden="1">
      <c r="A63" s="331" t="s">
        <v>483</v>
      </c>
      <c r="B63" s="295" t="str">
        <f t="shared" si="4"/>
        <v>Mut: 13 | Körperkraft: 12 | Konstitution: 12</v>
      </c>
      <c r="C63" s="308" t="b">
        <v>0</v>
      </c>
      <c r="D63" s="308" t="b">
        <v>0</v>
      </c>
      <c r="E63" s="308" t="b">
        <f t="shared" si="5"/>
        <v>0</v>
      </c>
      <c r="F63" t="s">
        <v>484</v>
      </c>
      <c r="G63" t="s">
        <v>113</v>
      </c>
      <c r="H63" t="s">
        <v>369</v>
      </c>
      <c r="I63" t="s">
        <v>485</v>
      </c>
      <c r="J63" s="295">
        <f>_xlfn.XLOOKUP(G63,Rechner!$A$17:$A$25,Rechner!$B$17:$B$25)</f>
        <v>5</v>
      </c>
      <c r="K63" s="295" t="str">
        <f>_xlfn.XLOOKUP(J63-SUMIF($V$31:$AV$31,TRUE,V63:AV63)-IF(D63=TRUE,1,0),Rechner!$B$17:$B$25,Rechner!$A$17:$A$25,"A+")</f>
        <v>D</v>
      </c>
      <c r="L63" s="295" t="str">
        <f>_xlfn.XLOOKUP(S63,Eigenschaften!$C$20:$C$27,Eigenschaften!$B$20:$B$27)</f>
        <v>Mut</v>
      </c>
      <c r="M63" s="295">
        <f>_xlfn.XLOOKUP(L63,Eigenschaften!$B$20:$B$27,Eigenschaften!$H$20:$H$27,"NaN",1)</f>
        <v>13</v>
      </c>
      <c r="N63" s="295" t="str">
        <f>_xlfn.XLOOKUP(T63,Eigenschaften!$C$20:$C$27,Eigenschaften!$B$20:$B$27)</f>
        <v>Körperkraft</v>
      </c>
      <c r="O63" s="295">
        <f>_xlfn.XLOOKUP(N63,Eigenschaften!$B$20:$B$27,Eigenschaften!$H$20:$H$27,"NaN",1)</f>
        <v>12</v>
      </c>
      <c r="P63" s="295" t="str">
        <f>_xlfn.XLOOKUP(U63,Eigenschaften!$C$20:$C$27,Eigenschaften!$B$20:$B$27)</f>
        <v>Konstitution</v>
      </c>
      <c r="Q63" s="295">
        <f>_xlfn.XLOOKUP(P63,Eigenschaften!$B$20:$B$27,Eigenschaften!$H$20:$H$27,"NaN",1)</f>
        <v>12</v>
      </c>
      <c r="R63" s="244"/>
      <c r="S63" s="244" t="str" cm="1">
        <f t="array" ref="S63:U63">_xlfn.TEXTSPLIT(F63,"/",,,,3)</f>
        <v>MU</v>
      </c>
      <c r="T63" s="244" t="str">
        <v>KK</v>
      </c>
      <c r="U63" s="244" t="str">
        <v>KO</v>
      </c>
      <c r="V63" s="244">
        <f t="shared" si="12"/>
        <v>0</v>
      </c>
      <c r="W63" s="244">
        <f t="shared" si="12"/>
        <v>0</v>
      </c>
      <c r="X63" s="244">
        <f t="shared" si="12"/>
        <v>0</v>
      </c>
      <c r="Y63" s="244">
        <f t="shared" si="12"/>
        <v>0</v>
      </c>
      <c r="Z63" s="244">
        <f t="shared" si="12"/>
        <v>0</v>
      </c>
      <c r="AA63" s="244">
        <f t="shared" si="12"/>
        <v>0</v>
      </c>
      <c r="AB63" s="244">
        <f t="shared" si="12"/>
        <v>0</v>
      </c>
      <c r="AC63" s="244">
        <f t="shared" si="12"/>
        <v>0</v>
      </c>
      <c r="AD63" s="244">
        <f t="shared" si="12"/>
        <v>0</v>
      </c>
      <c r="AE63" s="244">
        <f t="shared" si="12"/>
        <v>0</v>
      </c>
      <c r="AF63" s="244">
        <f t="shared" si="13"/>
        <v>0</v>
      </c>
      <c r="AG63" s="244">
        <f t="shared" si="13"/>
        <v>1</v>
      </c>
      <c r="AH63" s="244">
        <f t="shared" si="13"/>
        <v>0</v>
      </c>
      <c r="AI63" s="244">
        <f t="shared" si="13"/>
        <v>0</v>
      </c>
      <c r="AJ63" s="244">
        <f t="shared" si="13"/>
        <v>0</v>
      </c>
      <c r="AK63" s="244">
        <f t="shared" si="13"/>
        <v>0</v>
      </c>
      <c r="AL63" s="244">
        <f t="shared" si="13"/>
        <v>0</v>
      </c>
      <c r="AM63" s="244">
        <f t="shared" si="13"/>
        <v>0</v>
      </c>
      <c r="AN63" s="244">
        <f t="shared" si="13"/>
        <v>0</v>
      </c>
      <c r="AO63" s="244">
        <f t="shared" si="13"/>
        <v>0</v>
      </c>
      <c r="AP63" s="244">
        <f t="shared" si="14"/>
        <v>0</v>
      </c>
      <c r="AQ63" s="244">
        <f t="shared" si="14"/>
        <v>0</v>
      </c>
      <c r="AR63" s="244">
        <f t="shared" si="14"/>
        <v>0</v>
      </c>
      <c r="AS63" s="244">
        <f t="shared" si="14"/>
        <v>0</v>
      </c>
      <c r="AT63" s="244">
        <f t="shared" si="14"/>
        <v>0</v>
      </c>
      <c r="AU63" s="244">
        <f t="shared" si="14"/>
        <v>0</v>
      </c>
      <c r="AV63" s="244">
        <f t="shared" si="14"/>
        <v>0</v>
      </c>
      <c r="AW63" s="244"/>
      <c r="AX63" s="244"/>
      <c r="AY63" s="244"/>
      <c r="AZ63" s="244"/>
      <c r="BA63" s="244"/>
      <c r="BB63" s="244"/>
    </row>
    <row r="64" spans="1:54" ht="15" hidden="1">
      <c r="A64" s="331" t="s">
        <v>486</v>
      </c>
      <c r="B64" s="295" t="str">
        <f t="shared" si="4"/>
        <v>Klugheit: 12 | Intuition: 15 | Charisma: 15</v>
      </c>
      <c r="C64" s="308" t="b">
        <v>0</v>
      </c>
      <c r="D64" s="308" t="b">
        <v>0</v>
      </c>
      <c r="E64" s="308" t="b">
        <f t="shared" si="5"/>
        <v>1</v>
      </c>
      <c r="F64" t="s">
        <v>307</v>
      </c>
      <c r="G64" t="s">
        <v>110</v>
      </c>
      <c r="H64" t="s">
        <v>437</v>
      </c>
      <c r="I64" t="s">
        <v>487</v>
      </c>
      <c r="J64" s="295">
        <f>_xlfn.XLOOKUP(G64,Rechner!$A$17:$A$25,Rechner!$B$17:$B$25)</f>
        <v>4</v>
      </c>
      <c r="K64" s="295" t="str">
        <f>_xlfn.XLOOKUP(J64-SUMIF($V$31:$AV$31,TRUE,V64:AV64)-IF(D64=TRUE,1,0),Rechner!$B$17:$B$25,Rechner!$A$17:$A$25,"A+")</f>
        <v>C</v>
      </c>
      <c r="L64" s="295" t="str">
        <f>_xlfn.XLOOKUP(S64,Eigenschaften!$C$20:$C$27,Eigenschaften!$B$20:$B$27)</f>
        <v>Klugheit</v>
      </c>
      <c r="M64" s="295">
        <f>_xlfn.XLOOKUP(L64,Eigenschaften!$B$20:$B$27,Eigenschaften!$H$20:$H$27,"NaN",1)</f>
        <v>12</v>
      </c>
      <c r="N64" s="295" t="str">
        <f>_xlfn.XLOOKUP(T64,Eigenschaften!$C$20:$C$27,Eigenschaften!$B$20:$B$27)</f>
        <v>Intuition</v>
      </c>
      <c r="O64" s="295">
        <f>_xlfn.XLOOKUP(N64,Eigenschaften!$B$20:$B$27,Eigenschaften!$H$20:$H$27,"NaN",1)</f>
        <v>15</v>
      </c>
      <c r="P64" s="295" t="str">
        <f>_xlfn.XLOOKUP(U64,Eigenschaften!$C$20:$C$27,Eigenschaften!$B$20:$B$27)</f>
        <v>Charisma</v>
      </c>
      <c r="Q64" s="295">
        <f>_xlfn.XLOOKUP(P64,Eigenschaften!$B$20:$B$27,Eigenschaften!$H$20:$H$27,"NaN",1)</f>
        <v>15</v>
      </c>
      <c r="R64" s="244"/>
      <c r="S64" s="244" t="str" cm="1">
        <f t="array" ref="S64:U64">_xlfn.TEXTSPLIT(F64,"/",,,,3)</f>
        <v>KL</v>
      </c>
      <c r="T64" s="244" t="str">
        <v>IN</v>
      </c>
      <c r="U64" s="244" t="str">
        <v>CH</v>
      </c>
      <c r="V64" s="244">
        <f t="shared" si="12"/>
        <v>1</v>
      </c>
      <c r="W64" s="244">
        <f t="shared" si="12"/>
        <v>0</v>
      </c>
      <c r="X64" s="244">
        <f t="shared" si="12"/>
        <v>0</v>
      </c>
      <c r="Y64" s="244">
        <f t="shared" si="12"/>
        <v>0</v>
      </c>
      <c r="Z64" s="244">
        <f t="shared" si="12"/>
        <v>0</v>
      </c>
      <c r="AA64" s="244">
        <f t="shared" si="12"/>
        <v>0</v>
      </c>
      <c r="AB64" s="244">
        <f t="shared" si="12"/>
        <v>0</v>
      </c>
      <c r="AC64" s="244">
        <f t="shared" si="12"/>
        <v>0</v>
      </c>
      <c r="AD64" s="244">
        <f t="shared" si="12"/>
        <v>0</v>
      </c>
      <c r="AE64" s="244">
        <f t="shared" si="12"/>
        <v>0</v>
      </c>
      <c r="AF64" s="244">
        <f t="shared" si="13"/>
        <v>0</v>
      </c>
      <c r="AG64" s="244">
        <f t="shared" si="13"/>
        <v>0</v>
      </c>
      <c r="AH64" s="244">
        <f t="shared" si="13"/>
        <v>0</v>
      </c>
      <c r="AI64" s="244">
        <f t="shared" si="13"/>
        <v>0</v>
      </c>
      <c r="AJ64" s="244">
        <f t="shared" si="13"/>
        <v>0</v>
      </c>
      <c r="AK64" s="244">
        <f t="shared" si="13"/>
        <v>0</v>
      </c>
      <c r="AL64" s="244">
        <f t="shared" si="13"/>
        <v>1</v>
      </c>
      <c r="AM64" s="244">
        <f t="shared" si="13"/>
        <v>0</v>
      </c>
      <c r="AN64" s="244">
        <f t="shared" si="13"/>
        <v>0</v>
      </c>
      <c r="AO64" s="244">
        <f t="shared" si="13"/>
        <v>0</v>
      </c>
      <c r="AP64" s="244">
        <f t="shared" si="14"/>
        <v>0</v>
      </c>
      <c r="AQ64" s="244">
        <f t="shared" si="14"/>
        <v>0</v>
      </c>
      <c r="AR64" s="244">
        <f t="shared" si="14"/>
        <v>0</v>
      </c>
      <c r="AS64" s="244">
        <f t="shared" si="14"/>
        <v>0</v>
      </c>
      <c r="AT64" s="244">
        <f t="shared" si="14"/>
        <v>0</v>
      </c>
      <c r="AU64" s="244">
        <f t="shared" si="14"/>
        <v>0</v>
      </c>
      <c r="AV64" s="244">
        <f t="shared" si="14"/>
        <v>0</v>
      </c>
      <c r="AW64" s="244"/>
      <c r="AX64" s="244"/>
      <c r="AY64" s="244"/>
      <c r="AZ64" s="244"/>
      <c r="BA64" s="244"/>
      <c r="BB64" s="244"/>
    </row>
    <row r="65" spans="1:54" ht="15" hidden="1">
      <c r="A65" s="331" t="s">
        <v>489</v>
      </c>
      <c r="B65" s="295" t="str">
        <f t="shared" si="4"/>
        <v>Mut: 13 | Intuition: 15 | Charisma: 15</v>
      </c>
      <c r="C65" s="308" t="b">
        <v>0</v>
      </c>
      <c r="D65" s="308" t="b">
        <v>0</v>
      </c>
      <c r="E65" s="308" t="b">
        <f t="shared" si="5"/>
        <v>1</v>
      </c>
      <c r="F65" t="s">
        <v>336</v>
      </c>
      <c r="G65" t="s">
        <v>110</v>
      </c>
      <c r="H65" t="s">
        <v>441</v>
      </c>
      <c r="I65" t="s">
        <v>490</v>
      </c>
      <c r="J65" s="295">
        <f>_xlfn.XLOOKUP(G65,Rechner!$A$17:$A$25,Rechner!$B$17:$B$25)</f>
        <v>4</v>
      </c>
      <c r="K65" s="295" t="str">
        <f>_xlfn.XLOOKUP(J65-SUMIF($V$31:$AV$31,TRUE,V65:AV65)-IF(D65=TRUE,1,0),Rechner!$B$17:$B$25,Rechner!$A$17:$A$25,"A+")</f>
        <v>C</v>
      </c>
      <c r="L65" s="295" t="str">
        <f>_xlfn.XLOOKUP(S65,Eigenschaften!$C$20:$C$27,Eigenschaften!$B$20:$B$27)</f>
        <v>Mut</v>
      </c>
      <c r="M65" s="295">
        <f>_xlfn.XLOOKUP(L65,Eigenschaften!$B$20:$B$27,Eigenschaften!$H$20:$H$27,"NaN",1)</f>
        <v>13</v>
      </c>
      <c r="N65" s="295" t="str">
        <f>_xlfn.XLOOKUP(T65,Eigenschaften!$C$20:$C$27,Eigenschaften!$B$20:$B$27)</f>
        <v>Intuition</v>
      </c>
      <c r="O65" s="295">
        <f>_xlfn.XLOOKUP(N65,Eigenschaften!$B$20:$B$27,Eigenschaften!$H$20:$H$27,"NaN",1)</f>
        <v>15</v>
      </c>
      <c r="P65" s="295" t="str">
        <f>_xlfn.XLOOKUP(U65,Eigenschaften!$C$20:$C$27,Eigenschaften!$B$20:$B$27)</f>
        <v>Charisma</v>
      </c>
      <c r="Q65" s="295">
        <f>_xlfn.XLOOKUP(P65,Eigenschaften!$B$20:$B$27,Eigenschaften!$H$20:$H$27,"NaN",1)</f>
        <v>15</v>
      </c>
      <c r="R65" s="244"/>
      <c r="S65" s="244" t="str" cm="1">
        <f t="array" ref="S65:U65">_xlfn.TEXTSPLIT(F65,"/",,,,3)</f>
        <v>MU</v>
      </c>
      <c r="T65" s="244" t="str">
        <v>IN</v>
      </c>
      <c r="U65" s="244" t="str">
        <v>CH</v>
      </c>
      <c r="V65" s="244">
        <f t="shared" si="12"/>
        <v>1</v>
      </c>
      <c r="W65" s="244">
        <f t="shared" si="12"/>
        <v>1</v>
      </c>
      <c r="X65" s="244">
        <f t="shared" si="12"/>
        <v>0</v>
      </c>
      <c r="Y65" s="244">
        <f t="shared" si="12"/>
        <v>0</v>
      </c>
      <c r="Z65" s="244">
        <f t="shared" si="12"/>
        <v>0</v>
      </c>
      <c r="AA65" s="244">
        <f t="shared" si="12"/>
        <v>0</v>
      </c>
      <c r="AB65" s="244">
        <f t="shared" si="12"/>
        <v>0</v>
      </c>
      <c r="AC65" s="244">
        <f t="shared" si="12"/>
        <v>0</v>
      </c>
      <c r="AD65" s="244">
        <f t="shared" si="12"/>
        <v>0</v>
      </c>
      <c r="AE65" s="244">
        <f t="shared" si="12"/>
        <v>0</v>
      </c>
      <c r="AF65" s="244">
        <f t="shared" si="13"/>
        <v>0</v>
      </c>
      <c r="AG65" s="244">
        <f t="shared" si="13"/>
        <v>0</v>
      </c>
      <c r="AH65" s="244">
        <f t="shared" si="13"/>
        <v>0</v>
      </c>
      <c r="AI65" s="244">
        <f t="shared" si="13"/>
        <v>0</v>
      </c>
      <c r="AJ65" s="244">
        <f t="shared" si="13"/>
        <v>0</v>
      </c>
      <c r="AK65" s="244">
        <f t="shared" si="13"/>
        <v>0</v>
      </c>
      <c r="AL65" s="244">
        <f t="shared" si="13"/>
        <v>0</v>
      </c>
      <c r="AM65" s="244">
        <f t="shared" si="13"/>
        <v>0</v>
      </c>
      <c r="AN65" s="244">
        <f t="shared" si="13"/>
        <v>0</v>
      </c>
      <c r="AO65" s="244">
        <f t="shared" si="13"/>
        <v>0</v>
      </c>
      <c r="AP65" s="244">
        <f t="shared" si="14"/>
        <v>0</v>
      </c>
      <c r="AQ65" s="244">
        <f t="shared" si="14"/>
        <v>0</v>
      </c>
      <c r="AR65" s="244">
        <f t="shared" si="14"/>
        <v>0</v>
      </c>
      <c r="AS65" s="244">
        <f t="shared" si="14"/>
        <v>0</v>
      </c>
      <c r="AT65" s="244">
        <f t="shared" si="14"/>
        <v>0</v>
      </c>
      <c r="AU65" s="244">
        <f t="shared" si="14"/>
        <v>0</v>
      </c>
      <c r="AV65" s="244">
        <f t="shared" si="14"/>
        <v>0</v>
      </c>
      <c r="AW65" s="244"/>
      <c r="AX65" s="244"/>
      <c r="AY65" s="244"/>
      <c r="AZ65" s="244"/>
      <c r="BA65" s="244"/>
      <c r="BB65" s="244"/>
    </row>
    <row r="66" spans="1:54" ht="15" hidden="1">
      <c r="A66" s="331" t="s">
        <v>492</v>
      </c>
      <c r="B66" s="295" t="str">
        <f t="shared" si="4"/>
        <v>Klugheit: 12 | Intuition: 15 | Fingerfertigkeit: 10</v>
      </c>
      <c r="C66" s="308" t="b">
        <v>0</v>
      </c>
      <c r="D66" s="308" t="b">
        <v>0</v>
      </c>
      <c r="E66" s="308" t="b">
        <f t="shared" si="5"/>
        <v>1</v>
      </c>
      <c r="F66" t="s">
        <v>277</v>
      </c>
      <c r="G66" t="s">
        <v>110</v>
      </c>
      <c r="H66" t="s">
        <v>444</v>
      </c>
      <c r="I66" t="s">
        <v>493</v>
      </c>
      <c r="J66" s="295">
        <f>_xlfn.XLOOKUP(G66,Rechner!$A$17:$A$25,Rechner!$B$17:$B$25)</f>
        <v>4</v>
      </c>
      <c r="K66" s="295" t="str">
        <f>_xlfn.XLOOKUP(J66-SUMIF($V$31:$AV$31,TRUE,V66:AV66)-IF(D66=TRUE,1,0),Rechner!$B$17:$B$25,Rechner!$A$17:$A$25,"A+")</f>
        <v>C</v>
      </c>
      <c r="L66" s="295" t="str">
        <f>_xlfn.XLOOKUP(S66,Eigenschaften!$C$20:$C$27,Eigenschaften!$B$20:$B$27)</f>
        <v>Klugheit</v>
      </c>
      <c r="M66" s="295">
        <f>_xlfn.XLOOKUP(L66,Eigenschaften!$B$20:$B$27,Eigenschaften!$H$20:$H$27,"NaN",1)</f>
        <v>12</v>
      </c>
      <c r="N66" s="295" t="str">
        <f>_xlfn.XLOOKUP(T66,Eigenschaften!$C$20:$C$27,Eigenschaften!$B$20:$B$27)</f>
        <v>Intuition</v>
      </c>
      <c r="O66" s="295">
        <f>_xlfn.XLOOKUP(N66,Eigenschaften!$B$20:$B$27,Eigenschaften!$H$20:$H$27,"NaN",1)</f>
        <v>15</v>
      </c>
      <c r="P66" s="295" t="str">
        <f>_xlfn.XLOOKUP(U66,Eigenschaften!$C$20:$C$27,Eigenschaften!$B$20:$B$27)</f>
        <v>Fingerfertigkeit</v>
      </c>
      <c r="Q66" s="295">
        <f>_xlfn.XLOOKUP(P66,Eigenschaften!$B$20:$B$27,Eigenschaften!$H$20:$H$27,"NaN",1)</f>
        <v>10</v>
      </c>
      <c r="R66" s="244"/>
      <c r="S66" s="244" t="str" cm="1">
        <f t="array" ref="S66:U66">_xlfn.TEXTSPLIT(F66,"/",,,,3)</f>
        <v>KL</v>
      </c>
      <c r="T66" s="244" t="str">
        <v>IN</v>
      </c>
      <c r="U66" s="244" t="str">
        <v>FF</v>
      </c>
      <c r="V66" s="244">
        <f t="shared" ref="V66:AE75" si="15">IF(ISNUMBER(SEARCH(V$32,$H66)),1,0)</f>
        <v>1</v>
      </c>
      <c r="W66" s="244">
        <f t="shared" si="15"/>
        <v>0</v>
      </c>
      <c r="X66" s="244">
        <f t="shared" si="15"/>
        <v>0</v>
      </c>
      <c r="Y66" s="244">
        <f t="shared" si="15"/>
        <v>0</v>
      </c>
      <c r="Z66" s="244">
        <f t="shared" si="15"/>
        <v>0</v>
      </c>
      <c r="AA66" s="244">
        <f t="shared" si="15"/>
        <v>0</v>
      </c>
      <c r="AB66" s="244">
        <f t="shared" si="15"/>
        <v>0</v>
      </c>
      <c r="AC66" s="244">
        <f t="shared" si="15"/>
        <v>0</v>
      </c>
      <c r="AD66" s="244">
        <f t="shared" si="15"/>
        <v>0</v>
      </c>
      <c r="AE66" s="244">
        <f t="shared" si="15"/>
        <v>0</v>
      </c>
      <c r="AF66" s="244">
        <f t="shared" ref="AF66:AO75" si="16">IF(ISNUMBER(SEARCH(AF$32,$H66)),1,0)</f>
        <v>0</v>
      </c>
      <c r="AG66" s="244">
        <f t="shared" si="16"/>
        <v>0</v>
      </c>
      <c r="AH66" s="244">
        <f t="shared" si="16"/>
        <v>0</v>
      </c>
      <c r="AI66" s="244">
        <f t="shared" si="16"/>
        <v>0</v>
      </c>
      <c r="AJ66" s="244">
        <f t="shared" si="16"/>
        <v>0</v>
      </c>
      <c r="AK66" s="244">
        <f t="shared" si="16"/>
        <v>0</v>
      </c>
      <c r="AL66" s="244">
        <f t="shared" si="16"/>
        <v>0</v>
      </c>
      <c r="AM66" s="244">
        <f t="shared" si="16"/>
        <v>0</v>
      </c>
      <c r="AN66" s="244">
        <f t="shared" si="16"/>
        <v>0</v>
      </c>
      <c r="AO66" s="244">
        <f t="shared" si="16"/>
        <v>0</v>
      </c>
      <c r="AP66" s="244">
        <f t="shared" ref="AP66:AV75" si="17">IF(ISNUMBER(SEARCH(AP$32,$H66)),1,0)</f>
        <v>0</v>
      </c>
      <c r="AQ66" s="244">
        <f t="shared" si="17"/>
        <v>0</v>
      </c>
      <c r="AR66" s="244">
        <f t="shared" si="17"/>
        <v>0</v>
      </c>
      <c r="AS66" s="244">
        <f t="shared" si="17"/>
        <v>1</v>
      </c>
      <c r="AT66" s="244">
        <f t="shared" si="17"/>
        <v>0</v>
      </c>
      <c r="AU66" s="244">
        <f t="shared" si="17"/>
        <v>0</v>
      </c>
      <c r="AV66" s="244">
        <f t="shared" si="17"/>
        <v>0</v>
      </c>
      <c r="AW66" s="244"/>
      <c r="AX66" s="244"/>
      <c r="AY66" s="244"/>
      <c r="AZ66" s="244"/>
      <c r="BA66" s="244"/>
      <c r="BB66" s="244"/>
    </row>
    <row r="67" spans="1:54" ht="15" hidden="1">
      <c r="A67" s="331" t="s">
        <v>494</v>
      </c>
      <c r="B67" s="295" t="str">
        <f t="shared" si="4"/>
        <v>Intuition: 15 | Charisma: 15 | Gewandheit: 14</v>
      </c>
      <c r="C67" s="308" t="b">
        <v>0</v>
      </c>
      <c r="D67" s="308" t="b">
        <v>0</v>
      </c>
      <c r="E67" s="308" t="b">
        <f t="shared" si="5"/>
        <v>0</v>
      </c>
      <c r="F67" t="s">
        <v>495</v>
      </c>
      <c r="G67" t="s">
        <v>110</v>
      </c>
      <c r="H67" t="s">
        <v>375</v>
      </c>
      <c r="I67" t="s">
        <v>496</v>
      </c>
      <c r="J67" s="295">
        <f>_xlfn.XLOOKUP(G67,Rechner!$A$17:$A$25,Rechner!$B$17:$B$25)</f>
        <v>4</v>
      </c>
      <c r="K67" s="295" t="str">
        <f>_xlfn.XLOOKUP(J67-SUMIF($V$31:$AV$31,TRUE,V67:AV67)-IF(D67=TRUE,1,0),Rechner!$B$17:$B$25,Rechner!$A$17:$A$25,"A+")</f>
        <v>C</v>
      </c>
      <c r="L67" s="295" t="str">
        <f>_xlfn.XLOOKUP(S67,Eigenschaften!$C$20:$C$27,Eigenschaften!$B$20:$B$27)</f>
        <v>Intuition</v>
      </c>
      <c r="M67" s="295">
        <f>_xlfn.XLOOKUP(L67,Eigenschaften!$B$20:$B$27,Eigenschaften!$H$20:$H$27,"NaN",1)</f>
        <v>15</v>
      </c>
      <c r="N67" s="295" t="str">
        <f>_xlfn.XLOOKUP(T67,Eigenschaften!$C$20:$C$27,Eigenschaften!$B$20:$B$27)</f>
        <v>Charisma</v>
      </c>
      <c r="O67" s="295">
        <f>_xlfn.XLOOKUP(N67,Eigenschaften!$B$20:$B$27,Eigenschaften!$H$20:$H$27,"NaN",1)</f>
        <v>15</v>
      </c>
      <c r="P67" s="295" t="str">
        <f>_xlfn.XLOOKUP(U67,Eigenschaften!$C$20:$C$27,Eigenschaften!$B$20:$B$27)</f>
        <v>Gewandheit</v>
      </c>
      <c r="Q67" s="295">
        <f>_xlfn.XLOOKUP(P67,Eigenschaften!$B$20:$B$27,Eigenschaften!$H$20:$H$27,"NaN",1)</f>
        <v>14</v>
      </c>
      <c r="R67" s="244"/>
      <c r="S67" s="244" t="str" cm="1">
        <f t="array" ref="S67:U67">_xlfn.TEXTSPLIT(F67,"/",,,,3)</f>
        <v>IN</v>
      </c>
      <c r="T67" s="244" t="str">
        <v>CH</v>
      </c>
      <c r="U67" s="244" t="str">
        <v>GE</v>
      </c>
      <c r="V67" s="244">
        <f t="shared" si="15"/>
        <v>0</v>
      </c>
      <c r="W67" s="244">
        <f t="shared" si="15"/>
        <v>0</v>
      </c>
      <c r="X67" s="244">
        <f t="shared" si="15"/>
        <v>0</v>
      </c>
      <c r="Y67" s="244">
        <f t="shared" si="15"/>
        <v>0</v>
      </c>
      <c r="Z67" s="244">
        <f t="shared" si="15"/>
        <v>0</v>
      </c>
      <c r="AA67" s="244">
        <f t="shared" si="15"/>
        <v>0</v>
      </c>
      <c r="AB67" s="244">
        <f t="shared" si="15"/>
        <v>0</v>
      </c>
      <c r="AC67" s="244">
        <f t="shared" si="15"/>
        <v>0</v>
      </c>
      <c r="AD67" s="244">
        <f t="shared" si="15"/>
        <v>0</v>
      </c>
      <c r="AE67" s="244">
        <f t="shared" si="15"/>
        <v>0</v>
      </c>
      <c r="AF67" s="244">
        <f t="shared" si="16"/>
        <v>0</v>
      </c>
      <c r="AG67" s="244">
        <f t="shared" si="16"/>
        <v>0</v>
      </c>
      <c r="AH67" s="244">
        <f t="shared" si="16"/>
        <v>0</v>
      </c>
      <c r="AI67" s="244">
        <f t="shared" si="16"/>
        <v>0</v>
      </c>
      <c r="AJ67" s="244">
        <f t="shared" si="16"/>
        <v>0</v>
      </c>
      <c r="AK67" s="244">
        <f t="shared" si="16"/>
        <v>0</v>
      </c>
      <c r="AL67" s="244">
        <f t="shared" si="16"/>
        <v>0</v>
      </c>
      <c r="AM67" s="244">
        <f t="shared" si="16"/>
        <v>1</v>
      </c>
      <c r="AN67" s="244">
        <f t="shared" si="16"/>
        <v>0</v>
      </c>
      <c r="AO67" s="244">
        <f t="shared" si="16"/>
        <v>0</v>
      </c>
      <c r="AP67" s="244">
        <f t="shared" si="17"/>
        <v>0</v>
      </c>
      <c r="AQ67" s="244">
        <f t="shared" si="17"/>
        <v>0</v>
      </c>
      <c r="AR67" s="244">
        <f t="shared" si="17"/>
        <v>0</v>
      </c>
      <c r="AS67" s="244">
        <f t="shared" si="17"/>
        <v>0</v>
      </c>
      <c r="AT67" s="244">
        <f t="shared" si="17"/>
        <v>0</v>
      </c>
      <c r="AU67" s="244">
        <f t="shared" si="17"/>
        <v>0</v>
      </c>
      <c r="AV67" s="244">
        <f t="shared" si="17"/>
        <v>0</v>
      </c>
      <c r="AW67" s="244"/>
      <c r="AX67" s="244"/>
      <c r="AY67" s="244"/>
      <c r="AZ67" s="244"/>
      <c r="BA67" s="244"/>
      <c r="BB67" s="244"/>
    </row>
    <row r="68" spans="1:54" ht="15" hidden="1">
      <c r="A68" s="331" t="s">
        <v>498</v>
      </c>
      <c r="B68" s="295" t="str">
        <f t="shared" si="4"/>
        <v>Klugheit: 12 | Intuition: 15 | Charisma: 15</v>
      </c>
      <c r="C68" s="308" t="b">
        <v>0</v>
      </c>
      <c r="D68" s="308" t="b">
        <v>0</v>
      </c>
      <c r="E68" s="308" t="b">
        <f t="shared" si="5"/>
        <v>1</v>
      </c>
      <c r="F68" t="s">
        <v>307</v>
      </c>
      <c r="G68" t="s">
        <v>110</v>
      </c>
      <c r="H68" t="s">
        <v>372</v>
      </c>
      <c r="I68" t="s">
        <v>499</v>
      </c>
      <c r="J68" s="295">
        <f>_xlfn.XLOOKUP(G68,Rechner!$A$17:$A$25,Rechner!$B$17:$B$25)</f>
        <v>4</v>
      </c>
      <c r="K68" s="295" t="str">
        <f>_xlfn.XLOOKUP(J68-SUMIF($V$31:$AV$31,TRUE,V68:AV68)-IF(D68=TRUE,1,0),Rechner!$B$17:$B$25,Rechner!$A$17:$A$25,"A+")</f>
        <v>C</v>
      </c>
      <c r="L68" s="295" t="str">
        <f>_xlfn.XLOOKUP(S68,Eigenschaften!$C$20:$C$27,Eigenschaften!$B$20:$B$27)</f>
        <v>Klugheit</v>
      </c>
      <c r="M68" s="295">
        <f>_xlfn.XLOOKUP(L68,Eigenschaften!$B$20:$B$27,Eigenschaften!$H$20:$H$27,"NaN",1)</f>
        <v>12</v>
      </c>
      <c r="N68" s="295" t="str">
        <f>_xlfn.XLOOKUP(T68,Eigenschaften!$C$20:$C$27,Eigenschaften!$B$20:$B$27)</f>
        <v>Intuition</v>
      </c>
      <c r="O68" s="295">
        <f>_xlfn.XLOOKUP(N68,Eigenschaften!$B$20:$B$27,Eigenschaften!$H$20:$H$27,"NaN",1)</f>
        <v>15</v>
      </c>
      <c r="P68" s="295" t="str">
        <f>_xlfn.XLOOKUP(U68,Eigenschaften!$C$20:$C$27,Eigenschaften!$B$20:$B$27)</f>
        <v>Charisma</v>
      </c>
      <c r="Q68" s="295">
        <f>_xlfn.XLOOKUP(P68,Eigenschaften!$B$20:$B$27,Eigenschaften!$H$20:$H$27,"NaN",1)</f>
        <v>15</v>
      </c>
      <c r="R68" s="244"/>
      <c r="S68" s="244" t="str" cm="1">
        <f t="array" ref="S68:U68">_xlfn.TEXTSPLIT(F68,"/",,,,3)</f>
        <v>KL</v>
      </c>
      <c r="T68" s="244" t="str">
        <v>IN</v>
      </c>
      <c r="U68" s="244" t="str">
        <v>CH</v>
      </c>
      <c r="V68" s="244">
        <f t="shared" si="15"/>
        <v>0</v>
      </c>
      <c r="W68" s="244">
        <f t="shared" si="15"/>
        <v>0</v>
      </c>
      <c r="X68" s="244">
        <f t="shared" si="15"/>
        <v>0</v>
      </c>
      <c r="Y68" s="244">
        <f t="shared" si="15"/>
        <v>0</v>
      </c>
      <c r="Z68" s="244">
        <f t="shared" si="15"/>
        <v>0</v>
      </c>
      <c r="AA68" s="244">
        <f t="shared" si="15"/>
        <v>0</v>
      </c>
      <c r="AB68" s="244">
        <f t="shared" si="15"/>
        <v>0</v>
      </c>
      <c r="AC68" s="244">
        <f t="shared" si="15"/>
        <v>0</v>
      </c>
      <c r="AD68" s="244">
        <f t="shared" si="15"/>
        <v>0</v>
      </c>
      <c r="AE68" s="244">
        <f t="shared" si="15"/>
        <v>0</v>
      </c>
      <c r="AF68" s="244">
        <f t="shared" si="16"/>
        <v>0</v>
      </c>
      <c r="AG68" s="244">
        <f t="shared" si="16"/>
        <v>0</v>
      </c>
      <c r="AH68" s="244">
        <f t="shared" si="16"/>
        <v>0</v>
      </c>
      <c r="AI68" s="244">
        <f t="shared" si="16"/>
        <v>0</v>
      </c>
      <c r="AJ68" s="244">
        <f t="shared" si="16"/>
        <v>1</v>
      </c>
      <c r="AK68" s="244">
        <f t="shared" si="16"/>
        <v>0</v>
      </c>
      <c r="AL68" s="244">
        <f t="shared" si="16"/>
        <v>0</v>
      </c>
      <c r="AM68" s="244">
        <f t="shared" si="16"/>
        <v>0</v>
      </c>
      <c r="AN68" s="244">
        <f t="shared" si="16"/>
        <v>0</v>
      </c>
      <c r="AO68" s="244">
        <f t="shared" si="16"/>
        <v>0</v>
      </c>
      <c r="AP68" s="244">
        <f t="shared" si="17"/>
        <v>0</v>
      </c>
      <c r="AQ68" s="244">
        <f t="shared" si="17"/>
        <v>0</v>
      </c>
      <c r="AR68" s="244">
        <f t="shared" si="17"/>
        <v>0</v>
      </c>
      <c r="AS68" s="244">
        <f t="shared" si="17"/>
        <v>0</v>
      </c>
      <c r="AT68" s="244">
        <f t="shared" si="17"/>
        <v>0</v>
      </c>
      <c r="AU68" s="244">
        <f t="shared" si="17"/>
        <v>0</v>
      </c>
      <c r="AV68" s="244">
        <f t="shared" si="17"/>
        <v>0</v>
      </c>
      <c r="AW68" s="244"/>
      <c r="AX68" s="244"/>
      <c r="AY68" s="244"/>
      <c r="AZ68" s="244"/>
      <c r="BA68" s="244"/>
      <c r="BB68" s="244"/>
    </row>
    <row r="69" spans="1:54" ht="15" hidden="1">
      <c r="A69" s="331" t="s">
        <v>501</v>
      </c>
      <c r="B69" s="295" t="str">
        <f t="shared" si="4"/>
        <v>Mut: 13 | Intuition: 15 | Charisma: 15</v>
      </c>
      <c r="C69" s="308" t="b">
        <v>0</v>
      </c>
      <c r="D69" s="308" t="b">
        <v>0</v>
      </c>
      <c r="E69" s="308" t="b">
        <f t="shared" si="5"/>
        <v>0</v>
      </c>
      <c r="F69" t="s">
        <v>336</v>
      </c>
      <c r="G69" t="s">
        <v>429</v>
      </c>
      <c r="H69" t="s">
        <v>502</v>
      </c>
      <c r="I69" t="s">
        <v>503</v>
      </c>
      <c r="J69" s="295">
        <f>_xlfn.XLOOKUP(G69,Rechner!$A$17:$A$25,Rechner!$B$17:$B$25)</f>
        <v>6</v>
      </c>
      <c r="K69" s="295" t="str">
        <f>_xlfn.XLOOKUP(J69-SUMIF($V$31:$AV$31,TRUE,V69:AV69)-IF(D69=TRUE,1,0),Rechner!$B$17:$B$25,Rechner!$A$17:$A$25,"A+")</f>
        <v>E</v>
      </c>
      <c r="L69" s="295" t="str">
        <f>_xlfn.XLOOKUP(S69,Eigenschaften!$C$20:$C$27,Eigenschaften!$B$20:$B$27)</f>
        <v>Mut</v>
      </c>
      <c r="M69" s="295">
        <f>_xlfn.XLOOKUP(L69,Eigenschaften!$B$20:$B$27,Eigenschaften!$H$20:$H$27,"NaN",1)</f>
        <v>13</v>
      </c>
      <c r="N69" s="295" t="str">
        <f>_xlfn.XLOOKUP(T69,Eigenschaften!$C$20:$C$27,Eigenschaften!$B$20:$B$27)</f>
        <v>Intuition</v>
      </c>
      <c r="O69" s="295">
        <f>_xlfn.XLOOKUP(N69,Eigenschaften!$B$20:$B$27,Eigenschaften!$H$20:$H$27,"NaN",1)</f>
        <v>15</v>
      </c>
      <c r="P69" s="295" t="str">
        <f>_xlfn.XLOOKUP(U69,Eigenschaften!$C$20:$C$27,Eigenschaften!$B$20:$B$27)</f>
        <v>Charisma</v>
      </c>
      <c r="Q69" s="295">
        <f>_xlfn.XLOOKUP(P69,Eigenschaften!$B$20:$B$27,Eigenschaften!$H$20:$H$27,"NaN",1)</f>
        <v>15</v>
      </c>
      <c r="R69" s="244"/>
      <c r="S69" s="244" t="str" cm="1">
        <f t="array" ref="S69:U69">_xlfn.TEXTSPLIT(F69,"/",,,,3)</f>
        <v>MU</v>
      </c>
      <c r="T69" s="244" t="str">
        <v>IN</v>
      </c>
      <c r="U69" s="244" t="str">
        <v>CH</v>
      </c>
      <c r="V69" s="244">
        <f t="shared" si="15"/>
        <v>0</v>
      </c>
      <c r="W69" s="244">
        <f t="shared" si="15"/>
        <v>0</v>
      </c>
      <c r="X69" s="244">
        <f t="shared" si="15"/>
        <v>0</v>
      </c>
      <c r="Y69" s="244">
        <f t="shared" si="15"/>
        <v>0</v>
      </c>
      <c r="Z69" s="244">
        <f t="shared" si="15"/>
        <v>0</v>
      </c>
      <c r="AA69" s="244">
        <f t="shared" si="15"/>
        <v>0</v>
      </c>
      <c r="AB69" s="244">
        <f t="shared" si="15"/>
        <v>0</v>
      </c>
      <c r="AC69" s="244">
        <f t="shared" si="15"/>
        <v>0</v>
      </c>
      <c r="AD69" s="244">
        <f t="shared" si="15"/>
        <v>0</v>
      </c>
      <c r="AE69" s="244">
        <f t="shared" si="15"/>
        <v>0</v>
      </c>
      <c r="AF69" s="244">
        <f t="shared" si="16"/>
        <v>0</v>
      </c>
      <c r="AG69" s="244">
        <f t="shared" si="16"/>
        <v>0</v>
      </c>
      <c r="AH69" s="244">
        <f t="shared" si="16"/>
        <v>0</v>
      </c>
      <c r="AI69" s="244">
        <f t="shared" si="16"/>
        <v>0</v>
      </c>
      <c r="AJ69" s="244">
        <f t="shared" si="16"/>
        <v>1</v>
      </c>
      <c r="AK69" s="244">
        <f t="shared" si="16"/>
        <v>0</v>
      </c>
      <c r="AL69" s="244">
        <f t="shared" si="16"/>
        <v>0</v>
      </c>
      <c r="AM69" s="244">
        <f t="shared" si="16"/>
        <v>0</v>
      </c>
      <c r="AN69" s="244">
        <f t="shared" si="16"/>
        <v>0</v>
      </c>
      <c r="AO69" s="244">
        <f t="shared" si="16"/>
        <v>0</v>
      </c>
      <c r="AP69" s="244">
        <f t="shared" si="17"/>
        <v>0</v>
      </c>
      <c r="AQ69" s="244">
        <f t="shared" si="17"/>
        <v>0</v>
      </c>
      <c r="AR69" s="244">
        <f t="shared" si="17"/>
        <v>0</v>
      </c>
      <c r="AS69" s="244">
        <f t="shared" si="17"/>
        <v>0</v>
      </c>
      <c r="AT69" s="244">
        <f t="shared" si="17"/>
        <v>0</v>
      </c>
      <c r="AU69" s="244">
        <f t="shared" si="17"/>
        <v>0</v>
      </c>
      <c r="AV69" s="244">
        <f t="shared" si="17"/>
        <v>1</v>
      </c>
      <c r="AW69" s="244"/>
      <c r="AX69" s="244"/>
      <c r="AY69" s="244"/>
      <c r="AZ69" s="244"/>
      <c r="BA69" s="244"/>
      <c r="BB69" s="244"/>
    </row>
    <row r="70" spans="1:54" ht="15" hidden="1">
      <c r="A70" s="331" t="s">
        <v>504</v>
      </c>
      <c r="B70" s="295" t="str">
        <f t="shared" si="4"/>
        <v>Klugheit: 12 | Klugheit: 12 | Charisma: 15</v>
      </c>
      <c r="C70" s="308" t="b">
        <v>0</v>
      </c>
      <c r="D70" s="308" t="b">
        <v>0</v>
      </c>
      <c r="E70" s="308" t="b">
        <f t="shared" si="5"/>
        <v>1</v>
      </c>
      <c r="F70" t="s">
        <v>291</v>
      </c>
      <c r="G70" t="s">
        <v>113</v>
      </c>
      <c r="H70" t="s">
        <v>372</v>
      </c>
      <c r="I70" t="s">
        <v>505</v>
      </c>
      <c r="J70" s="295">
        <f>_xlfn.XLOOKUP(G70,Rechner!$A$17:$A$25,Rechner!$B$17:$B$25)</f>
        <v>5</v>
      </c>
      <c r="K70" s="295" t="str">
        <f>_xlfn.XLOOKUP(J70-SUMIF($V$31:$AV$31,TRUE,V70:AV70)-IF(D70=TRUE,1,0),Rechner!$B$17:$B$25,Rechner!$A$17:$A$25,"A+")</f>
        <v>D</v>
      </c>
      <c r="L70" s="295" t="str">
        <f>_xlfn.XLOOKUP(S70,Eigenschaften!$C$20:$C$27,Eigenschaften!$B$20:$B$27)</f>
        <v>Klugheit</v>
      </c>
      <c r="M70" s="295">
        <f>_xlfn.XLOOKUP(L70,Eigenschaften!$B$20:$B$27,Eigenschaften!$H$20:$H$27,"NaN",1)</f>
        <v>12</v>
      </c>
      <c r="N70" s="295" t="str">
        <f>_xlfn.XLOOKUP(T70,Eigenschaften!$C$20:$C$27,Eigenschaften!$B$20:$B$27)</f>
        <v>Klugheit</v>
      </c>
      <c r="O70" s="295">
        <f>_xlfn.XLOOKUP(N70,Eigenschaften!$B$20:$B$27,Eigenschaften!$H$20:$H$27,"NaN",1)</f>
        <v>12</v>
      </c>
      <c r="P70" s="295" t="str">
        <f>_xlfn.XLOOKUP(U70,Eigenschaften!$C$20:$C$27,Eigenschaften!$B$20:$B$27)</f>
        <v>Charisma</v>
      </c>
      <c r="Q70" s="295">
        <f>_xlfn.XLOOKUP(P70,Eigenschaften!$B$20:$B$27,Eigenschaften!$H$20:$H$27,"NaN",1)</f>
        <v>15</v>
      </c>
      <c r="R70" s="244"/>
      <c r="S70" s="244" t="str" cm="1">
        <f t="array" ref="S70:U70">_xlfn.TEXTSPLIT(F70,"/",,,,3)</f>
        <v>KL</v>
      </c>
      <c r="T70" s="244" t="str">
        <v>KL</v>
      </c>
      <c r="U70" s="244" t="str">
        <v>CH</v>
      </c>
      <c r="V70" s="244">
        <f t="shared" si="15"/>
        <v>0</v>
      </c>
      <c r="W70" s="244">
        <f t="shared" si="15"/>
        <v>0</v>
      </c>
      <c r="X70" s="244">
        <f t="shared" si="15"/>
        <v>0</v>
      </c>
      <c r="Y70" s="244">
        <f t="shared" si="15"/>
        <v>0</v>
      </c>
      <c r="Z70" s="244">
        <f t="shared" si="15"/>
        <v>0</v>
      </c>
      <c r="AA70" s="244">
        <f t="shared" si="15"/>
        <v>0</v>
      </c>
      <c r="AB70" s="244">
        <f t="shared" si="15"/>
        <v>0</v>
      </c>
      <c r="AC70" s="244">
        <f t="shared" si="15"/>
        <v>0</v>
      </c>
      <c r="AD70" s="244">
        <f t="shared" si="15"/>
        <v>0</v>
      </c>
      <c r="AE70" s="244">
        <f t="shared" si="15"/>
        <v>0</v>
      </c>
      <c r="AF70" s="244">
        <f t="shared" si="16"/>
        <v>0</v>
      </c>
      <c r="AG70" s="244">
        <f t="shared" si="16"/>
        <v>0</v>
      </c>
      <c r="AH70" s="244">
        <f t="shared" si="16"/>
        <v>0</v>
      </c>
      <c r="AI70" s="244">
        <f t="shared" si="16"/>
        <v>0</v>
      </c>
      <c r="AJ70" s="244">
        <f t="shared" si="16"/>
        <v>1</v>
      </c>
      <c r="AK70" s="244">
        <f t="shared" si="16"/>
        <v>0</v>
      </c>
      <c r="AL70" s="244">
        <f t="shared" si="16"/>
        <v>0</v>
      </c>
      <c r="AM70" s="244">
        <f t="shared" si="16"/>
        <v>0</v>
      </c>
      <c r="AN70" s="244">
        <f t="shared" si="16"/>
        <v>0</v>
      </c>
      <c r="AO70" s="244">
        <f t="shared" si="16"/>
        <v>0</v>
      </c>
      <c r="AP70" s="244">
        <f t="shared" si="17"/>
        <v>0</v>
      </c>
      <c r="AQ70" s="244">
        <f t="shared" si="17"/>
        <v>0</v>
      </c>
      <c r="AR70" s="244">
        <f t="shared" si="17"/>
        <v>0</v>
      </c>
      <c r="AS70" s="244">
        <f t="shared" si="17"/>
        <v>0</v>
      </c>
      <c r="AT70" s="244">
        <f t="shared" si="17"/>
        <v>0</v>
      </c>
      <c r="AU70" s="244">
        <f t="shared" si="17"/>
        <v>0</v>
      </c>
      <c r="AV70" s="244">
        <f t="shared" si="17"/>
        <v>0</v>
      </c>
      <c r="AW70" s="244"/>
      <c r="AX70" s="244"/>
      <c r="AY70" s="244"/>
      <c r="AZ70" s="244"/>
      <c r="BA70" s="244"/>
      <c r="BB70" s="244"/>
    </row>
    <row r="71" spans="1:54" ht="15" hidden="1">
      <c r="A71" s="331" t="s">
        <v>506</v>
      </c>
      <c r="B71" s="295" t="str">
        <f t="shared" si="4"/>
        <v>Klugheit: 12 | Klugheit: 12 | Intuition: 15</v>
      </c>
      <c r="C71" s="308" t="b">
        <v>0</v>
      </c>
      <c r="D71" s="308" t="b">
        <v>0</v>
      </c>
      <c r="E71" s="308" t="b">
        <f t="shared" si="5"/>
        <v>0</v>
      </c>
      <c r="F71" t="s">
        <v>421</v>
      </c>
      <c r="G71" t="s">
        <v>113</v>
      </c>
      <c r="H71" t="s">
        <v>507</v>
      </c>
      <c r="I71" t="s">
        <v>508</v>
      </c>
      <c r="J71" s="295">
        <f>_xlfn.XLOOKUP(G71,Rechner!$A$17:$A$25,Rechner!$B$17:$B$25)</f>
        <v>5</v>
      </c>
      <c r="K71" s="295" t="str">
        <f>_xlfn.XLOOKUP(J71-SUMIF($V$31:$AV$31,TRUE,V71:AV71)-IF(D71=TRUE,1,0),Rechner!$B$17:$B$25,Rechner!$A$17:$A$25,"A+")</f>
        <v>D</v>
      </c>
      <c r="L71" s="295" t="str">
        <f>_xlfn.XLOOKUP(S71,Eigenschaften!$C$20:$C$27,Eigenschaften!$B$20:$B$27)</f>
        <v>Klugheit</v>
      </c>
      <c r="M71" s="295">
        <f>_xlfn.XLOOKUP(L71,Eigenschaften!$B$20:$B$27,Eigenschaften!$H$20:$H$27,"NaN",1)</f>
        <v>12</v>
      </c>
      <c r="N71" s="295" t="str">
        <f>_xlfn.XLOOKUP(T71,Eigenschaften!$C$20:$C$27,Eigenschaften!$B$20:$B$27)</f>
        <v>Klugheit</v>
      </c>
      <c r="O71" s="295">
        <f>_xlfn.XLOOKUP(N71,Eigenschaften!$B$20:$B$27,Eigenschaften!$H$20:$H$27,"NaN",1)</f>
        <v>12</v>
      </c>
      <c r="P71" s="295" t="str">
        <f>_xlfn.XLOOKUP(U71,Eigenschaften!$C$20:$C$27,Eigenschaften!$B$20:$B$27)</f>
        <v>Intuition</v>
      </c>
      <c r="Q71" s="295">
        <f>_xlfn.XLOOKUP(P71,Eigenschaften!$B$20:$B$27,Eigenschaften!$H$20:$H$27,"NaN",1)</f>
        <v>15</v>
      </c>
      <c r="R71" s="244"/>
      <c r="S71" s="244" t="str" cm="1">
        <f t="array" ref="S71:U71">_xlfn.TEXTSPLIT(F71,"/",,,,3)</f>
        <v>KL</v>
      </c>
      <c r="T71" s="244" t="str">
        <v>KL</v>
      </c>
      <c r="U71" s="244" t="str">
        <v>IN</v>
      </c>
      <c r="V71" s="244">
        <f t="shared" si="15"/>
        <v>0</v>
      </c>
      <c r="W71" s="244">
        <f t="shared" si="15"/>
        <v>0</v>
      </c>
      <c r="X71" s="244">
        <f t="shared" si="15"/>
        <v>0</v>
      </c>
      <c r="Y71" s="244">
        <f t="shared" si="15"/>
        <v>0</v>
      </c>
      <c r="Z71" s="244">
        <f t="shared" si="15"/>
        <v>0</v>
      </c>
      <c r="AA71" s="244">
        <f t="shared" si="15"/>
        <v>0</v>
      </c>
      <c r="AB71" s="244">
        <f t="shared" si="15"/>
        <v>0</v>
      </c>
      <c r="AC71" s="244">
        <f t="shared" si="15"/>
        <v>0</v>
      </c>
      <c r="AD71" s="244">
        <f t="shared" si="15"/>
        <v>0</v>
      </c>
      <c r="AE71" s="244">
        <f t="shared" si="15"/>
        <v>0</v>
      </c>
      <c r="AF71" s="244">
        <f t="shared" si="16"/>
        <v>0</v>
      </c>
      <c r="AG71" s="244">
        <f t="shared" si="16"/>
        <v>0</v>
      </c>
      <c r="AH71" s="244">
        <f t="shared" si="16"/>
        <v>0</v>
      </c>
      <c r="AI71" s="244">
        <f t="shared" si="16"/>
        <v>0</v>
      </c>
      <c r="AJ71" s="244">
        <f t="shared" si="16"/>
        <v>1</v>
      </c>
      <c r="AK71" s="244">
        <f t="shared" si="16"/>
        <v>0</v>
      </c>
      <c r="AL71" s="244">
        <f t="shared" si="16"/>
        <v>0</v>
      </c>
      <c r="AM71" s="244">
        <f t="shared" si="16"/>
        <v>0</v>
      </c>
      <c r="AN71" s="244">
        <f t="shared" si="16"/>
        <v>0</v>
      </c>
      <c r="AO71" s="244">
        <f t="shared" si="16"/>
        <v>0</v>
      </c>
      <c r="AP71" s="244">
        <f t="shared" si="17"/>
        <v>0</v>
      </c>
      <c r="AQ71" s="244">
        <f t="shared" si="17"/>
        <v>0</v>
      </c>
      <c r="AR71" s="244">
        <f t="shared" si="17"/>
        <v>0</v>
      </c>
      <c r="AS71" s="244">
        <f t="shared" si="17"/>
        <v>0</v>
      </c>
      <c r="AT71" s="244">
        <f t="shared" si="17"/>
        <v>1</v>
      </c>
      <c r="AU71" s="244">
        <f t="shared" si="17"/>
        <v>0</v>
      </c>
      <c r="AV71" s="244">
        <f t="shared" si="17"/>
        <v>0</v>
      </c>
      <c r="AW71" s="244"/>
      <c r="AX71" s="244"/>
      <c r="AY71" s="244"/>
      <c r="AZ71" s="244"/>
      <c r="BA71" s="244"/>
      <c r="BB71" s="244"/>
    </row>
    <row r="72" spans="1:54" ht="15">
      <c r="A72" s="331" t="s">
        <v>286</v>
      </c>
      <c r="B72" s="295" t="str">
        <f t="shared" si="4"/>
        <v>Klugheit: 12 | Intuition: 15 | Gewandheit: 14</v>
      </c>
      <c r="C72" s="308" t="b">
        <v>1</v>
      </c>
      <c r="D72" s="308" t="b">
        <v>0</v>
      </c>
      <c r="E72" s="308" t="b">
        <f t="shared" si="5"/>
        <v>1</v>
      </c>
      <c r="F72" t="s">
        <v>287</v>
      </c>
      <c r="G72" t="s">
        <v>125</v>
      </c>
      <c r="H72" t="s">
        <v>368</v>
      </c>
      <c r="I72" t="s">
        <v>510</v>
      </c>
      <c r="J72" s="295">
        <f>_xlfn.XLOOKUP(G72,Rechner!$A$17:$A$25,Rechner!$B$17:$B$25)</f>
        <v>3</v>
      </c>
      <c r="K72" s="338" t="str">
        <f>_xlfn.XLOOKUP(J72-SUMIF($V$31:$AV$31,TRUE,V72:AV72)-IF(D72=TRUE,1,0),Rechner!$B$17:$B$25,Rechner!$A$17:$A$25,"A+")</f>
        <v>A</v>
      </c>
      <c r="L72" s="295" t="str">
        <f>_xlfn.XLOOKUP(S72,Eigenschaften!$C$20:$C$27,Eigenschaften!$B$20:$B$27)</f>
        <v>Klugheit</v>
      </c>
      <c r="M72" s="295">
        <f>_xlfn.XLOOKUP(L72,Eigenschaften!$B$20:$B$27,Eigenschaften!$H$20:$H$27,"NaN",1)</f>
        <v>12</v>
      </c>
      <c r="N72" s="295" t="str">
        <f>_xlfn.XLOOKUP(T72,Eigenschaften!$C$20:$C$27,Eigenschaften!$B$20:$B$27)</f>
        <v>Intuition</v>
      </c>
      <c r="O72" s="295">
        <f>_xlfn.XLOOKUP(N72,Eigenschaften!$B$20:$B$27,Eigenschaften!$H$20:$H$27,"NaN",1)</f>
        <v>15</v>
      </c>
      <c r="P72" s="295" t="str">
        <f>_xlfn.XLOOKUP(U72,Eigenschaften!$C$20:$C$27,Eigenschaften!$B$20:$B$27)</f>
        <v>Gewandheit</v>
      </c>
      <c r="Q72" s="295">
        <f>_xlfn.XLOOKUP(P72,Eigenschaften!$B$20:$B$27,Eigenschaften!$H$20:$H$27,"NaN",1)</f>
        <v>14</v>
      </c>
      <c r="R72" s="244"/>
      <c r="S72" s="244" t="str" cm="1">
        <f t="array" ref="S72:U72">_xlfn.TEXTSPLIT(F72,"/",,,,3)</f>
        <v>KL</v>
      </c>
      <c r="T72" s="244" t="str">
        <v>IN</v>
      </c>
      <c r="U72" s="244" t="str">
        <v>GE</v>
      </c>
      <c r="V72" s="244">
        <f t="shared" si="15"/>
        <v>0</v>
      </c>
      <c r="W72" s="244">
        <f t="shared" si="15"/>
        <v>0</v>
      </c>
      <c r="X72" s="244">
        <f t="shared" si="15"/>
        <v>0</v>
      </c>
      <c r="Y72" s="244">
        <f t="shared" si="15"/>
        <v>0</v>
      </c>
      <c r="Z72" s="244">
        <f t="shared" si="15"/>
        <v>0</v>
      </c>
      <c r="AA72" s="244">
        <f t="shared" si="15"/>
        <v>0</v>
      </c>
      <c r="AB72" s="244">
        <f t="shared" si="15"/>
        <v>0</v>
      </c>
      <c r="AC72" s="244">
        <f t="shared" si="15"/>
        <v>0</v>
      </c>
      <c r="AD72" s="244">
        <f t="shared" si="15"/>
        <v>0</v>
      </c>
      <c r="AE72" s="244">
        <f t="shared" si="15"/>
        <v>0</v>
      </c>
      <c r="AF72" s="244">
        <f t="shared" si="16"/>
        <v>1</v>
      </c>
      <c r="AG72" s="244">
        <f t="shared" si="16"/>
        <v>0</v>
      </c>
      <c r="AH72" s="244">
        <f t="shared" si="16"/>
        <v>0</v>
      </c>
      <c r="AI72" s="244">
        <f t="shared" si="16"/>
        <v>0</v>
      </c>
      <c r="AJ72" s="244">
        <f t="shared" si="16"/>
        <v>0</v>
      </c>
      <c r="AK72" s="244">
        <f t="shared" si="16"/>
        <v>0</v>
      </c>
      <c r="AL72" s="244">
        <f t="shared" si="16"/>
        <v>0</v>
      </c>
      <c r="AM72" s="244">
        <f t="shared" si="16"/>
        <v>0</v>
      </c>
      <c r="AN72" s="244">
        <f t="shared" si="16"/>
        <v>0</v>
      </c>
      <c r="AO72" s="244">
        <f t="shared" si="16"/>
        <v>0</v>
      </c>
      <c r="AP72" s="244">
        <f t="shared" si="17"/>
        <v>0</v>
      </c>
      <c r="AQ72" s="244">
        <f t="shared" si="17"/>
        <v>0</v>
      </c>
      <c r="AR72" s="244">
        <f t="shared" si="17"/>
        <v>0</v>
      </c>
      <c r="AS72" s="244">
        <f t="shared" si="17"/>
        <v>0</v>
      </c>
      <c r="AT72" s="244">
        <f t="shared" si="17"/>
        <v>0</v>
      </c>
      <c r="AU72" s="244">
        <f t="shared" si="17"/>
        <v>0</v>
      </c>
      <c r="AV72" s="244">
        <f t="shared" si="17"/>
        <v>0</v>
      </c>
      <c r="AW72" s="244">
        <v>9</v>
      </c>
      <c r="AX72" s="244" t="s">
        <v>1631</v>
      </c>
      <c r="AY72" s="244" t="s">
        <v>1623</v>
      </c>
      <c r="AZ72" s="244" t="s">
        <v>288</v>
      </c>
      <c r="BA72" s="244" t="s">
        <v>289</v>
      </c>
      <c r="BB72" s="244"/>
    </row>
    <row r="73" spans="1:54" ht="15" hidden="1">
      <c r="A73" s="331" t="s">
        <v>512</v>
      </c>
      <c r="B73" s="295" t="str">
        <f t="shared" si="4"/>
        <v>Mut: 13 | Charisma: 15 | Charisma: 15</v>
      </c>
      <c r="C73" s="308" t="b">
        <v>0</v>
      </c>
      <c r="D73" s="308" t="b">
        <v>0</v>
      </c>
      <c r="E73" s="308" t="b">
        <f t="shared" si="5"/>
        <v>1</v>
      </c>
      <c r="F73" t="s">
        <v>320</v>
      </c>
      <c r="G73" t="s">
        <v>110</v>
      </c>
      <c r="H73" t="s">
        <v>368</v>
      </c>
      <c r="I73" t="s">
        <v>513</v>
      </c>
      <c r="J73" s="295">
        <f>_xlfn.XLOOKUP(G73,Rechner!$A$17:$A$25,Rechner!$B$17:$B$25)</f>
        <v>4</v>
      </c>
      <c r="K73" s="295" t="str">
        <f>_xlfn.XLOOKUP(J73-SUMIF($V$31:$AV$31,TRUE,V73:AV73)-IF(D73=TRUE,1,0),Rechner!$B$17:$B$25,Rechner!$A$17:$A$25,"A+")</f>
        <v>B</v>
      </c>
      <c r="L73" s="295" t="str">
        <f>_xlfn.XLOOKUP(S73,Eigenschaften!$C$20:$C$27,Eigenschaften!$B$20:$B$27)</f>
        <v>Mut</v>
      </c>
      <c r="M73" s="295">
        <f>_xlfn.XLOOKUP(L73,Eigenschaften!$B$20:$B$27,Eigenschaften!$H$20:$H$27,"NaN",1)</f>
        <v>13</v>
      </c>
      <c r="N73" s="295" t="str">
        <f>_xlfn.XLOOKUP(T73,Eigenschaften!$C$20:$C$27,Eigenschaften!$B$20:$B$27)</f>
        <v>Charisma</v>
      </c>
      <c r="O73" s="295">
        <f>_xlfn.XLOOKUP(N73,Eigenschaften!$B$20:$B$27,Eigenschaften!$H$20:$H$27,"NaN",1)</f>
        <v>15</v>
      </c>
      <c r="P73" s="295" t="str">
        <f>_xlfn.XLOOKUP(U73,Eigenschaften!$C$20:$C$27,Eigenschaften!$B$20:$B$27)</f>
        <v>Charisma</v>
      </c>
      <c r="Q73" s="295">
        <f>_xlfn.XLOOKUP(P73,Eigenschaften!$B$20:$B$27,Eigenschaften!$H$20:$H$27,"NaN",1)</f>
        <v>15</v>
      </c>
      <c r="R73" s="244"/>
      <c r="S73" s="244" t="str" cm="1">
        <f t="array" ref="S73:U73">_xlfn.TEXTSPLIT(F73,"/",,,,3)</f>
        <v>MU</v>
      </c>
      <c r="T73" s="244" t="str">
        <v>CH</v>
      </c>
      <c r="U73" s="244" t="str">
        <v>CH</v>
      </c>
      <c r="V73" s="244">
        <f t="shared" si="15"/>
        <v>0</v>
      </c>
      <c r="W73" s="244">
        <f t="shared" si="15"/>
        <v>0</v>
      </c>
      <c r="X73" s="244">
        <f t="shared" si="15"/>
        <v>0</v>
      </c>
      <c r="Y73" s="244">
        <f t="shared" si="15"/>
        <v>0</v>
      </c>
      <c r="Z73" s="244">
        <f t="shared" si="15"/>
        <v>0</v>
      </c>
      <c r="AA73" s="244">
        <f t="shared" si="15"/>
        <v>0</v>
      </c>
      <c r="AB73" s="244">
        <f t="shared" si="15"/>
        <v>0</v>
      </c>
      <c r="AC73" s="244">
        <f t="shared" si="15"/>
        <v>0</v>
      </c>
      <c r="AD73" s="244">
        <f t="shared" si="15"/>
        <v>0</v>
      </c>
      <c r="AE73" s="244">
        <f t="shared" si="15"/>
        <v>0</v>
      </c>
      <c r="AF73" s="244">
        <f t="shared" si="16"/>
        <v>1</v>
      </c>
      <c r="AG73" s="244">
        <f t="shared" si="16"/>
        <v>0</v>
      </c>
      <c r="AH73" s="244">
        <f t="shared" si="16"/>
        <v>0</v>
      </c>
      <c r="AI73" s="244">
        <f t="shared" si="16"/>
        <v>0</v>
      </c>
      <c r="AJ73" s="244">
        <f t="shared" si="16"/>
        <v>0</v>
      </c>
      <c r="AK73" s="244">
        <f t="shared" si="16"/>
        <v>0</v>
      </c>
      <c r="AL73" s="244">
        <f t="shared" si="16"/>
        <v>0</v>
      </c>
      <c r="AM73" s="244">
        <f t="shared" si="16"/>
        <v>0</v>
      </c>
      <c r="AN73" s="244">
        <f t="shared" si="16"/>
        <v>0</v>
      </c>
      <c r="AO73" s="244">
        <f t="shared" si="16"/>
        <v>0</v>
      </c>
      <c r="AP73" s="244">
        <f t="shared" si="17"/>
        <v>0</v>
      </c>
      <c r="AQ73" s="244">
        <f t="shared" si="17"/>
        <v>0</v>
      </c>
      <c r="AR73" s="244">
        <f t="shared" si="17"/>
        <v>0</v>
      </c>
      <c r="AS73" s="244">
        <f t="shared" si="17"/>
        <v>0</v>
      </c>
      <c r="AT73" s="244">
        <f t="shared" si="17"/>
        <v>0</v>
      </c>
      <c r="AU73" s="244">
        <f t="shared" si="17"/>
        <v>0</v>
      </c>
      <c r="AV73" s="244">
        <f t="shared" si="17"/>
        <v>0</v>
      </c>
      <c r="AW73" s="244"/>
      <c r="AX73" s="244"/>
      <c r="AY73" s="244"/>
      <c r="AZ73" s="244"/>
      <c r="BA73" s="244"/>
      <c r="BB73" s="244"/>
    </row>
    <row r="74" spans="1:54" ht="15" hidden="1">
      <c r="A74" s="331" t="s">
        <v>515</v>
      </c>
      <c r="B74" s="295" t="str">
        <f t="shared" si="4"/>
        <v>Mut: 13 | Klugheit: 12 | Konstitution: 12</v>
      </c>
      <c r="C74" s="308" t="b">
        <v>0</v>
      </c>
      <c r="D74" s="308" t="b">
        <v>0</v>
      </c>
      <c r="E74" s="308" t="b">
        <f t="shared" si="5"/>
        <v>0</v>
      </c>
      <c r="F74" t="s">
        <v>516</v>
      </c>
      <c r="G74" t="s">
        <v>110</v>
      </c>
      <c r="H74" t="s">
        <v>517</v>
      </c>
      <c r="I74" t="s">
        <v>518</v>
      </c>
      <c r="J74" s="295">
        <f>_xlfn.XLOOKUP(G74,Rechner!$A$17:$A$25,Rechner!$B$17:$B$25)</f>
        <v>4</v>
      </c>
      <c r="K74" s="295" t="str">
        <f>_xlfn.XLOOKUP(J74-SUMIF($V$31:$AV$31,TRUE,V74:AV74)-IF(D74=TRUE,1,0),Rechner!$B$17:$B$25,Rechner!$A$17:$A$25,"A+")</f>
        <v>C</v>
      </c>
      <c r="L74" s="295" t="str">
        <f>_xlfn.XLOOKUP(S74,Eigenschaften!$C$20:$C$27,Eigenschaften!$B$20:$B$27)</f>
        <v>Mut</v>
      </c>
      <c r="M74" s="295">
        <f>_xlfn.XLOOKUP(L74,Eigenschaften!$B$20:$B$27,Eigenschaften!$H$20:$H$27,"NaN",1)</f>
        <v>13</v>
      </c>
      <c r="N74" s="295" t="str">
        <f>_xlfn.XLOOKUP(T74,Eigenschaften!$C$20:$C$27,Eigenschaften!$B$20:$B$27)</f>
        <v>Klugheit</v>
      </c>
      <c r="O74" s="295">
        <f>_xlfn.XLOOKUP(N74,Eigenschaften!$B$20:$B$27,Eigenschaften!$H$20:$H$27,"NaN",1)</f>
        <v>12</v>
      </c>
      <c r="P74" s="295" t="str">
        <f>_xlfn.XLOOKUP(U74,Eigenschaften!$C$20:$C$27,Eigenschaften!$B$20:$B$27)</f>
        <v>Konstitution</v>
      </c>
      <c r="Q74" s="295">
        <f>_xlfn.XLOOKUP(P74,Eigenschaften!$B$20:$B$27,Eigenschaften!$H$20:$H$27,"NaN",1)</f>
        <v>12</v>
      </c>
      <c r="R74" s="244"/>
      <c r="S74" s="244" t="str" cm="1">
        <f t="array" ref="S74:U74">_xlfn.TEXTSPLIT(F74,"/",,,,3)</f>
        <v>MU</v>
      </c>
      <c r="T74" s="244" t="str">
        <v>KL</v>
      </c>
      <c r="U74" s="244" t="str">
        <v>KO</v>
      </c>
      <c r="V74" s="244">
        <f t="shared" si="15"/>
        <v>0</v>
      </c>
      <c r="W74" s="244">
        <f t="shared" si="15"/>
        <v>0</v>
      </c>
      <c r="X74" s="244">
        <f t="shared" si="15"/>
        <v>0</v>
      </c>
      <c r="Y74" s="244">
        <f t="shared" si="15"/>
        <v>1</v>
      </c>
      <c r="Z74" s="244">
        <f t="shared" si="15"/>
        <v>0</v>
      </c>
      <c r="AA74" s="244">
        <f t="shared" si="15"/>
        <v>1</v>
      </c>
      <c r="AB74" s="244">
        <f t="shared" si="15"/>
        <v>0</v>
      </c>
      <c r="AC74" s="244">
        <f t="shared" si="15"/>
        <v>0</v>
      </c>
      <c r="AD74" s="244">
        <f t="shared" si="15"/>
        <v>0</v>
      </c>
      <c r="AE74" s="244">
        <f t="shared" si="15"/>
        <v>0</v>
      </c>
      <c r="AF74" s="244">
        <f t="shared" si="16"/>
        <v>0</v>
      </c>
      <c r="AG74" s="244">
        <f t="shared" si="16"/>
        <v>0</v>
      </c>
      <c r="AH74" s="244">
        <f t="shared" si="16"/>
        <v>0</v>
      </c>
      <c r="AI74" s="244">
        <f t="shared" si="16"/>
        <v>0</v>
      </c>
      <c r="AJ74" s="244">
        <f t="shared" si="16"/>
        <v>0</v>
      </c>
      <c r="AK74" s="244">
        <f t="shared" si="16"/>
        <v>0</v>
      </c>
      <c r="AL74" s="244">
        <f t="shared" si="16"/>
        <v>0</v>
      </c>
      <c r="AM74" s="244">
        <f t="shared" si="16"/>
        <v>0</v>
      </c>
      <c r="AN74" s="244">
        <f t="shared" si="16"/>
        <v>0</v>
      </c>
      <c r="AO74" s="244">
        <f t="shared" si="16"/>
        <v>0</v>
      </c>
      <c r="AP74" s="244">
        <f t="shared" si="17"/>
        <v>0</v>
      </c>
      <c r="AQ74" s="244">
        <f t="shared" si="17"/>
        <v>1</v>
      </c>
      <c r="AR74" s="244">
        <f t="shared" si="17"/>
        <v>0</v>
      </c>
      <c r="AS74" s="244">
        <f t="shared" si="17"/>
        <v>0</v>
      </c>
      <c r="AT74" s="244">
        <f t="shared" si="17"/>
        <v>0</v>
      </c>
      <c r="AU74" s="244">
        <f t="shared" si="17"/>
        <v>0</v>
      </c>
      <c r="AV74" s="244">
        <f t="shared" si="17"/>
        <v>0</v>
      </c>
      <c r="AW74" s="244"/>
      <c r="AX74" s="244"/>
      <c r="AY74" s="244"/>
      <c r="AZ74" s="244"/>
      <c r="BA74" s="244"/>
      <c r="BB74" s="244"/>
    </row>
    <row r="75" spans="1:54" ht="15" hidden="1">
      <c r="A75" s="331" t="s">
        <v>520</v>
      </c>
      <c r="B75" s="295" t="str">
        <f t="shared" si="4"/>
        <v>Intuition: 15 | Charisma: 15 | Konstitution: 12</v>
      </c>
      <c r="C75" s="308" t="b">
        <v>0</v>
      </c>
      <c r="D75" s="308" t="b">
        <v>0</v>
      </c>
      <c r="E75" s="308" t="b">
        <f t="shared" si="5"/>
        <v>0</v>
      </c>
      <c r="F75" t="s">
        <v>521</v>
      </c>
      <c r="G75" t="s">
        <v>429</v>
      </c>
      <c r="H75" t="s">
        <v>522</v>
      </c>
      <c r="I75" t="s">
        <v>523</v>
      </c>
      <c r="J75" s="295">
        <f>_xlfn.XLOOKUP(G75,Rechner!$A$17:$A$25,Rechner!$B$17:$B$25)</f>
        <v>6</v>
      </c>
      <c r="K75" s="295" t="str">
        <f>_xlfn.XLOOKUP(J75-SUMIF($V$31:$AV$31,TRUE,V75:AV75)-IF(D75=TRUE,1,0),Rechner!$B$17:$B$25,Rechner!$A$17:$A$25,"A+")</f>
        <v>E</v>
      </c>
      <c r="L75" s="295" t="str">
        <f>_xlfn.XLOOKUP(S75,Eigenschaften!$C$20:$C$27,Eigenschaften!$B$20:$B$27)</f>
        <v>Intuition</v>
      </c>
      <c r="M75" s="295">
        <f>_xlfn.XLOOKUP(L75,Eigenschaften!$B$20:$B$27,Eigenschaften!$H$20:$H$27,"NaN",1)</f>
        <v>15</v>
      </c>
      <c r="N75" s="295" t="str">
        <f>_xlfn.XLOOKUP(T75,Eigenschaften!$C$20:$C$27,Eigenschaften!$B$20:$B$27)</f>
        <v>Charisma</v>
      </c>
      <c r="O75" s="295">
        <f>_xlfn.XLOOKUP(N75,Eigenschaften!$B$20:$B$27,Eigenschaften!$H$20:$H$27,"NaN",1)</f>
        <v>15</v>
      </c>
      <c r="P75" s="295" t="str">
        <f>_xlfn.XLOOKUP(U75,Eigenschaften!$C$20:$C$27,Eigenschaften!$B$20:$B$27)</f>
        <v>Konstitution</v>
      </c>
      <c r="Q75" s="295">
        <f>_xlfn.XLOOKUP(P75,Eigenschaften!$B$20:$B$27,Eigenschaften!$H$20:$H$27,"NaN",1)</f>
        <v>12</v>
      </c>
      <c r="R75" s="244"/>
      <c r="S75" s="244" t="str" cm="1">
        <f t="array" ref="S75:U75">_xlfn.TEXTSPLIT(F75,"/",,,,3)</f>
        <v>IN</v>
      </c>
      <c r="T75" s="244" t="str">
        <v>CH</v>
      </c>
      <c r="U75" s="244" t="str">
        <v>KO</v>
      </c>
      <c r="V75" s="244">
        <f t="shared" si="15"/>
        <v>0</v>
      </c>
      <c r="W75" s="244">
        <f t="shared" si="15"/>
        <v>0</v>
      </c>
      <c r="X75" s="244">
        <f t="shared" si="15"/>
        <v>0</v>
      </c>
      <c r="Y75" s="244">
        <f t="shared" si="15"/>
        <v>1</v>
      </c>
      <c r="Z75" s="244">
        <f t="shared" si="15"/>
        <v>0</v>
      </c>
      <c r="AA75" s="244">
        <f t="shared" si="15"/>
        <v>1</v>
      </c>
      <c r="AB75" s="244">
        <f t="shared" si="15"/>
        <v>0</v>
      </c>
      <c r="AC75" s="244">
        <f t="shared" si="15"/>
        <v>1</v>
      </c>
      <c r="AD75" s="244">
        <f t="shared" si="15"/>
        <v>0</v>
      </c>
      <c r="AE75" s="244">
        <f t="shared" si="15"/>
        <v>0</v>
      </c>
      <c r="AF75" s="244">
        <f t="shared" si="16"/>
        <v>0</v>
      </c>
      <c r="AG75" s="244">
        <f t="shared" si="16"/>
        <v>0</v>
      </c>
      <c r="AH75" s="244">
        <f t="shared" si="16"/>
        <v>0</v>
      </c>
      <c r="AI75" s="244">
        <f t="shared" si="16"/>
        <v>0</v>
      </c>
      <c r="AJ75" s="244">
        <f t="shared" si="16"/>
        <v>0</v>
      </c>
      <c r="AK75" s="244">
        <f t="shared" si="16"/>
        <v>0</v>
      </c>
      <c r="AL75" s="244">
        <f t="shared" si="16"/>
        <v>0</v>
      </c>
      <c r="AM75" s="244">
        <f t="shared" si="16"/>
        <v>0</v>
      </c>
      <c r="AN75" s="244">
        <f t="shared" si="16"/>
        <v>0</v>
      </c>
      <c r="AO75" s="244">
        <f t="shared" si="16"/>
        <v>0</v>
      </c>
      <c r="AP75" s="244">
        <f t="shared" si="17"/>
        <v>0</v>
      </c>
      <c r="AQ75" s="244">
        <f t="shared" si="17"/>
        <v>1</v>
      </c>
      <c r="AR75" s="244">
        <f t="shared" si="17"/>
        <v>0</v>
      </c>
      <c r="AS75" s="244">
        <f t="shared" si="17"/>
        <v>0</v>
      </c>
      <c r="AT75" s="244">
        <f t="shared" si="17"/>
        <v>0</v>
      </c>
      <c r="AU75" s="244">
        <f t="shared" si="17"/>
        <v>1</v>
      </c>
      <c r="AV75" s="244">
        <f t="shared" si="17"/>
        <v>0</v>
      </c>
      <c r="AW75" s="244"/>
      <c r="AX75" s="244"/>
      <c r="AY75" s="244"/>
      <c r="AZ75" s="244"/>
      <c r="BA75" s="244"/>
      <c r="BB75" s="244"/>
    </row>
    <row r="76" spans="1:54" ht="15" hidden="1">
      <c r="A76" s="331" t="s">
        <v>525</v>
      </c>
      <c r="B76" s="295" t="str">
        <f t="shared" si="4"/>
        <v>Intuition: 15 | Charisma: 15 | Gewandheit: 14</v>
      </c>
      <c r="C76" s="308" t="b">
        <v>0</v>
      </c>
      <c r="D76" s="308" t="b">
        <v>0</v>
      </c>
      <c r="E76" s="308" t="b">
        <f t="shared" si="5"/>
        <v>1</v>
      </c>
      <c r="F76" t="s">
        <v>495</v>
      </c>
      <c r="G76" t="s">
        <v>110</v>
      </c>
      <c r="H76" t="s">
        <v>375</v>
      </c>
      <c r="I76" t="s">
        <v>526</v>
      </c>
      <c r="J76" s="295">
        <f>_xlfn.XLOOKUP(G76,Rechner!$A$17:$A$25,Rechner!$B$17:$B$25)</f>
        <v>4</v>
      </c>
      <c r="K76" s="295" t="str">
        <f>_xlfn.XLOOKUP(J76-SUMIF($V$31:$AV$31,TRUE,V76:AV76)-IF(D76=TRUE,1,0),Rechner!$B$17:$B$25,Rechner!$A$17:$A$25,"A+")</f>
        <v>C</v>
      </c>
      <c r="L76" s="295" t="str">
        <f>_xlfn.XLOOKUP(S76,Eigenschaften!$C$20:$C$27,Eigenschaften!$B$20:$B$27)</f>
        <v>Intuition</v>
      </c>
      <c r="M76" s="295">
        <f>_xlfn.XLOOKUP(L76,Eigenschaften!$B$20:$B$27,Eigenschaften!$H$20:$H$27,"NaN",1)</f>
        <v>15</v>
      </c>
      <c r="N76" s="295" t="str">
        <f>_xlfn.XLOOKUP(T76,Eigenschaften!$C$20:$C$27,Eigenschaften!$B$20:$B$27)</f>
        <v>Charisma</v>
      </c>
      <c r="O76" s="295">
        <f>_xlfn.XLOOKUP(N76,Eigenschaften!$B$20:$B$27,Eigenschaften!$H$20:$H$27,"NaN",1)</f>
        <v>15</v>
      </c>
      <c r="P76" s="295" t="str">
        <f>_xlfn.XLOOKUP(U76,Eigenschaften!$C$20:$C$27,Eigenschaften!$B$20:$B$27)</f>
        <v>Gewandheit</v>
      </c>
      <c r="Q76" s="295">
        <f>_xlfn.XLOOKUP(P76,Eigenschaften!$B$20:$B$27,Eigenschaften!$H$20:$H$27,"NaN",1)</f>
        <v>14</v>
      </c>
      <c r="R76" s="244"/>
      <c r="S76" s="244" t="str" cm="1">
        <f t="array" ref="S76:U76">_xlfn.TEXTSPLIT(F76,"/",,,,3)</f>
        <v>IN</v>
      </c>
      <c r="T76" s="244" t="str">
        <v>CH</v>
      </c>
      <c r="U76" s="244" t="str">
        <v>GE</v>
      </c>
      <c r="V76" s="244">
        <f t="shared" ref="V76:AE85" si="18">IF(ISNUMBER(SEARCH(V$32,$H76)),1,0)</f>
        <v>0</v>
      </c>
      <c r="W76" s="244">
        <f t="shared" si="18"/>
        <v>0</v>
      </c>
      <c r="X76" s="244">
        <f t="shared" si="18"/>
        <v>0</v>
      </c>
      <c r="Y76" s="244">
        <f t="shared" si="18"/>
        <v>0</v>
      </c>
      <c r="Z76" s="244">
        <f t="shared" si="18"/>
        <v>0</v>
      </c>
      <c r="AA76" s="244">
        <f t="shared" si="18"/>
        <v>0</v>
      </c>
      <c r="AB76" s="244">
        <f t="shared" si="18"/>
        <v>0</v>
      </c>
      <c r="AC76" s="244">
        <f t="shared" si="18"/>
        <v>0</v>
      </c>
      <c r="AD76" s="244">
        <f t="shared" si="18"/>
        <v>0</v>
      </c>
      <c r="AE76" s="244">
        <f t="shared" si="18"/>
        <v>0</v>
      </c>
      <c r="AF76" s="244">
        <f t="shared" ref="AF76:AO85" si="19">IF(ISNUMBER(SEARCH(AF$32,$H76)),1,0)</f>
        <v>0</v>
      </c>
      <c r="AG76" s="244">
        <f t="shared" si="19"/>
        <v>0</v>
      </c>
      <c r="AH76" s="244">
        <f t="shared" si="19"/>
        <v>0</v>
      </c>
      <c r="AI76" s="244">
        <f t="shared" si="19"/>
        <v>0</v>
      </c>
      <c r="AJ76" s="244">
        <f t="shared" si="19"/>
        <v>0</v>
      </c>
      <c r="AK76" s="244">
        <f t="shared" si="19"/>
        <v>0</v>
      </c>
      <c r="AL76" s="244">
        <f t="shared" si="19"/>
        <v>0</v>
      </c>
      <c r="AM76" s="244">
        <f t="shared" si="19"/>
        <v>1</v>
      </c>
      <c r="AN76" s="244">
        <f t="shared" si="19"/>
        <v>0</v>
      </c>
      <c r="AO76" s="244">
        <f t="shared" si="19"/>
        <v>0</v>
      </c>
      <c r="AP76" s="244">
        <f t="shared" ref="AP76:AV85" si="20">IF(ISNUMBER(SEARCH(AP$32,$H76)),1,0)</f>
        <v>0</v>
      </c>
      <c r="AQ76" s="244">
        <f t="shared" si="20"/>
        <v>0</v>
      </c>
      <c r="AR76" s="244">
        <f t="shared" si="20"/>
        <v>0</v>
      </c>
      <c r="AS76" s="244">
        <f t="shared" si="20"/>
        <v>0</v>
      </c>
      <c r="AT76" s="244">
        <f t="shared" si="20"/>
        <v>0</v>
      </c>
      <c r="AU76" s="244">
        <f t="shared" si="20"/>
        <v>0</v>
      </c>
      <c r="AV76" s="244">
        <f t="shared" si="20"/>
        <v>0</v>
      </c>
      <c r="AW76" s="244"/>
      <c r="AX76" s="244"/>
      <c r="AY76" s="244"/>
      <c r="AZ76" s="244"/>
      <c r="BA76" s="244"/>
      <c r="BB76" s="244"/>
    </row>
    <row r="77" spans="1:54" ht="15" hidden="1">
      <c r="A77" s="331" t="s">
        <v>528</v>
      </c>
      <c r="B77" s="295" t="str">
        <f t="shared" si="4"/>
        <v>Klugheit: 12 | Intuition: 15 | Konstitution: 12</v>
      </c>
      <c r="C77" s="308" t="b">
        <v>0</v>
      </c>
      <c r="D77" s="308" t="b">
        <v>0</v>
      </c>
      <c r="E77" s="308" t="b">
        <f t="shared" si="5"/>
        <v>1</v>
      </c>
      <c r="F77" t="s">
        <v>529</v>
      </c>
      <c r="G77" t="s">
        <v>530</v>
      </c>
      <c r="H77" t="s">
        <v>456</v>
      </c>
      <c r="I77" t="s">
        <v>531</v>
      </c>
      <c r="J77" s="295">
        <f>_xlfn.XLOOKUP(G77,Rechner!$A$17:$A$25,Rechner!$B$17:$B$25)</f>
        <v>7</v>
      </c>
      <c r="K77" s="295" t="str">
        <f>_xlfn.XLOOKUP(J77-SUMIF($V$31:$AV$31,TRUE,V77:AV77)-IF(D77=TRUE,1,0),Rechner!$B$17:$B$25,Rechner!$A$17:$A$25,"A+")</f>
        <v>F</v>
      </c>
      <c r="L77" s="295" t="str">
        <f>_xlfn.XLOOKUP(S77,Eigenschaften!$C$20:$C$27,Eigenschaften!$B$20:$B$27)</f>
        <v>Klugheit</v>
      </c>
      <c r="M77" s="295">
        <f>_xlfn.XLOOKUP(L77,Eigenschaften!$B$20:$B$27,Eigenschaften!$H$20:$H$27,"NaN",1)</f>
        <v>12</v>
      </c>
      <c r="N77" s="295" t="str">
        <f>_xlfn.XLOOKUP(T77,Eigenschaften!$C$20:$C$27,Eigenschaften!$B$20:$B$27)</f>
        <v>Intuition</v>
      </c>
      <c r="O77" s="295">
        <f>_xlfn.XLOOKUP(N77,Eigenschaften!$B$20:$B$27,Eigenschaften!$H$20:$H$27,"NaN",1)</f>
        <v>15</v>
      </c>
      <c r="P77" s="295" t="str">
        <f>_xlfn.XLOOKUP(U77,Eigenschaften!$C$20:$C$27,Eigenschaften!$B$20:$B$27)</f>
        <v>Konstitution</v>
      </c>
      <c r="Q77" s="295">
        <f>_xlfn.XLOOKUP(P77,Eigenschaften!$B$20:$B$27,Eigenschaften!$H$20:$H$27,"NaN",1)</f>
        <v>12</v>
      </c>
      <c r="R77" s="244"/>
      <c r="S77" s="244" t="str" cm="1">
        <f t="array" ref="S77:U77">_xlfn.TEXTSPLIT(F77,"/",,,,3)</f>
        <v>KL</v>
      </c>
      <c r="T77" s="244" t="str">
        <v>IN</v>
      </c>
      <c r="U77" s="244" t="str">
        <v>KO</v>
      </c>
      <c r="V77" s="244">
        <f t="shared" si="18"/>
        <v>0</v>
      </c>
      <c r="W77" s="244">
        <f t="shared" si="18"/>
        <v>0</v>
      </c>
      <c r="X77" s="244">
        <f t="shared" si="18"/>
        <v>0</v>
      </c>
      <c r="Y77" s="244">
        <f t="shared" si="18"/>
        <v>0</v>
      </c>
      <c r="Z77" s="244">
        <f t="shared" si="18"/>
        <v>0</v>
      </c>
      <c r="AA77" s="244">
        <f t="shared" si="18"/>
        <v>0</v>
      </c>
      <c r="AB77" s="244">
        <f t="shared" si="18"/>
        <v>0</v>
      </c>
      <c r="AC77" s="244">
        <f t="shared" si="18"/>
        <v>0</v>
      </c>
      <c r="AD77" s="244">
        <f t="shared" si="18"/>
        <v>0</v>
      </c>
      <c r="AE77" s="244">
        <f t="shared" si="18"/>
        <v>0</v>
      </c>
      <c r="AF77" s="244">
        <f t="shared" si="19"/>
        <v>0</v>
      </c>
      <c r="AG77" s="244">
        <f t="shared" si="19"/>
        <v>1</v>
      </c>
      <c r="AH77" s="244">
        <f t="shared" si="19"/>
        <v>0</v>
      </c>
      <c r="AI77" s="244">
        <f t="shared" si="19"/>
        <v>0</v>
      </c>
      <c r="AJ77" s="244">
        <f t="shared" si="19"/>
        <v>0</v>
      </c>
      <c r="AK77" s="244">
        <f t="shared" si="19"/>
        <v>0</v>
      </c>
      <c r="AL77" s="244">
        <f t="shared" si="19"/>
        <v>0</v>
      </c>
      <c r="AM77" s="244">
        <f t="shared" si="19"/>
        <v>0</v>
      </c>
      <c r="AN77" s="244">
        <f t="shared" si="19"/>
        <v>0</v>
      </c>
      <c r="AO77" s="244">
        <f t="shared" si="19"/>
        <v>0</v>
      </c>
      <c r="AP77" s="244">
        <f t="shared" si="20"/>
        <v>0</v>
      </c>
      <c r="AQ77" s="244">
        <f t="shared" si="20"/>
        <v>0</v>
      </c>
      <c r="AR77" s="244">
        <f t="shared" si="20"/>
        <v>0</v>
      </c>
      <c r="AS77" s="244">
        <f t="shared" si="20"/>
        <v>0</v>
      </c>
      <c r="AT77" s="244">
        <f t="shared" si="20"/>
        <v>0</v>
      </c>
      <c r="AU77" s="244">
        <f t="shared" si="20"/>
        <v>0</v>
      </c>
      <c r="AV77" s="244">
        <f t="shared" si="20"/>
        <v>0</v>
      </c>
      <c r="AW77" s="244"/>
      <c r="AX77" s="244"/>
      <c r="AY77" s="244"/>
      <c r="AZ77" s="244"/>
      <c r="BA77" s="244"/>
      <c r="BB77" s="244"/>
    </row>
    <row r="78" spans="1:54" ht="15" hidden="1">
      <c r="A78" s="331" t="s">
        <v>532</v>
      </c>
      <c r="B78" s="295" t="str">
        <f t="shared" si="4"/>
        <v>Klugheit: 12 | Intuition: 15 | Konstitution: 12</v>
      </c>
      <c r="C78" s="308" t="b">
        <v>0</v>
      </c>
      <c r="D78" s="308" t="b">
        <v>0</v>
      </c>
      <c r="E78" s="308" t="b">
        <f t="shared" si="5"/>
        <v>0</v>
      </c>
      <c r="F78" t="s">
        <v>529</v>
      </c>
      <c r="G78" t="s">
        <v>530</v>
      </c>
      <c r="H78" t="s">
        <v>533</v>
      </c>
      <c r="I78" t="s">
        <v>534</v>
      </c>
      <c r="J78" s="295">
        <f>_xlfn.XLOOKUP(G78,Rechner!$A$17:$A$25,Rechner!$B$17:$B$25)</f>
        <v>7</v>
      </c>
      <c r="K78" s="295" t="str">
        <f>_xlfn.XLOOKUP(J78-SUMIF($V$31:$AV$31,TRUE,V78:AV78)-IF(D78=TRUE,1,0),Rechner!$B$17:$B$25,Rechner!$A$17:$A$25,"A+")</f>
        <v>F</v>
      </c>
      <c r="L78" s="295" t="str">
        <f>_xlfn.XLOOKUP(S78,Eigenschaften!$C$20:$C$27,Eigenschaften!$B$20:$B$27)</f>
        <v>Klugheit</v>
      </c>
      <c r="M78" s="295">
        <f>_xlfn.XLOOKUP(L78,Eigenschaften!$B$20:$B$27,Eigenschaften!$H$20:$H$27,"NaN",1)</f>
        <v>12</v>
      </c>
      <c r="N78" s="295" t="str">
        <f>_xlfn.XLOOKUP(T78,Eigenschaften!$C$20:$C$27,Eigenschaften!$B$20:$B$27)</f>
        <v>Intuition</v>
      </c>
      <c r="O78" s="295">
        <f>_xlfn.XLOOKUP(N78,Eigenschaften!$B$20:$B$27,Eigenschaften!$H$20:$H$27,"NaN",1)</f>
        <v>15</v>
      </c>
      <c r="P78" s="295" t="str">
        <f>_xlfn.XLOOKUP(U78,Eigenschaften!$C$20:$C$27,Eigenschaften!$B$20:$B$27)</f>
        <v>Konstitution</v>
      </c>
      <c r="Q78" s="295">
        <f>_xlfn.XLOOKUP(P78,Eigenschaften!$B$20:$B$27,Eigenschaften!$H$20:$H$27,"NaN",1)</f>
        <v>12</v>
      </c>
      <c r="R78" s="244"/>
      <c r="S78" s="244" t="str" cm="1">
        <f t="array" ref="S78:U78">_xlfn.TEXTSPLIT(F78,"/",,,,3)</f>
        <v>KL</v>
      </c>
      <c r="T78" s="244" t="str">
        <v>IN</v>
      </c>
      <c r="U78" s="244" t="str">
        <v>KO</v>
      </c>
      <c r="V78" s="244">
        <f t="shared" si="18"/>
        <v>0</v>
      </c>
      <c r="W78" s="244">
        <f t="shared" si="18"/>
        <v>0</v>
      </c>
      <c r="X78" s="244">
        <f t="shared" si="18"/>
        <v>0</v>
      </c>
      <c r="Y78" s="244">
        <f t="shared" si="18"/>
        <v>0</v>
      </c>
      <c r="Z78" s="244">
        <f t="shared" si="18"/>
        <v>0</v>
      </c>
      <c r="AA78" s="244">
        <f t="shared" si="18"/>
        <v>0</v>
      </c>
      <c r="AB78" s="244">
        <f t="shared" si="18"/>
        <v>0</v>
      </c>
      <c r="AC78" s="244">
        <f t="shared" si="18"/>
        <v>0</v>
      </c>
      <c r="AD78" s="244">
        <f t="shared" si="18"/>
        <v>0</v>
      </c>
      <c r="AE78" s="244">
        <f t="shared" si="18"/>
        <v>0</v>
      </c>
      <c r="AF78" s="244">
        <f t="shared" si="19"/>
        <v>0</v>
      </c>
      <c r="AG78" s="244">
        <f t="shared" si="19"/>
        <v>0</v>
      </c>
      <c r="AH78" s="244">
        <f t="shared" si="19"/>
        <v>0</v>
      </c>
      <c r="AI78" s="244">
        <f t="shared" si="19"/>
        <v>0</v>
      </c>
      <c r="AJ78" s="244">
        <f t="shared" si="19"/>
        <v>0</v>
      </c>
      <c r="AK78" s="244">
        <f t="shared" si="19"/>
        <v>1</v>
      </c>
      <c r="AL78" s="244">
        <f t="shared" si="19"/>
        <v>0</v>
      </c>
      <c r="AM78" s="244">
        <f t="shared" si="19"/>
        <v>0</v>
      </c>
      <c r="AN78" s="244">
        <f t="shared" si="19"/>
        <v>0</v>
      </c>
      <c r="AO78" s="244">
        <f t="shared" si="19"/>
        <v>0</v>
      </c>
      <c r="AP78" s="244">
        <f t="shared" si="20"/>
        <v>0</v>
      </c>
      <c r="AQ78" s="244">
        <f t="shared" si="20"/>
        <v>0</v>
      </c>
      <c r="AR78" s="244">
        <f t="shared" si="20"/>
        <v>0</v>
      </c>
      <c r="AS78" s="244">
        <f t="shared" si="20"/>
        <v>0</v>
      </c>
      <c r="AT78" s="244">
        <f t="shared" si="20"/>
        <v>1</v>
      </c>
      <c r="AU78" s="244">
        <f t="shared" si="20"/>
        <v>0</v>
      </c>
      <c r="AV78" s="244">
        <f t="shared" si="20"/>
        <v>0</v>
      </c>
      <c r="AW78" s="244"/>
      <c r="AX78" s="244"/>
      <c r="AY78" s="244"/>
      <c r="AZ78" s="244"/>
      <c r="BA78" s="244"/>
      <c r="BB78" s="244"/>
    </row>
    <row r="79" spans="1:54" ht="15" hidden="1">
      <c r="A79" s="331" t="s">
        <v>535</v>
      </c>
      <c r="B79" s="295" t="str">
        <f t="shared" si="4"/>
        <v>Mut: 13 | Charisma: 15 | Konstitution: 12</v>
      </c>
      <c r="C79" s="308" t="b">
        <v>0</v>
      </c>
      <c r="D79" s="308" t="b">
        <v>0</v>
      </c>
      <c r="E79" s="308" t="b">
        <f t="shared" si="5"/>
        <v>0</v>
      </c>
      <c r="F79" t="s">
        <v>340</v>
      </c>
      <c r="G79" t="s">
        <v>530</v>
      </c>
      <c r="H79" t="s">
        <v>381</v>
      </c>
      <c r="I79" t="s">
        <v>536</v>
      </c>
      <c r="J79" s="295">
        <f>_xlfn.XLOOKUP(G79,Rechner!$A$17:$A$25,Rechner!$B$17:$B$25)</f>
        <v>7</v>
      </c>
      <c r="K79" s="295" t="str">
        <f>_xlfn.XLOOKUP(J79-SUMIF($V$31:$AV$31,TRUE,V79:AV79)-IF(D79=TRUE,1,0),Rechner!$B$17:$B$25,Rechner!$A$17:$A$25,"A+")</f>
        <v>F</v>
      </c>
      <c r="L79" s="295" t="str">
        <f>_xlfn.XLOOKUP(S79,Eigenschaften!$C$20:$C$27,Eigenschaften!$B$20:$B$27)</f>
        <v>Mut</v>
      </c>
      <c r="M79" s="295">
        <f>_xlfn.XLOOKUP(L79,Eigenschaften!$B$20:$B$27,Eigenschaften!$H$20:$H$27,"NaN",1)</f>
        <v>13</v>
      </c>
      <c r="N79" s="295" t="str">
        <f>_xlfn.XLOOKUP(T79,Eigenschaften!$C$20:$C$27,Eigenschaften!$B$20:$B$27)</f>
        <v>Charisma</v>
      </c>
      <c r="O79" s="295">
        <f>_xlfn.XLOOKUP(N79,Eigenschaften!$B$20:$B$27,Eigenschaften!$H$20:$H$27,"NaN",1)</f>
        <v>15</v>
      </c>
      <c r="P79" s="295" t="str">
        <f>_xlfn.XLOOKUP(U79,Eigenschaften!$C$20:$C$27,Eigenschaften!$B$20:$B$27)</f>
        <v>Konstitution</v>
      </c>
      <c r="Q79" s="295">
        <f>_xlfn.XLOOKUP(P79,Eigenschaften!$B$20:$B$27,Eigenschaften!$H$20:$H$27,"NaN",1)</f>
        <v>12</v>
      </c>
      <c r="R79" s="244"/>
      <c r="S79" s="244" t="str" cm="1">
        <f t="array" ref="S79:U79">_xlfn.TEXTSPLIT(F79,"/",,,,3)</f>
        <v>MU</v>
      </c>
      <c r="T79" s="244" t="str">
        <v>CH</v>
      </c>
      <c r="U79" s="244" t="str">
        <v>KO</v>
      </c>
      <c r="V79" s="244">
        <f t="shared" si="18"/>
        <v>0</v>
      </c>
      <c r="W79" s="244">
        <f t="shared" si="18"/>
        <v>0</v>
      </c>
      <c r="X79" s="244">
        <f t="shared" si="18"/>
        <v>0</v>
      </c>
      <c r="Y79" s="244">
        <f t="shared" si="18"/>
        <v>0</v>
      </c>
      <c r="Z79" s="244">
        <f t="shared" si="18"/>
        <v>0</v>
      </c>
      <c r="AA79" s="244">
        <f t="shared" si="18"/>
        <v>0</v>
      </c>
      <c r="AB79" s="244">
        <f t="shared" si="18"/>
        <v>0</v>
      </c>
      <c r="AC79" s="244">
        <f t="shared" si="18"/>
        <v>0</v>
      </c>
      <c r="AD79" s="244">
        <f t="shared" si="18"/>
        <v>0</v>
      </c>
      <c r="AE79" s="244">
        <f t="shared" si="18"/>
        <v>0</v>
      </c>
      <c r="AF79" s="244">
        <f t="shared" si="19"/>
        <v>0</v>
      </c>
      <c r="AG79" s="244">
        <f t="shared" si="19"/>
        <v>0</v>
      </c>
      <c r="AH79" s="244">
        <f t="shared" si="19"/>
        <v>0</v>
      </c>
      <c r="AI79" s="244">
        <f t="shared" si="19"/>
        <v>0</v>
      </c>
      <c r="AJ79" s="244">
        <f t="shared" si="19"/>
        <v>0</v>
      </c>
      <c r="AK79" s="244">
        <f t="shared" si="19"/>
        <v>0</v>
      </c>
      <c r="AL79" s="244">
        <f t="shared" si="19"/>
        <v>0</v>
      </c>
      <c r="AM79" s="244">
        <f t="shared" si="19"/>
        <v>0</v>
      </c>
      <c r="AN79" s="244">
        <f t="shared" si="19"/>
        <v>0</v>
      </c>
      <c r="AO79" s="244">
        <f t="shared" si="19"/>
        <v>0</v>
      </c>
      <c r="AP79" s="244">
        <f t="shared" si="20"/>
        <v>0</v>
      </c>
      <c r="AQ79" s="244">
        <f t="shared" si="20"/>
        <v>0</v>
      </c>
      <c r="AR79" s="244">
        <f t="shared" si="20"/>
        <v>0</v>
      </c>
      <c r="AS79" s="244">
        <f t="shared" si="20"/>
        <v>0</v>
      </c>
      <c r="AT79" s="244">
        <f t="shared" si="20"/>
        <v>1</v>
      </c>
      <c r="AU79" s="244">
        <f t="shared" si="20"/>
        <v>0</v>
      </c>
      <c r="AV79" s="244">
        <f t="shared" si="20"/>
        <v>0</v>
      </c>
      <c r="AW79" s="244"/>
      <c r="AX79" s="244"/>
      <c r="AY79" s="244"/>
      <c r="AZ79" s="244"/>
      <c r="BA79" s="244"/>
      <c r="BB79" s="244"/>
    </row>
    <row r="80" spans="1:54" ht="15" hidden="1">
      <c r="A80" s="331" t="s">
        <v>537</v>
      </c>
      <c r="B80" s="295" t="str">
        <f t="shared" si="4"/>
        <v>Klugheit: 12 | Fingerfertigkeit: 10 | Körperkraft: 12</v>
      </c>
      <c r="C80" s="308" t="b">
        <v>0</v>
      </c>
      <c r="D80" s="308" t="b">
        <v>0</v>
      </c>
      <c r="E80" s="308" t="b">
        <f t="shared" si="5"/>
        <v>1</v>
      </c>
      <c r="F80" t="s">
        <v>302</v>
      </c>
      <c r="G80" t="s">
        <v>110</v>
      </c>
      <c r="H80" t="s">
        <v>378</v>
      </c>
      <c r="I80" t="s">
        <v>538</v>
      </c>
      <c r="J80" s="295">
        <f>_xlfn.XLOOKUP(G80,Rechner!$A$17:$A$25,Rechner!$B$17:$B$25)</f>
        <v>4</v>
      </c>
      <c r="K80" s="295" t="str">
        <f>_xlfn.XLOOKUP(J80-SUMIF($V$31:$AV$31,TRUE,V80:AV80)-IF(D80=TRUE,1,0),Rechner!$B$17:$B$25,Rechner!$A$17:$A$25,"A+")</f>
        <v>C</v>
      </c>
      <c r="L80" s="295" t="str">
        <f>_xlfn.XLOOKUP(S80,Eigenschaften!$C$20:$C$27,Eigenschaften!$B$20:$B$27)</f>
        <v>Klugheit</v>
      </c>
      <c r="M80" s="295">
        <f>_xlfn.XLOOKUP(L80,Eigenschaften!$B$20:$B$27,Eigenschaften!$H$20:$H$27,"NaN",1)</f>
        <v>12</v>
      </c>
      <c r="N80" s="295" t="str">
        <f>_xlfn.XLOOKUP(T80,Eigenschaften!$C$20:$C$27,Eigenschaften!$B$20:$B$27)</f>
        <v>Fingerfertigkeit</v>
      </c>
      <c r="O80" s="295">
        <f>_xlfn.XLOOKUP(N80,Eigenschaften!$B$20:$B$27,Eigenschaften!$H$20:$H$27,"NaN",1)</f>
        <v>10</v>
      </c>
      <c r="P80" s="295" t="str">
        <f>_xlfn.XLOOKUP(U80,Eigenschaften!$C$20:$C$27,Eigenschaften!$B$20:$B$27)</f>
        <v>Körperkraft</v>
      </c>
      <c r="Q80" s="295">
        <f>_xlfn.XLOOKUP(P80,Eigenschaften!$B$20:$B$27,Eigenschaften!$H$20:$H$27,"NaN",1)</f>
        <v>12</v>
      </c>
      <c r="R80" s="244"/>
      <c r="S80" s="244" t="str" cm="1">
        <f t="array" ref="S80:U80">_xlfn.TEXTSPLIT(F80,"/",,,,3)</f>
        <v>KL</v>
      </c>
      <c r="T80" s="244" t="str">
        <v>FF</v>
      </c>
      <c r="U80" s="244" t="str">
        <v>KK</v>
      </c>
      <c r="V80" s="244">
        <f t="shared" si="18"/>
        <v>0</v>
      </c>
      <c r="W80" s="244">
        <f t="shared" si="18"/>
        <v>0</v>
      </c>
      <c r="X80" s="244">
        <f t="shared" si="18"/>
        <v>0</v>
      </c>
      <c r="Y80" s="244">
        <f t="shared" si="18"/>
        <v>0</v>
      </c>
      <c r="Z80" s="244">
        <f t="shared" si="18"/>
        <v>0</v>
      </c>
      <c r="AA80" s="244">
        <f t="shared" si="18"/>
        <v>0</v>
      </c>
      <c r="AB80" s="244">
        <f t="shared" si="18"/>
        <v>0</v>
      </c>
      <c r="AC80" s="244">
        <f t="shared" si="18"/>
        <v>0</v>
      </c>
      <c r="AD80" s="244">
        <f t="shared" si="18"/>
        <v>0</v>
      </c>
      <c r="AE80" s="244">
        <f t="shared" si="18"/>
        <v>0</v>
      </c>
      <c r="AF80" s="244">
        <f t="shared" si="19"/>
        <v>0</v>
      </c>
      <c r="AG80" s="244">
        <f t="shared" si="19"/>
        <v>0</v>
      </c>
      <c r="AH80" s="244">
        <f t="shared" si="19"/>
        <v>0</v>
      </c>
      <c r="AI80" s="244">
        <f t="shared" si="19"/>
        <v>0</v>
      </c>
      <c r="AJ80" s="244">
        <f t="shared" si="19"/>
        <v>0</v>
      </c>
      <c r="AK80" s="244">
        <f t="shared" si="19"/>
        <v>0</v>
      </c>
      <c r="AL80" s="244">
        <f t="shared" si="19"/>
        <v>0</v>
      </c>
      <c r="AM80" s="244">
        <f t="shared" si="19"/>
        <v>0</v>
      </c>
      <c r="AN80" s="244">
        <f t="shared" si="19"/>
        <v>0</v>
      </c>
      <c r="AO80" s="244">
        <f t="shared" si="19"/>
        <v>0</v>
      </c>
      <c r="AP80" s="244">
        <f t="shared" si="20"/>
        <v>0</v>
      </c>
      <c r="AQ80" s="244">
        <f t="shared" si="20"/>
        <v>1</v>
      </c>
      <c r="AR80" s="244">
        <f t="shared" si="20"/>
        <v>0</v>
      </c>
      <c r="AS80" s="244">
        <f t="shared" si="20"/>
        <v>0</v>
      </c>
      <c r="AT80" s="244">
        <f t="shared" si="20"/>
        <v>0</v>
      </c>
      <c r="AU80" s="244">
        <f t="shared" si="20"/>
        <v>0</v>
      </c>
      <c r="AV80" s="244">
        <f t="shared" si="20"/>
        <v>0</v>
      </c>
      <c r="AW80" s="244"/>
      <c r="AX80" s="244"/>
      <c r="AY80" s="244"/>
      <c r="AZ80" s="244"/>
      <c r="BA80" s="244"/>
      <c r="BB80" s="244"/>
    </row>
    <row r="81" spans="1:54" ht="15" hidden="1">
      <c r="A81" s="331" t="s">
        <v>539</v>
      </c>
      <c r="B81" s="295" t="str">
        <f t="shared" si="4"/>
        <v>Klugheit: 12 | Konstitution: 12 | Körperkraft: 12</v>
      </c>
      <c r="C81" s="308" t="b">
        <v>0</v>
      </c>
      <c r="D81" s="308" t="b">
        <v>0</v>
      </c>
      <c r="E81" s="308" t="b">
        <f t="shared" si="5"/>
        <v>1</v>
      </c>
      <c r="F81" t="s">
        <v>540</v>
      </c>
      <c r="G81" t="s">
        <v>110</v>
      </c>
      <c r="H81" t="s">
        <v>235</v>
      </c>
      <c r="I81" t="s">
        <v>541</v>
      </c>
      <c r="J81" s="295">
        <f>_xlfn.XLOOKUP(G81,Rechner!$A$17:$A$25,Rechner!$B$17:$B$25)</f>
        <v>4</v>
      </c>
      <c r="K81" s="295" t="str">
        <f>_xlfn.XLOOKUP(J81-SUMIF($V$31:$AV$31,TRUE,V81:AV81)-IF(D81=TRUE,1,0),Rechner!$B$17:$B$25,Rechner!$A$17:$A$25,"A+")</f>
        <v>B</v>
      </c>
      <c r="L81" s="295" t="str">
        <f>_xlfn.XLOOKUP(S81,Eigenschaften!$C$20:$C$27,Eigenschaften!$B$20:$B$27)</f>
        <v>Klugheit</v>
      </c>
      <c r="M81" s="295">
        <f>_xlfn.XLOOKUP(L81,Eigenschaften!$B$20:$B$27,Eigenschaften!$H$20:$H$27,"NaN",1)</f>
        <v>12</v>
      </c>
      <c r="N81" s="295" t="str">
        <f>_xlfn.XLOOKUP(T81,Eigenschaften!$C$20:$C$27,Eigenschaften!$B$20:$B$27)</f>
        <v>Konstitution</v>
      </c>
      <c r="O81" s="295">
        <f>_xlfn.XLOOKUP(N81,Eigenschaften!$B$20:$B$27,Eigenschaften!$H$20:$H$27,"NaN",1)</f>
        <v>12</v>
      </c>
      <c r="P81" s="295" t="str">
        <f>_xlfn.XLOOKUP(U81,Eigenschaften!$C$20:$C$27,Eigenschaften!$B$20:$B$27)</f>
        <v>Körperkraft</v>
      </c>
      <c r="Q81" s="295">
        <f>_xlfn.XLOOKUP(P81,Eigenschaften!$B$20:$B$27,Eigenschaften!$H$20:$H$27,"NaN",1)</f>
        <v>12</v>
      </c>
      <c r="R81" s="244"/>
      <c r="S81" s="244" t="str" cm="1">
        <f t="array" ref="S81:U81">_xlfn.TEXTSPLIT(F81,"/",,,,3)</f>
        <v>KL</v>
      </c>
      <c r="T81" s="244" t="str">
        <v>KO</v>
      </c>
      <c r="U81" s="244" t="str">
        <v>KK</v>
      </c>
      <c r="V81" s="244">
        <f t="shared" si="18"/>
        <v>0</v>
      </c>
      <c r="W81" s="244">
        <f t="shared" si="18"/>
        <v>0</v>
      </c>
      <c r="X81" s="244">
        <f t="shared" si="18"/>
        <v>1</v>
      </c>
      <c r="Y81" s="244">
        <f t="shared" si="18"/>
        <v>0</v>
      </c>
      <c r="Z81" s="244">
        <f t="shared" si="18"/>
        <v>0</v>
      </c>
      <c r="AA81" s="244">
        <f t="shared" si="18"/>
        <v>0</v>
      </c>
      <c r="AB81" s="244">
        <f t="shared" si="18"/>
        <v>0</v>
      </c>
      <c r="AC81" s="244">
        <f t="shared" si="18"/>
        <v>0</v>
      </c>
      <c r="AD81" s="244">
        <f t="shared" si="18"/>
        <v>0</v>
      </c>
      <c r="AE81" s="244">
        <f t="shared" si="18"/>
        <v>0</v>
      </c>
      <c r="AF81" s="244">
        <f t="shared" si="19"/>
        <v>0</v>
      </c>
      <c r="AG81" s="244">
        <f t="shared" si="19"/>
        <v>0</v>
      </c>
      <c r="AH81" s="244">
        <f t="shared" si="19"/>
        <v>0</v>
      </c>
      <c r="AI81" s="244">
        <f t="shared" si="19"/>
        <v>0</v>
      </c>
      <c r="AJ81" s="244">
        <f t="shared" si="19"/>
        <v>0</v>
      </c>
      <c r="AK81" s="244">
        <f t="shared" si="19"/>
        <v>0</v>
      </c>
      <c r="AL81" s="244">
        <f t="shared" si="19"/>
        <v>0</v>
      </c>
      <c r="AM81" s="244">
        <f t="shared" si="19"/>
        <v>0</v>
      </c>
      <c r="AN81" s="244">
        <f t="shared" si="19"/>
        <v>0</v>
      </c>
      <c r="AO81" s="244">
        <f t="shared" si="19"/>
        <v>0</v>
      </c>
      <c r="AP81" s="244">
        <f t="shared" si="20"/>
        <v>0</v>
      </c>
      <c r="AQ81" s="244">
        <f t="shared" si="20"/>
        <v>0</v>
      </c>
      <c r="AR81" s="244">
        <f t="shared" si="20"/>
        <v>0</v>
      </c>
      <c r="AS81" s="244">
        <f t="shared" si="20"/>
        <v>0</v>
      </c>
      <c r="AT81" s="244">
        <f t="shared" si="20"/>
        <v>0</v>
      </c>
      <c r="AU81" s="244">
        <f t="shared" si="20"/>
        <v>0</v>
      </c>
      <c r="AV81" s="244">
        <f t="shared" si="20"/>
        <v>0</v>
      </c>
      <c r="AW81" s="244"/>
      <c r="AX81" s="244"/>
      <c r="AY81" s="244"/>
      <c r="AZ81" s="244"/>
      <c r="BA81" s="244"/>
      <c r="BB81" s="244"/>
    </row>
    <row r="82" spans="1:54" ht="15" hidden="1">
      <c r="A82" s="331" t="s">
        <v>543</v>
      </c>
      <c r="B82" s="295" t="str">
        <f t="shared" si="4"/>
        <v>Charisma: 15 | Gewandheit: 14 | Konstitution: 12</v>
      </c>
      <c r="C82" s="308" t="b">
        <v>0</v>
      </c>
      <c r="D82" s="308" t="b">
        <v>0</v>
      </c>
      <c r="E82" s="308" t="b">
        <f t="shared" si="5"/>
        <v>0</v>
      </c>
      <c r="F82" t="s">
        <v>544</v>
      </c>
      <c r="G82" t="s">
        <v>110</v>
      </c>
      <c r="H82" t="s">
        <v>545</v>
      </c>
      <c r="I82" t="s">
        <v>546</v>
      </c>
      <c r="J82" s="295">
        <f>_xlfn.XLOOKUP(G82,Rechner!$A$17:$A$25,Rechner!$B$17:$B$25)</f>
        <v>4</v>
      </c>
      <c r="K82" s="295" t="str">
        <f>_xlfn.XLOOKUP(J82-SUMIF($V$31:$AV$31,TRUE,V82:AV82)-IF(D82=TRUE,1,0),Rechner!$B$17:$B$25,Rechner!$A$17:$A$25,"A+")</f>
        <v>B</v>
      </c>
      <c r="L82" s="295" t="str">
        <f>_xlfn.XLOOKUP(S82,Eigenschaften!$C$20:$C$27,Eigenschaften!$B$20:$B$27)</f>
        <v>Charisma</v>
      </c>
      <c r="M82" s="295">
        <f>_xlfn.XLOOKUP(L82,Eigenschaften!$B$20:$B$27,Eigenschaften!$H$20:$H$27,"NaN",1)</f>
        <v>15</v>
      </c>
      <c r="N82" s="295" t="str">
        <f>_xlfn.XLOOKUP(T82,Eigenschaften!$C$20:$C$27,Eigenschaften!$B$20:$B$27)</f>
        <v>Gewandheit</v>
      </c>
      <c r="O82" s="295">
        <f>_xlfn.XLOOKUP(N82,Eigenschaften!$B$20:$B$27,Eigenschaften!$H$20:$H$27,"NaN",1)</f>
        <v>14</v>
      </c>
      <c r="P82" s="295" t="str">
        <f>_xlfn.XLOOKUP(U82,Eigenschaften!$C$20:$C$27,Eigenschaften!$B$20:$B$27)</f>
        <v>Konstitution</v>
      </c>
      <c r="Q82" s="295">
        <f>_xlfn.XLOOKUP(P82,Eigenschaften!$B$20:$B$27,Eigenschaften!$H$20:$H$27,"NaN",1)</f>
        <v>12</v>
      </c>
      <c r="R82" s="244"/>
      <c r="S82" s="244" t="str" cm="1">
        <f t="array" ref="S82:U82">_xlfn.TEXTSPLIT(F82,"/",,,,3)</f>
        <v>CH</v>
      </c>
      <c r="T82" s="244" t="str">
        <v>GE</v>
      </c>
      <c r="U82" s="244" t="str">
        <v>KO</v>
      </c>
      <c r="V82" s="244">
        <f t="shared" si="18"/>
        <v>0</v>
      </c>
      <c r="W82" s="244">
        <f t="shared" si="18"/>
        <v>0</v>
      </c>
      <c r="X82" s="244">
        <f t="shared" si="18"/>
        <v>1</v>
      </c>
      <c r="Y82" s="244">
        <f t="shared" si="18"/>
        <v>1</v>
      </c>
      <c r="Z82" s="244">
        <f t="shared" si="18"/>
        <v>0</v>
      </c>
      <c r="AA82" s="244">
        <f t="shared" si="18"/>
        <v>0</v>
      </c>
      <c r="AB82" s="244">
        <f t="shared" si="18"/>
        <v>0</v>
      </c>
      <c r="AC82" s="244">
        <f t="shared" si="18"/>
        <v>1</v>
      </c>
      <c r="AD82" s="244">
        <f t="shared" si="18"/>
        <v>0</v>
      </c>
      <c r="AE82" s="244">
        <f t="shared" si="18"/>
        <v>0</v>
      </c>
      <c r="AF82" s="244">
        <f t="shared" si="19"/>
        <v>0</v>
      </c>
      <c r="AG82" s="244">
        <f t="shared" si="19"/>
        <v>0</v>
      </c>
      <c r="AH82" s="244">
        <f t="shared" si="19"/>
        <v>0</v>
      </c>
      <c r="AI82" s="244">
        <f t="shared" si="19"/>
        <v>0</v>
      </c>
      <c r="AJ82" s="244">
        <f t="shared" si="19"/>
        <v>0</v>
      </c>
      <c r="AK82" s="244">
        <f t="shared" si="19"/>
        <v>0</v>
      </c>
      <c r="AL82" s="244">
        <f t="shared" si="19"/>
        <v>0</v>
      </c>
      <c r="AM82" s="244">
        <f t="shared" si="19"/>
        <v>0</v>
      </c>
      <c r="AN82" s="244">
        <f t="shared" si="19"/>
        <v>0</v>
      </c>
      <c r="AO82" s="244">
        <f t="shared" si="19"/>
        <v>0</v>
      </c>
      <c r="AP82" s="244">
        <f t="shared" si="20"/>
        <v>0</v>
      </c>
      <c r="AQ82" s="244">
        <f t="shared" si="20"/>
        <v>0</v>
      </c>
      <c r="AR82" s="244">
        <f t="shared" si="20"/>
        <v>0</v>
      </c>
      <c r="AS82" s="244">
        <f t="shared" si="20"/>
        <v>0</v>
      </c>
      <c r="AT82" s="244">
        <f t="shared" si="20"/>
        <v>0</v>
      </c>
      <c r="AU82" s="244">
        <f t="shared" si="20"/>
        <v>0</v>
      </c>
      <c r="AV82" s="244">
        <f t="shared" si="20"/>
        <v>0</v>
      </c>
      <c r="AW82" s="244"/>
      <c r="AX82" s="244"/>
      <c r="AY82" s="244"/>
      <c r="AZ82" s="244"/>
      <c r="BA82" s="244"/>
      <c r="BB82" s="244"/>
    </row>
    <row r="83" spans="1:54" ht="15" hidden="1">
      <c r="A83" s="331" t="s">
        <v>547</v>
      </c>
      <c r="B83" s="295" t="str">
        <f t="shared" si="4"/>
        <v>Klugheit: 12 | Klugheit: 12 | Intuition: 15</v>
      </c>
      <c r="C83" s="308" t="b">
        <v>0</v>
      </c>
      <c r="D83" s="308" t="b">
        <v>0</v>
      </c>
      <c r="E83" s="308" t="b">
        <f t="shared" si="5"/>
        <v>1</v>
      </c>
      <c r="F83" t="s">
        <v>421</v>
      </c>
      <c r="G83" t="s">
        <v>110</v>
      </c>
      <c r="H83" t="s">
        <v>466</v>
      </c>
      <c r="I83" t="s">
        <v>548</v>
      </c>
      <c r="J83" s="295">
        <f>_xlfn.XLOOKUP(G83,Rechner!$A$17:$A$25,Rechner!$B$17:$B$25)</f>
        <v>4</v>
      </c>
      <c r="K83" s="295" t="str">
        <f>_xlfn.XLOOKUP(J83-SUMIF($V$31:$AV$31,TRUE,V83:AV83)-IF(D83=TRUE,1,0),Rechner!$B$17:$B$25,Rechner!$A$17:$A$25,"A+")</f>
        <v>C</v>
      </c>
      <c r="L83" s="295" t="str">
        <f>_xlfn.XLOOKUP(S83,Eigenschaften!$C$20:$C$27,Eigenschaften!$B$20:$B$27)</f>
        <v>Klugheit</v>
      </c>
      <c r="M83" s="295">
        <f>_xlfn.XLOOKUP(L83,Eigenschaften!$B$20:$B$27,Eigenschaften!$H$20:$H$27,"NaN",1)</f>
        <v>12</v>
      </c>
      <c r="N83" s="295" t="str">
        <f>_xlfn.XLOOKUP(T83,Eigenschaften!$C$20:$C$27,Eigenschaften!$B$20:$B$27)</f>
        <v>Klugheit</v>
      </c>
      <c r="O83" s="295">
        <f>_xlfn.XLOOKUP(N83,Eigenschaften!$B$20:$B$27,Eigenschaften!$H$20:$H$27,"NaN",1)</f>
        <v>12</v>
      </c>
      <c r="P83" s="295" t="str">
        <f>_xlfn.XLOOKUP(U83,Eigenschaften!$C$20:$C$27,Eigenschaften!$B$20:$B$27)</f>
        <v>Intuition</v>
      </c>
      <c r="Q83" s="295">
        <f>_xlfn.XLOOKUP(P83,Eigenschaften!$B$20:$B$27,Eigenschaften!$H$20:$H$27,"NaN",1)</f>
        <v>15</v>
      </c>
      <c r="R83" s="244"/>
      <c r="S83" s="244" t="str" cm="1">
        <f t="array" ref="S83:U83">_xlfn.TEXTSPLIT(F83,"/",,,,3)</f>
        <v>KL</v>
      </c>
      <c r="T83" s="244" t="str">
        <v>KL</v>
      </c>
      <c r="U83" s="244" t="str">
        <v>IN</v>
      </c>
      <c r="V83" s="244">
        <f t="shared" si="18"/>
        <v>0</v>
      </c>
      <c r="W83" s="244">
        <f t="shared" si="18"/>
        <v>0</v>
      </c>
      <c r="X83" s="244">
        <f t="shared" si="18"/>
        <v>0</v>
      </c>
      <c r="Y83" s="244">
        <f t="shared" si="18"/>
        <v>0</v>
      </c>
      <c r="Z83" s="244">
        <f t="shared" si="18"/>
        <v>0</v>
      </c>
      <c r="AA83" s="244">
        <f t="shared" si="18"/>
        <v>0</v>
      </c>
      <c r="AB83" s="244">
        <f t="shared" si="18"/>
        <v>0</v>
      </c>
      <c r="AC83" s="244">
        <f t="shared" si="18"/>
        <v>0</v>
      </c>
      <c r="AD83" s="244">
        <f t="shared" si="18"/>
        <v>0</v>
      </c>
      <c r="AE83" s="244">
        <f t="shared" si="18"/>
        <v>0</v>
      </c>
      <c r="AF83" s="244">
        <f t="shared" si="19"/>
        <v>0</v>
      </c>
      <c r="AG83" s="244">
        <f t="shared" si="19"/>
        <v>0</v>
      </c>
      <c r="AH83" s="244">
        <f t="shared" si="19"/>
        <v>0</v>
      </c>
      <c r="AI83" s="244">
        <f t="shared" si="19"/>
        <v>0</v>
      </c>
      <c r="AJ83" s="244">
        <f t="shared" si="19"/>
        <v>0</v>
      </c>
      <c r="AK83" s="244">
        <f t="shared" si="19"/>
        <v>0</v>
      </c>
      <c r="AL83" s="244">
        <f t="shared" si="19"/>
        <v>0</v>
      </c>
      <c r="AM83" s="244">
        <f t="shared" si="19"/>
        <v>0</v>
      </c>
      <c r="AN83" s="244">
        <f t="shared" si="19"/>
        <v>0</v>
      </c>
      <c r="AO83" s="244">
        <f t="shared" si="19"/>
        <v>0</v>
      </c>
      <c r="AP83" s="244">
        <f t="shared" si="20"/>
        <v>0</v>
      </c>
      <c r="AQ83" s="244">
        <f t="shared" si="20"/>
        <v>1</v>
      </c>
      <c r="AR83" s="244">
        <f t="shared" si="20"/>
        <v>0</v>
      </c>
      <c r="AS83" s="244">
        <f t="shared" si="20"/>
        <v>0</v>
      </c>
      <c r="AT83" s="244">
        <f t="shared" si="20"/>
        <v>0</v>
      </c>
      <c r="AU83" s="244">
        <f t="shared" si="20"/>
        <v>0</v>
      </c>
      <c r="AV83" s="244">
        <f t="shared" si="20"/>
        <v>1</v>
      </c>
      <c r="AW83" s="244"/>
      <c r="AX83" s="244"/>
      <c r="AY83" s="244"/>
      <c r="AZ83" s="244"/>
      <c r="BA83" s="244"/>
      <c r="BB83" s="244"/>
    </row>
    <row r="84" spans="1:54" ht="15" hidden="1">
      <c r="A84" s="331" t="s">
        <v>549</v>
      </c>
      <c r="B84" s="295" t="str">
        <f t="shared" si="4"/>
        <v>Klugheit: 12 | Fingerfertigkeit: 10 | Fingerfertigkeit: 10</v>
      </c>
      <c r="C84" s="308" t="b">
        <v>0</v>
      </c>
      <c r="D84" s="308" t="b">
        <v>0</v>
      </c>
      <c r="E84" s="308" t="b">
        <f t="shared" si="5"/>
        <v>0</v>
      </c>
      <c r="F84" t="s">
        <v>432</v>
      </c>
      <c r="G84" t="s">
        <v>110</v>
      </c>
      <c r="H84" t="s">
        <v>550</v>
      </c>
      <c r="I84" t="s">
        <v>551</v>
      </c>
      <c r="J84" s="295">
        <f>_xlfn.XLOOKUP(G84,Rechner!$A$17:$A$25,Rechner!$B$17:$B$25)</f>
        <v>4</v>
      </c>
      <c r="K84" s="295" t="str">
        <f>_xlfn.XLOOKUP(J84-SUMIF($V$31:$AV$31,TRUE,V84:AV84)-IF(D84=TRUE,1,0),Rechner!$B$17:$B$25,Rechner!$A$17:$A$25,"A+")</f>
        <v>C</v>
      </c>
      <c r="L84" s="295" t="str">
        <f>_xlfn.XLOOKUP(S84,Eigenschaften!$C$20:$C$27,Eigenschaften!$B$20:$B$27)</f>
        <v>Klugheit</v>
      </c>
      <c r="M84" s="295">
        <f>_xlfn.XLOOKUP(L84,Eigenschaften!$B$20:$B$27,Eigenschaften!$H$20:$H$27,"NaN",1)</f>
        <v>12</v>
      </c>
      <c r="N84" s="295" t="str">
        <f>_xlfn.XLOOKUP(T84,Eigenschaften!$C$20:$C$27,Eigenschaften!$B$20:$B$27)</f>
        <v>Fingerfertigkeit</v>
      </c>
      <c r="O84" s="295">
        <f>_xlfn.XLOOKUP(N84,Eigenschaften!$B$20:$B$27,Eigenschaften!$H$20:$H$27,"NaN",1)</f>
        <v>10</v>
      </c>
      <c r="P84" s="295" t="str">
        <f>_xlfn.XLOOKUP(U84,Eigenschaften!$C$20:$C$27,Eigenschaften!$B$20:$B$27)</f>
        <v>Fingerfertigkeit</v>
      </c>
      <c r="Q84" s="295">
        <f>_xlfn.XLOOKUP(P84,Eigenschaften!$B$20:$B$27,Eigenschaften!$H$20:$H$27,"NaN",1)</f>
        <v>10</v>
      </c>
      <c r="R84" s="244"/>
      <c r="S84" s="244" t="str" cm="1">
        <f t="array" ref="S84:U84">_xlfn.TEXTSPLIT(F84,"/",,,,3)</f>
        <v>KL</v>
      </c>
      <c r="T84" s="244" t="str">
        <v>FF</v>
      </c>
      <c r="U84" s="244" t="str">
        <v>FF</v>
      </c>
      <c r="V84" s="244">
        <f t="shared" si="18"/>
        <v>0</v>
      </c>
      <c r="W84" s="244">
        <f t="shared" si="18"/>
        <v>0</v>
      </c>
      <c r="X84" s="244">
        <f t="shared" si="18"/>
        <v>0</v>
      </c>
      <c r="Y84" s="244">
        <f t="shared" si="18"/>
        <v>1</v>
      </c>
      <c r="Z84" s="244">
        <f t="shared" si="18"/>
        <v>0</v>
      </c>
      <c r="AA84" s="244">
        <f t="shared" si="18"/>
        <v>1</v>
      </c>
      <c r="AB84" s="244">
        <f t="shared" si="18"/>
        <v>0</v>
      </c>
      <c r="AC84" s="244">
        <f t="shared" si="18"/>
        <v>0</v>
      </c>
      <c r="AD84" s="244">
        <f t="shared" si="18"/>
        <v>0</v>
      </c>
      <c r="AE84" s="244">
        <f t="shared" si="18"/>
        <v>0</v>
      </c>
      <c r="AF84" s="244">
        <f t="shared" si="19"/>
        <v>0</v>
      </c>
      <c r="AG84" s="244">
        <f t="shared" si="19"/>
        <v>0</v>
      </c>
      <c r="AH84" s="244">
        <f t="shared" si="19"/>
        <v>0</v>
      </c>
      <c r="AI84" s="244">
        <f t="shared" si="19"/>
        <v>0</v>
      </c>
      <c r="AJ84" s="244">
        <f t="shared" si="19"/>
        <v>0</v>
      </c>
      <c r="AK84" s="244">
        <f t="shared" si="19"/>
        <v>0</v>
      </c>
      <c r="AL84" s="244">
        <f t="shared" si="19"/>
        <v>0</v>
      </c>
      <c r="AM84" s="244">
        <f t="shared" si="19"/>
        <v>0</v>
      </c>
      <c r="AN84" s="244">
        <f t="shared" si="19"/>
        <v>0</v>
      </c>
      <c r="AO84" s="244">
        <f t="shared" si="19"/>
        <v>0</v>
      </c>
      <c r="AP84" s="244">
        <f t="shared" si="20"/>
        <v>1</v>
      </c>
      <c r="AQ84" s="244">
        <f t="shared" si="20"/>
        <v>1</v>
      </c>
      <c r="AR84" s="244">
        <f t="shared" si="20"/>
        <v>0</v>
      </c>
      <c r="AS84" s="244">
        <f t="shared" si="20"/>
        <v>0</v>
      </c>
      <c r="AT84" s="244">
        <f t="shared" si="20"/>
        <v>0</v>
      </c>
      <c r="AU84" s="244">
        <f t="shared" si="20"/>
        <v>0</v>
      </c>
      <c r="AV84" s="244">
        <f t="shared" si="20"/>
        <v>0</v>
      </c>
      <c r="AW84" s="244"/>
      <c r="AX84" s="244"/>
      <c r="AY84" s="244"/>
      <c r="AZ84" s="244"/>
      <c r="BA84" s="244"/>
      <c r="BB84" s="244"/>
    </row>
    <row r="85" spans="1:54" ht="15" hidden="1">
      <c r="A85" s="331" t="s">
        <v>553</v>
      </c>
      <c r="B85" s="295" t="str">
        <f t="shared" si="4"/>
        <v>Mut: 13 | Charisma: 15 | Konstitution: 12</v>
      </c>
      <c r="C85" s="308" t="b">
        <v>0</v>
      </c>
      <c r="D85" s="308" t="b">
        <v>0</v>
      </c>
      <c r="E85" s="308" t="b">
        <f t="shared" si="5"/>
        <v>0</v>
      </c>
      <c r="F85" t="s">
        <v>340</v>
      </c>
      <c r="G85" t="s">
        <v>110</v>
      </c>
      <c r="H85" t="s">
        <v>554</v>
      </c>
      <c r="I85" t="s">
        <v>413</v>
      </c>
      <c r="J85" s="295">
        <f>_xlfn.XLOOKUP(G85,Rechner!$A$17:$A$25,Rechner!$B$17:$B$25)</f>
        <v>4</v>
      </c>
      <c r="K85" s="295" t="str">
        <f>_xlfn.XLOOKUP(J85-SUMIF($V$31:$AV$31,TRUE,V85:AV85)-IF(D85=TRUE,1,0),Rechner!$B$17:$B$25,Rechner!$A$17:$A$25,"A+")</f>
        <v>C</v>
      </c>
      <c r="L85" s="295" t="str">
        <f>_xlfn.XLOOKUP(S85,Eigenschaften!$C$20:$C$27,Eigenschaften!$B$20:$B$27)</f>
        <v>Mut</v>
      </c>
      <c r="M85" s="295">
        <f>_xlfn.XLOOKUP(L85,Eigenschaften!$B$20:$B$27,Eigenschaften!$H$20:$H$27,"NaN",1)</f>
        <v>13</v>
      </c>
      <c r="N85" s="295" t="str">
        <f>_xlfn.XLOOKUP(T85,Eigenschaften!$C$20:$C$27,Eigenschaften!$B$20:$B$27)</f>
        <v>Charisma</v>
      </c>
      <c r="O85" s="295">
        <f>_xlfn.XLOOKUP(N85,Eigenschaften!$B$20:$B$27,Eigenschaften!$H$20:$H$27,"NaN",1)</f>
        <v>15</v>
      </c>
      <c r="P85" s="295" t="str">
        <f>_xlfn.XLOOKUP(U85,Eigenschaften!$C$20:$C$27,Eigenschaften!$B$20:$B$27)</f>
        <v>Konstitution</v>
      </c>
      <c r="Q85" s="295">
        <f>_xlfn.XLOOKUP(P85,Eigenschaften!$B$20:$B$27,Eigenschaften!$H$20:$H$27,"NaN",1)</f>
        <v>12</v>
      </c>
      <c r="R85" s="244"/>
      <c r="S85" s="244" t="str" cm="1">
        <f t="array" ref="S85:U85">_xlfn.TEXTSPLIT(F85,"/",,,,3)</f>
        <v>MU</v>
      </c>
      <c r="T85" s="244" t="str">
        <v>CH</v>
      </c>
      <c r="U85" s="244" t="str">
        <v>KO</v>
      </c>
      <c r="V85" s="244">
        <f t="shared" si="18"/>
        <v>1</v>
      </c>
      <c r="W85" s="244">
        <f t="shared" si="18"/>
        <v>0</v>
      </c>
      <c r="X85" s="244">
        <f t="shared" si="18"/>
        <v>0</v>
      </c>
      <c r="Y85" s="244">
        <f t="shared" si="18"/>
        <v>0</v>
      </c>
      <c r="Z85" s="244">
        <f t="shared" si="18"/>
        <v>0</v>
      </c>
      <c r="AA85" s="244">
        <f t="shared" si="18"/>
        <v>0</v>
      </c>
      <c r="AB85" s="244">
        <f t="shared" si="18"/>
        <v>0</v>
      </c>
      <c r="AC85" s="244">
        <f t="shared" si="18"/>
        <v>0</v>
      </c>
      <c r="AD85" s="244">
        <f t="shared" si="18"/>
        <v>0</v>
      </c>
      <c r="AE85" s="244">
        <f t="shared" si="18"/>
        <v>0</v>
      </c>
      <c r="AF85" s="244">
        <f t="shared" si="19"/>
        <v>0</v>
      </c>
      <c r="AG85" s="244">
        <f t="shared" si="19"/>
        <v>0</v>
      </c>
      <c r="AH85" s="244">
        <f t="shared" si="19"/>
        <v>0</v>
      </c>
      <c r="AI85" s="244">
        <f t="shared" si="19"/>
        <v>0</v>
      </c>
      <c r="AJ85" s="244">
        <f t="shared" si="19"/>
        <v>0</v>
      </c>
      <c r="AK85" s="244">
        <f t="shared" si="19"/>
        <v>0</v>
      </c>
      <c r="AL85" s="244">
        <f t="shared" si="19"/>
        <v>0</v>
      </c>
      <c r="AM85" s="244">
        <f t="shared" si="19"/>
        <v>0</v>
      </c>
      <c r="AN85" s="244">
        <f t="shared" si="19"/>
        <v>0</v>
      </c>
      <c r="AO85" s="244">
        <f t="shared" si="19"/>
        <v>0</v>
      </c>
      <c r="AP85" s="244">
        <f t="shared" si="20"/>
        <v>0</v>
      </c>
      <c r="AQ85" s="244">
        <f t="shared" si="20"/>
        <v>0</v>
      </c>
      <c r="AR85" s="244">
        <f t="shared" si="20"/>
        <v>0</v>
      </c>
      <c r="AS85" s="244">
        <f t="shared" si="20"/>
        <v>0</v>
      </c>
      <c r="AT85" s="244">
        <f t="shared" si="20"/>
        <v>0</v>
      </c>
      <c r="AU85" s="244">
        <f t="shared" si="20"/>
        <v>0</v>
      </c>
      <c r="AV85" s="244">
        <f t="shared" si="20"/>
        <v>0</v>
      </c>
      <c r="AW85" s="244"/>
      <c r="AX85" s="244"/>
      <c r="AY85" s="244"/>
      <c r="AZ85" s="244"/>
      <c r="BA85" s="244"/>
      <c r="BB85" s="244"/>
    </row>
    <row r="86" spans="1:54" ht="15" hidden="1">
      <c r="A86" s="331" t="s">
        <v>556</v>
      </c>
      <c r="B86" s="295" t="str">
        <f t="shared" si="4"/>
        <v>Klugheit: 12 | Charisma: 15 | Fingerfertigkeit: 10</v>
      </c>
      <c r="C86" s="308" t="b">
        <v>0</v>
      </c>
      <c r="D86" s="308" t="b">
        <v>0</v>
      </c>
      <c r="E86" s="308" t="b">
        <f t="shared" si="5"/>
        <v>0</v>
      </c>
      <c r="F86" t="s">
        <v>393</v>
      </c>
      <c r="G86" t="s">
        <v>113</v>
      </c>
      <c r="H86" t="s">
        <v>375</v>
      </c>
      <c r="I86" t="s">
        <v>557</v>
      </c>
      <c r="J86" s="295">
        <f>_xlfn.XLOOKUP(G86,Rechner!$A$17:$A$25,Rechner!$B$17:$B$25)</f>
        <v>5</v>
      </c>
      <c r="K86" s="295" t="str">
        <f>_xlfn.XLOOKUP(J86-SUMIF($V$31:$AV$31,TRUE,V86:AV86)-IF(D86=TRUE,1,0),Rechner!$B$17:$B$25,Rechner!$A$17:$A$25,"A+")</f>
        <v>D</v>
      </c>
      <c r="L86" s="295" t="str">
        <f>_xlfn.XLOOKUP(S86,Eigenschaften!$C$20:$C$27,Eigenschaften!$B$20:$B$27)</f>
        <v>Klugheit</v>
      </c>
      <c r="M86" s="295">
        <f>_xlfn.XLOOKUP(L86,Eigenschaften!$B$20:$B$27,Eigenschaften!$H$20:$H$27,"NaN",1)</f>
        <v>12</v>
      </c>
      <c r="N86" s="295" t="str">
        <f>_xlfn.XLOOKUP(T86,Eigenschaften!$C$20:$C$27,Eigenschaften!$B$20:$B$27)</f>
        <v>Charisma</v>
      </c>
      <c r="O86" s="295">
        <f>_xlfn.XLOOKUP(N86,Eigenschaften!$B$20:$B$27,Eigenschaften!$H$20:$H$27,"NaN",1)</f>
        <v>15</v>
      </c>
      <c r="P86" s="295" t="str">
        <f>_xlfn.XLOOKUP(U86,Eigenschaften!$C$20:$C$27,Eigenschaften!$B$20:$B$27)</f>
        <v>Fingerfertigkeit</v>
      </c>
      <c r="Q86" s="295">
        <f>_xlfn.XLOOKUP(P86,Eigenschaften!$B$20:$B$27,Eigenschaften!$H$20:$H$27,"NaN",1)</f>
        <v>10</v>
      </c>
      <c r="R86" s="244"/>
      <c r="S86" s="244" t="str" cm="1">
        <f t="array" ref="S86:U86">_xlfn.TEXTSPLIT(F86,"/",,,,3)</f>
        <v>KL</v>
      </c>
      <c r="T86" s="244" t="str">
        <v>CH</v>
      </c>
      <c r="U86" s="244" t="str">
        <v>FF</v>
      </c>
      <c r="V86" s="244">
        <f t="shared" ref="V86:AE95" si="21">IF(ISNUMBER(SEARCH(V$32,$H86)),1,0)</f>
        <v>0</v>
      </c>
      <c r="W86" s="244">
        <f t="shared" si="21"/>
        <v>0</v>
      </c>
      <c r="X86" s="244">
        <f t="shared" si="21"/>
        <v>0</v>
      </c>
      <c r="Y86" s="244">
        <f t="shared" si="21"/>
        <v>0</v>
      </c>
      <c r="Z86" s="244">
        <f t="shared" si="21"/>
        <v>0</v>
      </c>
      <c r="AA86" s="244">
        <f t="shared" si="21"/>
        <v>0</v>
      </c>
      <c r="AB86" s="244">
        <f t="shared" si="21"/>
        <v>0</v>
      </c>
      <c r="AC86" s="244">
        <f t="shared" si="21"/>
        <v>0</v>
      </c>
      <c r="AD86" s="244">
        <f t="shared" si="21"/>
        <v>0</v>
      </c>
      <c r="AE86" s="244">
        <f t="shared" si="21"/>
        <v>0</v>
      </c>
      <c r="AF86" s="244">
        <f t="shared" ref="AF86:AO95" si="22">IF(ISNUMBER(SEARCH(AF$32,$H86)),1,0)</f>
        <v>0</v>
      </c>
      <c r="AG86" s="244">
        <f t="shared" si="22"/>
        <v>0</v>
      </c>
      <c r="AH86" s="244">
        <f t="shared" si="22"/>
        <v>0</v>
      </c>
      <c r="AI86" s="244">
        <f t="shared" si="22"/>
        <v>0</v>
      </c>
      <c r="AJ86" s="244">
        <f t="shared" si="22"/>
        <v>0</v>
      </c>
      <c r="AK86" s="244">
        <f t="shared" si="22"/>
        <v>0</v>
      </c>
      <c r="AL86" s="244">
        <f t="shared" si="22"/>
        <v>0</v>
      </c>
      <c r="AM86" s="244">
        <f t="shared" si="22"/>
        <v>1</v>
      </c>
      <c r="AN86" s="244">
        <f t="shared" si="22"/>
        <v>0</v>
      </c>
      <c r="AO86" s="244">
        <f t="shared" si="22"/>
        <v>0</v>
      </c>
      <c r="AP86" s="244">
        <f t="shared" ref="AP86:AV95" si="23">IF(ISNUMBER(SEARCH(AP$32,$H86)),1,0)</f>
        <v>0</v>
      </c>
      <c r="AQ86" s="244">
        <f t="shared" si="23"/>
        <v>0</v>
      </c>
      <c r="AR86" s="244">
        <f t="shared" si="23"/>
        <v>0</v>
      </c>
      <c r="AS86" s="244">
        <f t="shared" si="23"/>
        <v>0</v>
      </c>
      <c r="AT86" s="244">
        <f t="shared" si="23"/>
        <v>0</v>
      </c>
      <c r="AU86" s="244">
        <f t="shared" si="23"/>
        <v>0</v>
      </c>
      <c r="AV86" s="244">
        <f t="shared" si="23"/>
        <v>0</v>
      </c>
      <c r="AW86" s="244"/>
      <c r="AX86" s="244"/>
      <c r="AY86" s="244"/>
      <c r="AZ86" s="244"/>
      <c r="BA86" s="244"/>
      <c r="BB86" s="244"/>
    </row>
    <row r="87" spans="1:54" ht="15" hidden="1">
      <c r="A87" s="331" t="s">
        <v>558</v>
      </c>
      <c r="B87" s="295" t="str">
        <f t="shared" si="4"/>
        <v>Klugheit: 12 | Konstitution: 12 | Körperkraft: 12</v>
      </c>
      <c r="C87" s="308" t="b">
        <v>0</v>
      </c>
      <c r="D87" s="308" t="b">
        <v>0</v>
      </c>
      <c r="E87" s="308" t="b">
        <f t="shared" si="5"/>
        <v>0</v>
      </c>
      <c r="F87" t="s">
        <v>540</v>
      </c>
      <c r="G87" t="s">
        <v>113</v>
      </c>
      <c r="H87" t="s">
        <v>559</v>
      </c>
      <c r="I87" t="s">
        <v>430</v>
      </c>
      <c r="J87" s="295">
        <f>_xlfn.XLOOKUP(G87,Rechner!$A$17:$A$25,Rechner!$B$17:$B$25)</f>
        <v>5</v>
      </c>
      <c r="K87" s="295" t="str">
        <f>_xlfn.XLOOKUP(J87-SUMIF($V$31:$AV$31,TRUE,V87:AV87)-IF(D87=TRUE,1,0),Rechner!$B$17:$B$25,Rechner!$A$17:$A$25,"A+")</f>
        <v>D</v>
      </c>
      <c r="L87" s="295" t="str">
        <f>_xlfn.XLOOKUP(S87,Eigenschaften!$C$20:$C$27,Eigenschaften!$B$20:$B$27)</f>
        <v>Klugheit</v>
      </c>
      <c r="M87" s="295">
        <f>_xlfn.XLOOKUP(L87,Eigenschaften!$B$20:$B$27,Eigenschaften!$H$20:$H$27,"NaN",1)</f>
        <v>12</v>
      </c>
      <c r="N87" s="295" t="str">
        <f>_xlfn.XLOOKUP(T87,Eigenschaften!$C$20:$C$27,Eigenschaften!$B$20:$B$27)</f>
        <v>Konstitution</v>
      </c>
      <c r="O87" s="295">
        <f>_xlfn.XLOOKUP(N87,Eigenschaften!$B$20:$B$27,Eigenschaften!$H$20:$H$27,"NaN",1)</f>
        <v>12</v>
      </c>
      <c r="P87" s="295" t="str">
        <f>_xlfn.XLOOKUP(U87,Eigenschaften!$C$20:$C$27,Eigenschaften!$B$20:$B$27)</f>
        <v>Körperkraft</v>
      </c>
      <c r="Q87" s="295">
        <f>_xlfn.XLOOKUP(P87,Eigenschaften!$B$20:$B$27,Eigenschaften!$H$20:$H$27,"NaN",1)</f>
        <v>12</v>
      </c>
      <c r="R87" s="244"/>
      <c r="S87" s="244" t="str" cm="1">
        <f t="array" ref="S87:U87">_xlfn.TEXTSPLIT(F87,"/",,,,3)</f>
        <v>KL</v>
      </c>
      <c r="T87" s="244" t="str">
        <v>KO</v>
      </c>
      <c r="U87" s="244" t="str">
        <v>KK</v>
      </c>
      <c r="V87" s="244">
        <f t="shared" si="21"/>
        <v>0</v>
      </c>
      <c r="W87" s="244">
        <f t="shared" si="21"/>
        <v>0</v>
      </c>
      <c r="X87" s="244">
        <f t="shared" si="21"/>
        <v>0</v>
      </c>
      <c r="Y87" s="244">
        <f t="shared" si="21"/>
        <v>0</v>
      </c>
      <c r="Z87" s="244">
        <f t="shared" si="21"/>
        <v>0</v>
      </c>
      <c r="AA87" s="244">
        <f t="shared" si="21"/>
        <v>0</v>
      </c>
      <c r="AB87" s="244">
        <f t="shared" si="21"/>
        <v>0</v>
      </c>
      <c r="AC87" s="244">
        <f t="shared" si="21"/>
        <v>0</v>
      </c>
      <c r="AD87" s="244">
        <f t="shared" si="21"/>
        <v>0</v>
      </c>
      <c r="AE87" s="244">
        <f t="shared" si="21"/>
        <v>0</v>
      </c>
      <c r="AF87" s="244">
        <f t="shared" si="22"/>
        <v>0</v>
      </c>
      <c r="AG87" s="244">
        <f t="shared" si="22"/>
        <v>0</v>
      </c>
      <c r="AH87" s="244">
        <f t="shared" si="22"/>
        <v>0</v>
      </c>
      <c r="AI87" s="244">
        <f t="shared" si="22"/>
        <v>0</v>
      </c>
      <c r="AJ87" s="244">
        <f t="shared" si="22"/>
        <v>0</v>
      </c>
      <c r="AK87" s="244">
        <f t="shared" si="22"/>
        <v>0</v>
      </c>
      <c r="AL87" s="244">
        <f t="shared" si="22"/>
        <v>0</v>
      </c>
      <c r="AM87" s="244">
        <f t="shared" si="22"/>
        <v>0</v>
      </c>
      <c r="AN87" s="244">
        <f t="shared" si="22"/>
        <v>0</v>
      </c>
      <c r="AO87" s="244">
        <f t="shared" si="22"/>
        <v>0</v>
      </c>
      <c r="AP87" s="244">
        <f t="shared" si="23"/>
        <v>0</v>
      </c>
      <c r="AQ87" s="244">
        <f t="shared" si="23"/>
        <v>1</v>
      </c>
      <c r="AR87" s="244">
        <f t="shared" si="23"/>
        <v>1</v>
      </c>
      <c r="AS87" s="244">
        <f t="shared" si="23"/>
        <v>0</v>
      </c>
      <c r="AT87" s="244">
        <f t="shared" si="23"/>
        <v>0</v>
      </c>
      <c r="AU87" s="244">
        <f t="shared" si="23"/>
        <v>0</v>
      </c>
      <c r="AV87" s="244">
        <f t="shared" si="23"/>
        <v>0</v>
      </c>
      <c r="AW87" s="244"/>
      <c r="AX87" s="244"/>
      <c r="AY87" s="244"/>
      <c r="AZ87" s="244"/>
      <c r="BA87" s="244"/>
      <c r="BB87" s="244"/>
    </row>
    <row r="88" spans="1:54" ht="15" hidden="1">
      <c r="A88" s="331" t="s">
        <v>560</v>
      </c>
      <c r="B88" s="295" t="str">
        <f t="shared" si="4"/>
        <v>Klugheit: 12 | Klugheit: 12 | Fingerfertigkeit: 10</v>
      </c>
      <c r="C88" s="308" t="b">
        <v>0</v>
      </c>
      <c r="D88" s="308" t="b">
        <v>0</v>
      </c>
      <c r="E88" s="308" t="b">
        <f t="shared" si="5"/>
        <v>0</v>
      </c>
      <c r="F88" t="s">
        <v>343</v>
      </c>
      <c r="G88" t="s">
        <v>429</v>
      </c>
      <c r="H88" t="s">
        <v>561</v>
      </c>
      <c r="I88" t="s">
        <v>562</v>
      </c>
      <c r="J88" s="295">
        <f>_xlfn.XLOOKUP(G88,Rechner!$A$17:$A$25,Rechner!$B$17:$B$25)</f>
        <v>6</v>
      </c>
      <c r="K88" s="295" t="str">
        <f>_xlfn.XLOOKUP(J88-SUMIF($V$31:$AV$31,TRUE,V88:AV88)-IF(D88=TRUE,1,0),Rechner!$B$17:$B$25,Rechner!$A$17:$A$25,"A+")</f>
        <v>E</v>
      </c>
      <c r="L88" s="295" t="str">
        <f>_xlfn.XLOOKUP(S88,Eigenschaften!$C$20:$C$27,Eigenschaften!$B$20:$B$27)</f>
        <v>Klugheit</v>
      </c>
      <c r="M88" s="295">
        <f>_xlfn.XLOOKUP(L88,Eigenschaften!$B$20:$B$27,Eigenschaften!$H$20:$H$27,"NaN",1)</f>
        <v>12</v>
      </c>
      <c r="N88" s="295" t="str">
        <f>_xlfn.XLOOKUP(T88,Eigenschaften!$C$20:$C$27,Eigenschaften!$B$20:$B$27)</f>
        <v>Klugheit</v>
      </c>
      <c r="O88" s="295">
        <f>_xlfn.XLOOKUP(N88,Eigenschaften!$B$20:$B$27,Eigenschaften!$H$20:$H$27,"NaN",1)</f>
        <v>12</v>
      </c>
      <c r="P88" s="295" t="str">
        <f>_xlfn.XLOOKUP(U88,Eigenschaften!$C$20:$C$27,Eigenschaften!$B$20:$B$27)</f>
        <v>Fingerfertigkeit</v>
      </c>
      <c r="Q88" s="295">
        <f>_xlfn.XLOOKUP(P88,Eigenschaften!$B$20:$B$27,Eigenschaften!$H$20:$H$27,"NaN",1)</f>
        <v>10</v>
      </c>
      <c r="R88" s="244"/>
      <c r="S88" s="244" t="str" cm="1">
        <f t="array" ref="S88:U88">_xlfn.TEXTSPLIT(F88,"/",,,,3)</f>
        <v>KL</v>
      </c>
      <c r="T88" s="244" t="str">
        <v>KL</v>
      </c>
      <c r="U88" s="244" t="str">
        <v>FF</v>
      </c>
      <c r="V88" s="244">
        <f t="shared" si="21"/>
        <v>1</v>
      </c>
      <c r="W88" s="244">
        <f t="shared" si="21"/>
        <v>0</v>
      </c>
      <c r="X88" s="244">
        <f t="shared" si="21"/>
        <v>0</v>
      </c>
      <c r="Y88" s="244">
        <f t="shared" si="21"/>
        <v>0</v>
      </c>
      <c r="Z88" s="244">
        <f t="shared" si="21"/>
        <v>0</v>
      </c>
      <c r="AA88" s="244">
        <f t="shared" si="21"/>
        <v>0</v>
      </c>
      <c r="AB88" s="244">
        <f t="shared" si="21"/>
        <v>0</v>
      </c>
      <c r="AC88" s="244">
        <f t="shared" si="21"/>
        <v>0</v>
      </c>
      <c r="AD88" s="244">
        <f t="shared" si="21"/>
        <v>0</v>
      </c>
      <c r="AE88" s="244">
        <f t="shared" si="21"/>
        <v>0</v>
      </c>
      <c r="AF88" s="244">
        <f t="shared" si="22"/>
        <v>0</v>
      </c>
      <c r="AG88" s="244">
        <f t="shared" si="22"/>
        <v>0</v>
      </c>
      <c r="AH88" s="244">
        <f t="shared" si="22"/>
        <v>0</v>
      </c>
      <c r="AI88" s="244">
        <f t="shared" si="22"/>
        <v>0</v>
      </c>
      <c r="AJ88" s="244">
        <f t="shared" si="22"/>
        <v>0</v>
      </c>
      <c r="AK88" s="244">
        <f t="shared" si="22"/>
        <v>0</v>
      </c>
      <c r="AL88" s="244">
        <f t="shared" si="22"/>
        <v>0</v>
      </c>
      <c r="AM88" s="244">
        <f t="shared" si="22"/>
        <v>0</v>
      </c>
      <c r="AN88" s="244">
        <f t="shared" si="22"/>
        <v>1</v>
      </c>
      <c r="AO88" s="244">
        <f t="shared" si="22"/>
        <v>0</v>
      </c>
      <c r="AP88" s="244">
        <f t="shared" si="23"/>
        <v>1</v>
      </c>
      <c r="AQ88" s="244">
        <f t="shared" si="23"/>
        <v>0</v>
      </c>
      <c r="AR88" s="244">
        <f t="shared" si="23"/>
        <v>0</v>
      </c>
      <c r="AS88" s="244">
        <f t="shared" si="23"/>
        <v>0</v>
      </c>
      <c r="AT88" s="244">
        <f t="shared" si="23"/>
        <v>0</v>
      </c>
      <c r="AU88" s="244">
        <f t="shared" si="23"/>
        <v>0</v>
      </c>
      <c r="AV88" s="244">
        <f t="shared" si="23"/>
        <v>0</v>
      </c>
      <c r="AW88" s="244"/>
      <c r="AX88" s="244"/>
      <c r="AY88" s="244"/>
      <c r="AZ88" s="244"/>
      <c r="BA88" s="244"/>
      <c r="BB88" s="244"/>
    </row>
    <row r="89" spans="1:54" ht="15" hidden="1">
      <c r="A89" s="331" t="s">
        <v>564</v>
      </c>
      <c r="B89" s="295" t="str">
        <f t="shared" si="4"/>
        <v>Klugheit: 12 | Intuition: 15 | Charisma: 15</v>
      </c>
      <c r="C89" s="308" t="b">
        <v>0</v>
      </c>
      <c r="D89" s="308" t="b">
        <v>0</v>
      </c>
      <c r="E89" s="308" t="b">
        <f t="shared" si="5"/>
        <v>0</v>
      </c>
      <c r="F89" t="s">
        <v>307</v>
      </c>
      <c r="G89" t="s">
        <v>110</v>
      </c>
      <c r="H89" t="s">
        <v>374</v>
      </c>
      <c r="I89" t="s">
        <v>565</v>
      </c>
      <c r="J89" s="295">
        <f>_xlfn.XLOOKUP(G89,Rechner!$A$17:$A$25,Rechner!$B$17:$B$25)</f>
        <v>4</v>
      </c>
      <c r="K89" s="295" t="str">
        <f>_xlfn.XLOOKUP(J89-SUMIF($V$31:$AV$31,TRUE,V89:AV89)-IF(D89=TRUE,1,0),Rechner!$B$17:$B$25,Rechner!$A$17:$A$25,"A+")</f>
        <v>C</v>
      </c>
      <c r="L89" s="295" t="str">
        <f>_xlfn.XLOOKUP(S89,Eigenschaften!$C$20:$C$27,Eigenschaften!$B$20:$B$27)</f>
        <v>Klugheit</v>
      </c>
      <c r="M89" s="295">
        <f>_xlfn.XLOOKUP(L89,Eigenschaften!$B$20:$B$27,Eigenschaften!$H$20:$H$27,"NaN",1)</f>
        <v>12</v>
      </c>
      <c r="N89" s="295" t="str">
        <f>_xlfn.XLOOKUP(T89,Eigenschaften!$C$20:$C$27,Eigenschaften!$B$20:$B$27)</f>
        <v>Intuition</v>
      </c>
      <c r="O89" s="295">
        <f>_xlfn.XLOOKUP(N89,Eigenschaften!$B$20:$B$27,Eigenschaften!$H$20:$H$27,"NaN",1)</f>
        <v>15</v>
      </c>
      <c r="P89" s="295" t="str">
        <f>_xlfn.XLOOKUP(U89,Eigenschaften!$C$20:$C$27,Eigenschaften!$B$20:$B$27)</f>
        <v>Charisma</v>
      </c>
      <c r="Q89" s="295">
        <f>_xlfn.XLOOKUP(P89,Eigenschaften!$B$20:$B$27,Eigenschaften!$H$20:$H$27,"NaN",1)</f>
        <v>15</v>
      </c>
      <c r="R89" s="244"/>
      <c r="S89" s="244" t="str" cm="1">
        <f t="array" ref="S89:U89">_xlfn.TEXTSPLIT(F89,"/",,,,3)</f>
        <v>KL</v>
      </c>
      <c r="T89" s="244" t="str">
        <v>IN</v>
      </c>
      <c r="U89" s="244" t="str">
        <v>CH</v>
      </c>
      <c r="V89" s="244">
        <f t="shared" si="21"/>
        <v>0</v>
      </c>
      <c r="W89" s="244">
        <f t="shared" si="21"/>
        <v>0</v>
      </c>
      <c r="X89" s="244">
        <f t="shared" si="21"/>
        <v>0</v>
      </c>
      <c r="Y89" s="244">
        <f t="shared" si="21"/>
        <v>0</v>
      </c>
      <c r="Z89" s="244">
        <f t="shared" si="21"/>
        <v>0</v>
      </c>
      <c r="AA89" s="244">
        <f t="shared" si="21"/>
        <v>0</v>
      </c>
      <c r="AB89" s="244">
        <f t="shared" si="21"/>
        <v>0</v>
      </c>
      <c r="AC89" s="244">
        <f t="shared" si="21"/>
        <v>0</v>
      </c>
      <c r="AD89" s="244">
        <f t="shared" si="21"/>
        <v>0</v>
      </c>
      <c r="AE89" s="244">
        <f t="shared" si="21"/>
        <v>0</v>
      </c>
      <c r="AF89" s="244">
        <f t="shared" si="22"/>
        <v>0</v>
      </c>
      <c r="AG89" s="244">
        <f t="shared" si="22"/>
        <v>0</v>
      </c>
      <c r="AH89" s="244">
        <f t="shared" si="22"/>
        <v>0</v>
      </c>
      <c r="AI89" s="244">
        <f t="shared" si="22"/>
        <v>0</v>
      </c>
      <c r="AJ89" s="244">
        <f t="shared" si="22"/>
        <v>0</v>
      </c>
      <c r="AK89" s="244">
        <f t="shared" si="22"/>
        <v>0</v>
      </c>
      <c r="AL89" s="244">
        <f t="shared" si="22"/>
        <v>1</v>
      </c>
      <c r="AM89" s="244">
        <f t="shared" si="22"/>
        <v>0</v>
      </c>
      <c r="AN89" s="244">
        <f t="shared" si="22"/>
        <v>0</v>
      </c>
      <c r="AO89" s="244">
        <f t="shared" si="22"/>
        <v>0</v>
      </c>
      <c r="AP89" s="244">
        <f t="shared" si="23"/>
        <v>0</v>
      </c>
      <c r="AQ89" s="244">
        <f t="shared" si="23"/>
        <v>0</v>
      </c>
      <c r="AR89" s="244">
        <f t="shared" si="23"/>
        <v>0</v>
      </c>
      <c r="AS89" s="244">
        <f t="shared" si="23"/>
        <v>0</v>
      </c>
      <c r="AT89" s="244">
        <f t="shared" si="23"/>
        <v>0</v>
      </c>
      <c r="AU89" s="244">
        <f t="shared" si="23"/>
        <v>0</v>
      </c>
      <c r="AV89" s="244">
        <f t="shared" si="23"/>
        <v>0</v>
      </c>
      <c r="AW89" s="244"/>
      <c r="AX89" s="244"/>
      <c r="AY89" s="244"/>
      <c r="AZ89" s="244"/>
      <c r="BA89" s="244"/>
      <c r="BB89" s="244"/>
    </row>
    <row r="90" spans="1:54" ht="15" hidden="1">
      <c r="A90" s="331" t="s">
        <v>566</v>
      </c>
      <c r="B90" s="295" t="str">
        <f t="shared" si="4"/>
        <v>Mut: 13 | Klugheit: 12 | Charisma: 15</v>
      </c>
      <c r="C90" s="308" t="b">
        <v>0</v>
      </c>
      <c r="D90" s="308" t="b">
        <v>0</v>
      </c>
      <c r="E90" s="308" t="b">
        <f t="shared" si="5"/>
        <v>0</v>
      </c>
      <c r="F90" t="s">
        <v>567</v>
      </c>
      <c r="G90" t="s">
        <v>429</v>
      </c>
      <c r="H90" t="s">
        <v>568</v>
      </c>
      <c r="I90" t="s">
        <v>569</v>
      </c>
      <c r="J90" s="295">
        <f>_xlfn.XLOOKUP(G90,Rechner!$A$17:$A$25,Rechner!$B$17:$B$25)</f>
        <v>6</v>
      </c>
      <c r="K90" s="295" t="str">
        <f>_xlfn.XLOOKUP(J90-SUMIF($V$31:$AV$31,TRUE,V90:AV90)-IF(D90=TRUE,1,0),Rechner!$B$17:$B$25,Rechner!$A$17:$A$25,"A+")</f>
        <v>E</v>
      </c>
      <c r="L90" s="295" t="str">
        <f>_xlfn.XLOOKUP(S90,Eigenschaften!$C$20:$C$27,Eigenschaften!$B$20:$B$27)</f>
        <v>Mut</v>
      </c>
      <c r="M90" s="295">
        <f>_xlfn.XLOOKUP(L90,Eigenschaften!$B$20:$B$27,Eigenschaften!$H$20:$H$27,"NaN",1)</f>
        <v>13</v>
      </c>
      <c r="N90" s="295" t="str">
        <f>_xlfn.XLOOKUP(T90,Eigenschaften!$C$20:$C$27,Eigenschaften!$B$20:$B$27)</f>
        <v>Klugheit</v>
      </c>
      <c r="O90" s="295">
        <f>_xlfn.XLOOKUP(N90,Eigenschaften!$B$20:$B$27,Eigenschaften!$H$20:$H$27,"NaN",1)</f>
        <v>12</v>
      </c>
      <c r="P90" s="295" t="str">
        <f>_xlfn.XLOOKUP(U90,Eigenschaften!$C$20:$C$27,Eigenschaften!$B$20:$B$27)</f>
        <v>Charisma</v>
      </c>
      <c r="Q90" s="295">
        <f>_xlfn.XLOOKUP(P90,Eigenschaften!$B$20:$B$27,Eigenschaften!$H$20:$H$27,"NaN",1)</f>
        <v>15</v>
      </c>
      <c r="R90" s="244"/>
      <c r="S90" s="244" t="str" cm="1">
        <f t="array" ref="S90:U90">_xlfn.TEXTSPLIT(F90,"/",,,,3)</f>
        <v>MU</v>
      </c>
      <c r="T90" s="244" t="str">
        <v>KL</v>
      </c>
      <c r="U90" s="244" t="str">
        <v>CH</v>
      </c>
      <c r="V90" s="244">
        <f t="shared" si="21"/>
        <v>0</v>
      </c>
      <c r="W90" s="244">
        <f t="shared" si="21"/>
        <v>0</v>
      </c>
      <c r="X90" s="244">
        <f t="shared" si="21"/>
        <v>0</v>
      </c>
      <c r="Y90" s="244">
        <f t="shared" si="21"/>
        <v>1</v>
      </c>
      <c r="Z90" s="244">
        <f t="shared" si="21"/>
        <v>0</v>
      </c>
      <c r="AA90" s="244">
        <f t="shared" si="21"/>
        <v>0</v>
      </c>
      <c r="AB90" s="244">
        <f t="shared" si="21"/>
        <v>0</v>
      </c>
      <c r="AC90" s="244">
        <f t="shared" si="21"/>
        <v>0</v>
      </c>
      <c r="AD90" s="244">
        <f t="shared" si="21"/>
        <v>0</v>
      </c>
      <c r="AE90" s="244">
        <f t="shared" si="21"/>
        <v>0</v>
      </c>
      <c r="AF90" s="244">
        <f t="shared" si="22"/>
        <v>0</v>
      </c>
      <c r="AG90" s="244">
        <f t="shared" si="22"/>
        <v>0</v>
      </c>
      <c r="AH90" s="244">
        <f t="shared" si="22"/>
        <v>0</v>
      </c>
      <c r="AI90" s="244">
        <f t="shared" si="22"/>
        <v>0</v>
      </c>
      <c r="AJ90" s="244">
        <f t="shared" si="22"/>
        <v>0</v>
      </c>
      <c r="AK90" s="244">
        <f t="shared" si="22"/>
        <v>1</v>
      </c>
      <c r="AL90" s="244">
        <f t="shared" si="22"/>
        <v>0</v>
      </c>
      <c r="AM90" s="244">
        <f t="shared" si="22"/>
        <v>0</v>
      </c>
      <c r="AN90" s="244">
        <f t="shared" si="22"/>
        <v>0</v>
      </c>
      <c r="AO90" s="244">
        <f t="shared" si="22"/>
        <v>0</v>
      </c>
      <c r="AP90" s="244">
        <f t="shared" si="23"/>
        <v>0</v>
      </c>
      <c r="AQ90" s="244">
        <f t="shared" si="23"/>
        <v>0</v>
      </c>
      <c r="AR90" s="244">
        <f t="shared" si="23"/>
        <v>0</v>
      </c>
      <c r="AS90" s="244">
        <f t="shared" si="23"/>
        <v>0</v>
      </c>
      <c r="AT90" s="244">
        <f t="shared" si="23"/>
        <v>0</v>
      </c>
      <c r="AU90" s="244">
        <f t="shared" si="23"/>
        <v>0</v>
      </c>
      <c r="AV90" s="244">
        <f t="shared" si="23"/>
        <v>0</v>
      </c>
      <c r="AW90" s="244"/>
      <c r="AX90" s="244"/>
      <c r="AY90" s="244"/>
      <c r="AZ90" s="244"/>
      <c r="BA90" s="244"/>
      <c r="BB90" s="244"/>
    </row>
    <row r="91" spans="1:54" ht="15" hidden="1">
      <c r="A91" s="331" t="s">
        <v>571</v>
      </c>
      <c r="B91" s="295" t="str">
        <f t="shared" si="4"/>
        <v>Klugheit: 12 | Klugheit: 12 | Fingerfertigkeit: 10</v>
      </c>
      <c r="C91" s="308" t="b">
        <v>0</v>
      </c>
      <c r="D91" s="308" t="b">
        <v>0</v>
      </c>
      <c r="E91" s="308" t="b">
        <f t="shared" si="5"/>
        <v>1</v>
      </c>
      <c r="F91" t="s">
        <v>343</v>
      </c>
      <c r="G91" t="s">
        <v>110</v>
      </c>
      <c r="H91" t="s">
        <v>382</v>
      </c>
      <c r="I91" t="s">
        <v>572</v>
      </c>
      <c r="J91" s="295">
        <f>_xlfn.XLOOKUP(G91,Rechner!$A$17:$A$25,Rechner!$B$17:$B$25)</f>
        <v>4</v>
      </c>
      <c r="K91" s="295" t="str">
        <f>_xlfn.XLOOKUP(J91-SUMIF($V$31:$AV$31,TRUE,V91:AV91)-IF(D91=TRUE,1,0),Rechner!$B$17:$B$25,Rechner!$A$17:$A$25,"A+")</f>
        <v>C</v>
      </c>
      <c r="L91" s="295" t="str">
        <f>_xlfn.XLOOKUP(S91,Eigenschaften!$C$20:$C$27,Eigenschaften!$B$20:$B$27)</f>
        <v>Klugheit</v>
      </c>
      <c r="M91" s="295">
        <f>_xlfn.XLOOKUP(L91,Eigenschaften!$B$20:$B$27,Eigenschaften!$H$20:$H$27,"NaN",1)</f>
        <v>12</v>
      </c>
      <c r="N91" s="295" t="str">
        <f>_xlfn.XLOOKUP(T91,Eigenschaften!$C$20:$C$27,Eigenschaften!$B$20:$B$27)</f>
        <v>Klugheit</v>
      </c>
      <c r="O91" s="295">
        <f>_xlfn.XLOOKUP(N91,Eigenschaften!$B$20:$B$27,Eigenschaften!$H$20:$H$27,"NaN",1)</f>
        <v>12</v>
      </c>
      <c r="P91" s="295" t="str">
        <f>_xlfn.XLOOKUP(U91,Eigenschaften!$C$20:$C$27,Eigenschaften!$B$20:$B$27)</f>
        <v>Fingerfertigkeit</v>
      </c>
      <c r="Q91" s="295">
        <f>_xlfn.XLOOKUP(P91,Eigenschaften!$B$20:$B$27,Eigenschaften!$H$20:$H$27,"NaN",1)</f>
        <v>10</v>
      </c>
      <c r="R91" s="244"/>
      <c r="S91" s="244" t="str" cm="1">
        <f t="array" ref="S91:U91">_xlfn.TEXTSPLIT(F91,"/",,,,3)</f>
        <v>KL</v>
      </c>
      <c r="T91" s="244" t="str">
        <v>KL</v>
      </c>
      <c r="U91" s="244" t="str">
        <v>FF</v>
      </c>
      <c r="V91" s="244">
        <f t="shared" si="21"/>
        <v>0</v>
      </c>
      <c r="W91" s="244">
        <f t="shared" si="21"/>
        <v>0</v>
      </c>
      <c r="X91" s="244">
        <f t="shared" si="21"/>
        <v>0</v>
      </c>
      <c r="Y91" s="244">
        <f t="shared" si="21"/>
        <v>0</v>
      </c>
      <c r="Z91" s="244">
        <f t="shared" si="21"/>
        <v>0</v>
      </c>
      <c r="AA91" s="244">
        <f t="shared" si="21"/>
        <v>0</v>
      </c>
      <c r="AB91" s="244">
        <f t="shared" si="21"/>
        <v>0</v>
      </c>
      <c r="AC91" s="244">
        <f t="shared" si="21"/>
        <v>0</v>
      </c>
      <c r="AD91" s="244">
        <f t="shared" si="21"/>
        <v>0</v>
      </c>
      <c r="AE91" s="244">
        <f t="shared" si="21"/>
        <v>0</v>
      </c>
      <c r="AF91" s="244">
        <f t="shared" si="22"/>
        <v>0</v>
      </c>
      <c r="AG91" s="244">
        <f t="shared" si="22"/>
        <v>0</v>
      </c>
      <c r="AH91" s="244">
        <f t="shared" si="22"/>
        <v>0</v>
      </c>
      <c r="AI91" s="244">
        <f t="shared" si="22"/>
        <v>0</v>
      </c>
      <c r="AJ91" s="244">
        <f t="shared" si="22"/>
        <v>0</v>
      </c>
      <c r="AK91" s="244">
        <f t="shared" si="22"/>
        <v>0</v>
      </c>
      <c r="AL91" s="244">
        <f t="shared" si="22"/>
        <v>0</v>
      </c>
      <c r="AM91" s="244">
        <f t="shared" si="22"/>
        <v>0</v>
      </c>
      <c r="AN91" s="244">
        <f t="shared" si="22"/>
        <v>0</v>
      </c>
      <c r="AO91" s="244">
        <f t="shared" si="22"/>
        <v>0</v>
      </c>
      <c r="AP91" s="244">
        <f t="shared" si="23"/>
        <v>0</v>
      </c>
      <c r="AQ91" s="244">
        <f t="shared" si="23"/>
        <v>0</v>
      </c>
      <c r="AR91" s="244">
        <f t="shared" si="23"/>
        <v>0</v>
      </c>
      <c r="AS91" s="244">
        <f t="shared" si="23"/>
        <v>0</v>
      </c>
      <c r="AT91" s="244">
        <f t="shared" si="23"/>
        <v>0</v>
      </c>
      <c r="AU91" s="244">
        <f t="shared" si="23"/>
        <v>1</v>
      </c>
      <c r="AV91" s="244">
        <f t="shared" si="23"/>
        <v>0</v>
      </c>
      <c r="AW91" s="244"/>
      <c r="AX91" s="244"/>
      <c r="AY91" s="244"/>
      <c r="AZ91" s="244"/>
      <c r="BA91" s="244"/>
      <c r="BB91" s="244"/>
    </row>
    <row r="92" spans="1:54" ht="15" hidden="1">
      <c r="A92" s="331" t="s">
        <v>575</v>
      </c>
      <c r="B92" s="295" t="str">
        <f t="shared" si="4"/>
        <v>Klugheit: 12 | Charisma: 15 | Gewandheit: 14</v>
      </c>
      <c r="C92" s="308" t="b">
        <v>0</v>
      </c>
      <c r="D92" s="308" t="b">
        <v>0</v>
      </c>
      <c r="E92" s="308" t="b">
        <f t="shared" si="5"/>
        <v>0</v>
      </c>
      <c r="F92" t="s">
        <v>576</v>
      </c>
      <c r="G92" t="s">
        <v>110</v>
      </c>
      <c r="H92" t="s">
        <v>375</v>
      </c>
      <c r="I92" t="s">
        <v>577</v>
      </c>
      <c r="J92" s="295">
        <f>_xlfn.XLOOKUP(G92,Rechner!$A$17:$A$25,Rechner!$B$17:$B$25)</f>
        <v>4</v>
      </c>
      <c r="K92" s="295" t="str">
        <f>_xlfn.XLOOKUP(J92-SUMIF($V$31:$AV$31,TRUE,V92:AV92)-IF(D92=TRUE,1,0),Rechner!$B$17:$B$25,Rechner!$A$17:$A$25,"A+")</f>
        <v>C</v>
      </c>
      <c r="L92" s="295" t="str">
        <f>_xlfn.XLOOKUP(S92,Eigenschaften!$C$20:$C$27,Eigenschaften!$B$20:$B$27)</f>
        <v>Klugheit</v>
      </c>
      <c r="M92" s="295">
        <f>_xlfn.XLOOKUP(L92,Eigenschaften!$B$20:$B$27,Eigenschaften!$H$20:$H$27,"NaN",1)</f>
        <v>12</v>
      </c>
      <c r="N92" s="295" t="str">
        <f>_xlfn.XLOOKUP(T92,Eigenschaften!$C$20:$C$27,Eigenschaften!$B$20:$B$27)</f>
        <v>Charisma</v>
      </c>
      <c r="O92" s="295">
        <f>_xlfn.XLOOKUP(N92,Eigenschaften!$B$20:$B$27,Eigenschaften!$H$20:$H$27,"NaN",1)</f>
        <v>15</v>
      </c>
      <c r="P92" s="295" t="str">
        <f>_xlfn.XLOOKUP(U92,Eigenschaften!$C$20:$C$27,Eigenschaften!$B$20:$B$27)</f>
        <v>Gewandheit</v>
      </c>
      <c r="Q92" s="295">
        <f>_xlfn.XLOOKUP(P92,Eigenschaften!$B$20:$B$27,Eigenschaften!$H$20:$H$27,"NaN",1)</f>
        <v>14</v>
      </c>
      <c r="R92" s="244"/>
      <c r="S92" s="244" t="str" cm="1">
        <f t="array" ref="S92:U92">_xlfn.TEXTSPLIT(F92,"/",,,,3)</f>
        <v>KL</v>
      </c>
      <c r="T92" s="244" t="str">
        <v>CH</v>
      </c>
      <c r="U92" s="244" t="str">
        <v>GE</v>
      </c>
      <c r="V92" s="244">
        <f t="shared" si="21"/>
        <v>0</v>
      </c>
      <c r="W92" s="244">
        <f t="shared" si="21"/>
        <v>0</v>
      </c>
      <c r="X92" s="244">
        <f t="shared" si="21"/>
        <v>0</v>
      </c>
      <c r="Y92" s="244">
        <f t="shared" si="21"/>
        <v>0</v>
      </c>
      <c r="Z92" s="244">
        <f t="shared" si="21"/>
        <v>0</v>
      </c>
      <c r="AA92" s="244">
        <f t="shared" si="21"/>
        <v>0</v>
      </c>
      <c r="AB92" s="244">
        <f t="shared" si="21"/>
        <v>0</v>
      </c>
      <c r="AC92" s="244">
        <f t="shared" si="21"/>
        <v>0</v>
      </c>
      <c r="AD92" s="244">
        <f t="shared" si="21"/>
        <v>0</v>
      </c>
      <c r="AE92" s="244">
        <f t="shared" si="21"/>
        <v>0</v>
      </c>
      <c r="AF92" s="244">
        <f t="shared" si="22"/>
        <v>0</v>
      </c>
      <c r="AG92" s="244">
        <f t="shared" si="22"/>
        <v>0</v>
      </c>
      <c r="AH92" s="244">
        <f t="shared" si="22"/>
        <v>0</v>
      </c>
      <c r="AI92" s="244">
        <f t="shared" si="22"/>
        <v>0</v>
      </c>
      <c r="AJ92" s="244">
        <f t="shared" si="22"/>
        <v>0</v>
      </c>
      <c r="AK92" s="244">
        <f t="shared" si="22"/>
        <v>0</v>
      </c>
      <c r="AL92" s="244">
        <f t="shared" si="22"/>
        <v>0</v>
      </c>
      <c r="AM92" s="244">
        <f t="shared" si="22"/>
        <v>1</v>
      </c>
      <c r="AN92" s="244">
        <f t="shared" si="22"/>
        <v>0</v>
      </c>
      <c r="AO92" s="244">
        <f t="shared" si="22"/>
        <v>0</v>
      </c>
      <c r="AP92" s="244">
        <f t="shared" si="23"/>
        <v>0</v>
      </c>
      <c r="AQ92" s="244">
        <f t="shared" si="23"/>
        <v>0</v>
      </c>
      <c r="AR92" s="244">
        <f t="shared" si="23"/>
        <v>0</v>
      </c>
      <c r="AS92" s="244">
        <f t="shared" si="23"/>
        <v>0</v>
      </c>
      <c r="AT92" s="244">
        <f t="shared" si="23"/>
        <v>0</v>
      </c>
      <c r="AU92" s="244">
        <f t="shared" si="23"/>
        <v>0</v>
      </c>
      <c r="AV92" s="244">
        <f t="shared" si="23"/>
        <v>0</v>
      </c>
      <c r="AW92" s="244"/>
      <c r="AX92" s="244"/>
      <c r="AY92" s="244"/>
      <c r="AZ92" s="244"/>
      <c r="BA92" s="244"/>
      <c r="BB92" s="244"/>
    </row>
    <row r="93" spans="1:54" ht="15" hidden="1">
      <c r="A93" s="331" t="s">
        <v>579</v>
      </c>
      <c r="B93" s="295" t="str">
        <f t="shared" si="4"/>
        <v>Mut: 13 | Klugheit: 12 | Konstitution: 12</v>
      </c>
      <c r="C93" s="308" t="b">
        <v>0</v>
      </c>
      <c r="D93" s="308" t="b">
        <v>0</v>
      </c>
      <c r="E93" s="308" t="b">
        <f t="shared" si="5"/>
        <v>0</v>
      </c>
      <c r="F93" t="s">
        <v>516</v>
      </c>
      <c r="G93" t="s">
        <v>113</v>
      </c>
      <c r="H93" t="s">
        <v>580</v>
      </c>
      <c r="I93" t="s">
        <v>581</v>
      </c>
      <c r="J93" s="295">
        <f>_xlfn.XLOOKUP(G93,Rechner!$A$17:$A$25,Rechner!$B$17:$B$25)</f>
        <v>5</v>
      </c>
      <c r="K93" s="295" t="str">
        <f>_xlfn.XLOOKUP(J93-SUMIF($V$31:$AV$31,TRUE,V93:AV93)-IF(D93=TRUE,1,0),Rechner!$B$17:$B$25,Rechner!$A$17:$A$25,"A+")</f>
        <v>D</v>
      </c>
      <c r="L93" s="295" t="str">
        <f>_xlfn.XLOOKUP(S93,Eigenschaften!$C$20:$C$27,Eigenschaften!$B$20:$B$27)</f>
        <v>Mut</v>
      </c>
      <c r="M93" s="295">
        <f>_xlfn.XLOOKUP(L93,Eigenschaften!$B$20:$B$27,Eigenschaften!$H$20:$H$27,"NaN",1)</f>
        <v>13</v>
      </c>
      <c r="N93" s="295" t="str">
        <f>_xlfn.XLOOKUP(T93,Eigenschaften!$C$20:$C$27,Eigenschaften!$B$20:$B$27)</f>
        <v>Klugheit</v>
      </c>
      <c r="O93" s="295">
        <f>_xlfn.XLOOKUP(N93,Eigenschaften!$B$20:$B$27,Eigenschaften!$H$20:$H$27,"NaN",1)</f>
        <v>12</v>
      </c>
      <c r="P93" s="295" t="str">
        <f>_xlfn.XLOOKUP(U93,Eigenschaften!$C$20:$C$27,Eigenschaften!$B$20:$B$27)</f>
        <v>Konstitution</v>
      </c>
      <c r="Q93" s="295">
        <f>_xlfn.XLOOKUP(P93,Eigenschaften!$B$20:$B$27,Eigenschaften!$H$20:$H$27,"NaN",1)</f>
        <v>12</v>
      </c>
      <c r="R93" s="244"/>
      <c r="S93" s="244" t="str" cm="1">
        <f t="array" ref="S93:U93">_xlfn.TEXTSPLIT(F93,"/",,,,3)</f>
        <v>MU</v>
      </c>
      <c r="T93" s="244" t="str">
        <v>KL</v>
      </c>
      <c r="U93" s="244" t="str">
        <v>KO</v>
      </c>
      <c r="V93" s="244">
        <f t="shared" si="21"/>
        <v>0</v>
      </c>
      <c r="W93" s="244">
        <f t="shared" si="21"/>
        <v>0</v>
      </c>
      <c r="X93" s="244">
        <f t="shared" si="21"/>
        <v>0</v>
      </c>
      <c r="Y93" s="244">
        <f t="shared" si="21"/>
        <v>0</v>
      </c>
      <c r="Z93" s="244">
        <f t="shared" si="21"/>
        <v>0</v>
      </c>
      <c r="AA93" s="244">
        <f t="shared" si="21"/>
        <v>0</v>
      </c>
      <c r="AB93" s="244">
        <f t="shared" si="21"/>
        <v>0</v>
      </c>
      <c r="AC93" s="244">
        <f t="shared" si="21"/>
        <v>0</v>
      </c>
      <c r="AD93" s="244">
        <f t="shared" si="21"/>
        <v>0</v>
      </c>
      <c r="AE93" s="244">
        <f t="shared" si="21"/>
        <v>0</v>
      </c>
      <c r="AF93" s="244">
        <f t="shared" si="22"/>
        <v>0</v>
      </c>
      <c r="AG93" s="244">
        <f t="shared" si="22"/>
        <v>1</v>
      </c>
      <c r="AH93" s="244">
        <f t="shared" si="22"/>
        <v>0</v>
      </c>
      <c r="AI93" s="244">
        <f t="shared" si="22"/>
        <v>0</v>
      </c>
      <c r="AJ93" s="244">
        <f t="shared" si="22"/>
        <v>0</v>
      </c>
      <c r="AK93" s="244">
        <f t="shared" si="22"/>
        <v>0</v>
      </c>
      <c r="AL93" s="244">
        <f t="shared" si="22"/>
        <v>0</v>
      </c>
      <c r="AM93" s="244">
        <f t="shared" si="22"/>
        <v>0</v>
      </c>
      <c r="AN93" s="244">
        <f t="shared" si="22"/>
        <v>0</v>
      </c>
      <c r="AO93" s="244">
        <f t="shared" si="22"/>
        <v>0</v>
      </c>
      <c r="AP93" s="244">
        <f t="shared" si="23"/>
        <v>0</v>
      </c>
      <c r="AQ93" s="244">
        <f t="shared" si="23"/>
        <v>0</v>
      </c>
      <c r="AR93" s="244">
        <f t="shared" si="23"/>
        <v>0</v>
      </c>
      <c r="AS93" s="244">
        <f t="shared" si="23"/>
        <v>0</v>
      </c>
      <c r="AT93" s="244">
        <f t="shared" si="23"/>
        <v>0</v>
      </c>
      <c r="AU93" s="244">
        <f t="shared" si="23"/>
        <v>0</v>
      </c>
      <c r="AV93" s="244">
        <f t="shared" si="23"/>
        <v>0</v>
      </c>
      <c r="AW93" s="244"/>
      <c r="AX93" s="244"/>
      <c r="AY93" s="244"/>
      <c r="AZ93" s="244"/>
      <c r="BA93" s="244"/>
      <c r="BB93" s="244"/>
    </row>
    <row r="94" spans="1:54" ht="15" hidden="1">
      <c r="A94" s="331" t="s">
        <v>583</v>
      </c>
      <c r="B94" s="295" t="str">
        <f t="shared" si="4"/>
        <v>Klugheit: 12 | Intuition: 15 | Charisma: 15</v>
      </c>
      <c r="C94" s="308" t="b">
        <v>0</v>
      </c>
      <c r="D94" s="308" t="b">
        <v>0</v>
      </c>
      <c r="E94" s="308" t="b">
        <f t="shared" si="5"/>
        <v>1</v>
      </c>
      <c r="F94" t="s">
        <v>307</v>
      </c>
      <c r="G94" t="s">
        <v>110</v>
      </c>
      <c r="H94" t="s">
        <v>472</v>
      </c>
      <c r="I94" t="s">
        <v>584</v>
      </c>
      <c r="J94" s="295">
        <f>_xlfn.XLOOKUP(G94,Rechner!$A$17:$A$25,Rechner!$B$17:$B$25)</f>
        <v>4</v>
      </c>
      <c r="K94" s="295" t="str">
        <f>_xlfn.XLOOKUP(J94-SUMIF($V$31:$AV$31,TRUE,V94:AV94)-IF(D94=TRUE,1,0),Rechner!$B$17:$B$25,Rechner!$A$17:$A$25,"A+")</f>
        <v>B</v>
      </c>
      <c r="L94" s="295" t="str">
        <f>_xlfn.XLOOKUP(S94,Eigenschaften!$C$20:$C$27,Eigenschaften!$B$20:$B$27)</f>
        <v>Klugheit</v>
      </c>
      <c r="M94" s="295">
        <f>_xlfn.XLOOKUP(L94,Eigenschaften!$B$20:$B$27,Eigenschaften!$H$20:$H$27,"NaN",1)</f>
        <v>12</v>
      </c>
      <c r="N94" s="295" t="str">
        <f>_xlfn.XLOOKUP(T94,Eigenschaften!$C$20:$C$27,Eigenschaften!$B$20:$B$27)</f>
        <v>Intuition</v>
      </c>
      <c r="O94" s="295">
        <f>_xlfn.XLOOKUP(N94,Eigenschaften!$B$20:$B$27,Eigenschaften!$H$20:$H$27,"NaN",1)</f>
        <v>15</v>
      </c>
      <c r="P94" s="295" t="str">
        <f>_xlfn.XLOOKUP(U94,Eigenschaften!$C$20:$C$27,Eigenschaften!$B$20:$B$27)</f>
        <v>Charisma</v>
      </c>
      <c r="Q94" s="295">
        <f>_xlfn.XLOOKUP(P94,Eigenschaften!$B$20:$B$27,Eigenschaften!$H$20:$H$27,"NaN",1)</f>
        <v>15</v>
      </c>
      <c r="R94" s="244"/>
      <c r="S94" s="244" t="str" cm="1">
        <f t="array" ref="S94:U94">_xlfn.TEXTSPLIT(F94,"/",,,,3)</f>
        <v>KL</v>
      </c>
      <c r="T94" s="244" t="str">
        <v>IN</v>
      </c>
      <c r="U94" s="244" t="str">
        <v>CH</v>
      </c>
      <c r="V94" s="244">
        <f t="shared" si="21"/>
        <v>1</v>
      </c>
      <c r="W94" s="244">
        <f t="shared" si="21"/>
        <v>0</v>
      </c>
      <c r="X94" s="244">
        <f t="shared" si="21"/>
        <v>1</v>
      </c>
      <c r="Y94" s="244">
        <f t="shared" si="21"/>
        <v>0</v>
      </c>
      <c r="Z94" s="244">
        <f t="shared" si="21"/>
        <v>0</v>
      </c>
      <c r="AA94" s="244">
        <f t="shared" si="21"/>
        <v>0</v>
      </c>
      <c r="AB94" s="244">
        <f t="shared" si="21"/>
        <v>0</v>
      </c>
      <c r="AC94" s="244">
        <f t="shared" si="21"/>
        <v>0</v>
      </c>
      <c r="AD94" s="244">
        <f t="shared" si="21"/>
        <v>0</v>
      </c>
      <c r="AE94" s="244">
        <f t="shared" si="21"/>
        <v>0</v>
      </c>
      <c r="AF94" s="244">
        <f t="shared" si="22"/>
        <v>0</v>
      </c>
      <c r="AG94" s="244">
        <f t="shared" si="22"/>
        <v>0</v>
      </c>
      <c r="AH94" s="244">
        <f t="shared" si="22"/>
        <v>0</v>
      </c>
      <c r="AI94" s="244">
        <f t="shared" si="22"/>
        <v>0</v>
      </c>
      <c r="AJ94" s="244">
        <f t="shared" si="22"/>
        <v>0</v>
      </c>
      <c r="AK94" s="244">
        <f t="shared" si="22"/>
        <v>0</v>
      </c>
      <c r="AL94" s="244">
        <f t="shared" si="22"/>
        <v>0</v>
      </c>
      <c r="AM94" s="244">
        <f t="shared" si="22"/>
        <v>0</v>
      </c>
      <c r="AN94" s="244">
        <f t="shared" si="22"/>
        <v>0</v>
      </c>
      <c r="AO94" s="244">
        <f t="shared" si="22"/>
        <v>0</v>
      </c>
      <c r="AP94" s="244">
        <f t="shared" si="23"/>
        <v>0</v>
      </c>
      <c r="AQ94" s="244">
        <f t="shared" si="23"/>
        <v>0</v>
      </c>
      <c r="AR94" s="244">
        <f t="shared" si="23"/>
        <v>0</v>
      </c>
      <c r="AS94" s="244">
        <f t="shared" si="23"/>
        <v>0</v>
      </c>
      <c r="AT94" s="244">
        <f t="shared" si="23"/>
        <v>0</v>
      </c>
      <c r="AU94" s="244">
        <f t="shared" si="23"/>
        <v>0</v>
      </c>
      <c r="AV94" s="244">
        <f t="shared" si="23"/>
        <v>0</v>
      </c>
      <c r="AW94" s="244"/>
      <c r="AX94" s="244"/>
      <c r="AY94" s="244"/>
      <c r="AZ94" s="244"/>
      <c r="BA94" s="244"/>
      <c r="BB94" s="244"/>
    </row>
    <row r="95" spans="1:54" ht="15" hidden="1">
      <c r="A95" s="331" t="s">
        <v>585</v>
      </c>
      <c r="B95" s="295" t="str">
        <f t="shared" si="4"/>
        <v>Mut: 13 | Intuition: 15 | Charisma: 15</v>
      </c>
      <c r="C95" s="308" t="b">
        <v>0</v>
      </c>
      <c r="D95" s="308" t="b">
        <v>0</v>
      </c>
      <c r="E95" s="308" t="b">
        <f t="shared" si="5"/>
        <v>0</v>
      </c>
      <c r="F95" t="s">
        <v>336</v>
      </c>
      <c r="G95" t="s">
        <v>110</v>
      </c>
      <c r="H95" t="s">
        <v>586</v>
      </c>
      <c r="I95" t="s">
        <v>587</v>
      </c>
      <c r="J95" s="295">
        <f>_xlfn.XLOOKUP(G95,Rechner!$A$17:$A$25,Rechner!$B$17:$B$25)</f>
        <v>4</v>
      </c>
      <c r="K95" s="295" t="str">
        <f>_xlfn.XLOOKUP(J95-SUMIF($V$31:$AV$31,TRUE,V95:AV95)-IF(D95=TRUE,1,0),Rechner!$B$17:$B$25,Rechner!$A$17:$A$25,"A+")</f>
        <v>A</v>
      </c>
      <c r="L95" s="295" t="str">
        <f>_xlfn.XLOOKUP(S95,Eigenschaften!$C$20:$C$27,Eigenschaften!$B$20:$B$27)</f>
        <v>Mut</v>
      </c>
      <c r="M95" s="295">
        <f>_xlfn.XLOOKUP(L95,Eigenschaften!$B$20:$B$27,Eigenschaften!$H$20:$H$27,"NaN",1)</f>
        <v>13</v>
      </c>
      <c r="N95" s="295" t="str">
        <f>_xlfn.XLOOKUP(T95,Eigenschaften!$C$20:$C$27,Eigenschaften!$B$20:$B$27)</f>
        <v>Intuition</v>
      </c>
      <c r="O95" s="295">
        <f>_xlfn.XLOOKUP(N95,Eigenschaften!$B$20:$B$27,Eigenschaften!$H$20:$H$27,"NaN",1)</f>
        <v>15</v>
      </c>
      <c r="P95" s="295" t="str">
        <f>_xlfn.XLOOKUP(U95,Eigenschaften!$C$20:$C$27,Eigenschaften!$B$20:$B$27)</f>
        <v>Charisma</v>
      </c>
      <c r="Q95" s="295">
        <f>_xlfn.XLOOKUP(P95,Eigenschaften!$B$20:$B$27,Eigenschaften!$H$20:$H$27,"NaN",1)</f>
        <v>15</v>
      </c>
      <c r="R95" s="244"/>
      <c r="S95" s="244" t="str" cm="1">
        <f t="array" ref="S95:U95">_xlfn.TEXTSPLIT(F95,"/",,,,3)</f>
        <v>MU</v>
      </c>
      <c r="T95" s="244" t="str">
        <v>IN</v>
      </c>
      <c r="U95" s="244" t="str">
        <v>CH</v>
      </c>
      <c r="V95" s="244">
        <f t="shared" si="21"/>
        <v>0</v>
      </c>
      <c r="W95" s="244">
        <f t="shared" si="21"/>
        <v>0</v>
      </c>
      <c r="X95" s="244">
        <f t="shared" si="21"/>
        <v>1</v>
      </c>
      <c r="Y95" s="244">
        <f t="shared" si="21"/>
        <v>0</v>
      </c>
      <c r="Z95" s="244">
        <f t="shared" si="21"/>
        <v>0</v>
      </c>
      <c r="AA95" s="244">
        <f t="shared" si="21"/>
        <v>0</v>
      </c>
      <c r="AB95" s="244">
        <f t="shared" si="21"/>
        <v>0</v>
      </c>
      <c r="AC95" s="244">
        <f t="shared" si="21"/>
        <v>0</v>
      </c>
      <c r="AD95" s="244">
        <f t="shared" si="21"/>
        <v>0</v>
      </c>
      <c r="AE95" s="244">
        <f t="shared" si="21"/>
        <v>0</v>
      </c>
      <c r="AF95" s="244">
        <f t="shared" si="22"/>
        <v>1</v>
      </c>
      <c r="AG95" s="244">
        <f t="shared" si="22"/>
        <v>0</v>
      </c>
      <c r="AH95" s="244">
        <f t="shared" si="22"/>
        <v>0</v>
      </c>
      <c r="AI95" s="244">
        <f t="shared" si="22"/>
        <v>0</v>
      </c>
      <c r="AJ95" s="244">
        <f t="shared" si="22"/>
        <v>0</v>
      </c>
      <c r="AK95" s="244">
        <f t="shared" si="22"/>
        <v>0</v>
      </c>
      <c r="AL95" s="244">
        <f t="shared" si="22"/>
        <v>0</v>
      </c>
      <c r="AM95" s="244">
        <f t="shared" si="22"/>
        <v>0</v>
      </c>
      <c r="AN95" s="244">
        <f t="shared" si="22"/>
        <v>0</v>
      </c>
      <c r="AO95" s="244">
        <f t="shared" si="22"/>
        <v>0</v>
      </c>
      <c r="AP95" s="244">
        <f t="shared" si="23"/>
        <v>0</v>
      </c>
      <c r="AQ95" s="244">
        <f t="shared" si="23"/>
        <v>0</v>
      </c>
      <c r="AR95" s="244">
        <f t="shared" si="23"/>
        <v>0</v>
      </c>
      <c r="AS95" s="244">
        <f t="shared" si="23"/>
        <v>0</v>
      </c>
      <c r="AT95" s="244">
        <f t="shared" si="23"/>
        <v>0</v>
      </c>
      <c r="AU95" s="244">
        <f t="shared" si="23"/>
        <v>0</v>
      </c>
      <c r="AV95" s="244">
        <f t="shared" si="23"/>
        <v>0</v>
      </c>
      <c r="AW95" s="244"/>
      <c r="AX95" s="244"/>
      <c r="AY95" s="244"/>
      <c r="AZ95" s="244"/>
      <c r="BA95" s="244"/>
      <c r="BB95" s="244"/>
    </row>
    <row r="96" spans="1:54" ht="15" hidden="1">
      <c r="A96" s="331" t="s">
        <v>590</v>
      </c>
      <c r="B96" s="295" t="str">
        <f t="shared" si="4"/>
        <v>Intuition: 15 | Charisma: 15 | Charisma: 15</v>
      </c>
      <c r="C96" s="308" t="b">
        <v>0</v>
      </c>
      <c r="D96" s="308" t="b">
        <v>0</v>
      </c>
      <c r="E96" s="308" t="b">
        <f t="shared" si="5"/>
        <v>1</v>
      </c>
      <c r="F96" t="s">
        <v>481</v>
      </c>
      <c r="G96" t="s">
        <v>125</v>
      </c>
      <c r="H96" t="s">
        <v>475</v>
      </c>
      <c r="I96" t="s">
        <v>591</v>
      </c>
      <c r="J96" s="295">
        <f>_xlfn.XLOOKUP(G96,Rechner!$A$17:$A$25,Rechner!$B$17:$B$25)</f>
        <v>3</v>
      </c>
      <c r="K96" s="295" t="str">
        <f>_xlfn.XLOOKUP(J96-SUMIF($V$31:$AV$31,TRUE,V96:AV96)-IF(D96=TRUE,1,0),Rechner!$B$17:$B$25,Rechner!$A$17:$A$25,"A+")</f>
        <v>A</v>
      </c>
      <c r="L96" s="295" t="str">
        <f>_xlfn.XLOOKUP(S96,Eigenschaften!$C$20:$C$27,Eigenschaften!$B$20:$B$27)</f>
        <v>Intuition</v>
      </c>
      <c r="M96" s="295">
        <f>_xlfn.XLOOKUP(L96,Eigenschaften!$B$20:$B$27,Eigenschaften!$H$20:$H$27,"NaN",1)</f>
        <v>15</v>
      </c>
      <c r="N96" s="295" t="str">
        <f>_xlfn.XLOOKUP(T96,Eigenschaften!$C$20:$C$27,Eigenschaften!$B$20:$B$27)</f>
        <v>Charisma</v>
      </c>
      <c r="O96" s="295">
        <f>_xlfn.XLOOKUP(N96,Eigenschaften!$B$20:$B$27,Eigenschaften!$H$20:$H$27,"NaN",1)</f>
        <v>15</v>
      </c>
      <c r="P96" s="295" t="str">
        <f>_xlfn.XLOOKUP(U96,Eigenschaften!$C$20:$C$27,Eigenschaften!$B$20:$B$27)</f>
        <v>Charisma</v>
      </c>
      <c r="Q96" s="295">
        <f>_xlfn.XLOOKUP(P96,Eigenschaften!$B$20:$B$27,Eigenschaften!$H$20:$H$27,"NaN",1)</f>
        <v>15</v>
      </c>
      <c r="R96" s="244"/>
      <c r="S96" s="244" t="str" cm="1">
        <f t="array" ref="S96:U96">_xlfn.TEXTSPLIT(F96,"/",,,,3)</f>
        <v>IN</v>
      </c>
      <c r="T96" s="244" t="str">
        <v>CH</v>
      </c>
      <c r="U96" s="244" t="str">
        <v>CH</v>
      </c>
      <c r="V96" s="244">
        <f t="shared" ref="V96:AE105" si="24">IF(ISNUMBER(SEARCH(V$32,$H96)),1,0)</f>
        <v>1</v>
      </c>
      <c r="W96" s="244">
        <f t="shared" si="24"/>
        <v>0</v>
      </c>
      <c r="X96" s="244">
        <f t="shared" si="24"/>
        <v>0</v>
      </c>
      <c r="Y96" s="244">
        <f t="shared" si="24"/>
        <v>0</v>
      </c>
      <c r="Z96" s="244">
        <f t="shared" si="24"/>
        <v>0</v>
      </c>
      <c r="AA96" s="244">
        <f t="shared" si="24"/>
        <v>0</v>
      </c>
      <c r="AB96" s="244">
        <f t="shared" si="24"/>
        <v>0</v>
      </c>
      <c r="AC96" s="244">
        <f t="shared" si="24"/>
        <v>0</v>
      </c>
      <c r="AD96" s="244">
        <f t="shared" si="24"/>
        <v>0</v>
      </c>
      <c r="AE96" s="244">
        <f t="shared" si="24"/>
        <v>0</v>
      </c>
      <c r="AF96" s="244">
        <f t="shared" ref="AF96:AO105" si="25">IF(ISNUMBER(SEARCH(AF$32,$H96)),1,0)</f>
        <v>1</v>
      </c>
      <c r="AG96" s="244">
        <f t="shared" si="25"/>
        <v>0</v>
      </c>
      <c r="AH96" s="244">
        <f t="shared" si="25"/>
        <v>0</v>
      </c>
      <c r="AI96" s="244">
        <f t="shared" si="25"/>
        <v>0</v>
      </c>
      <c r="AJ96" s="244">
        <f t="shared" si="25"/>
        <v>0</v>
      </c>
      <c r="AK96" s="244">
        <f t="shared" si="25"/>
        <v>0</v>
      </c>
      <c r="AL96" s="244">
        <f t="shared" si="25"/>
        <v>0</v>
      </c>
      <c r="AM96" s="244">
        <f t="shared" si="25"/>
        <v>0</v>
      </c>
      <c r="AN96" s="244">
        <f t="shared" si="25"/>
        <v>0</v>
      </c>
      <c r="AO96" s="244">
        <f t="shared" si="25"/>
        <v>0</v>
      </c>
      <c r="AP96" s="244">
        <f t="shared" ref="AP96:AV105" si="26">IF(ISNUMBER(SEARCH(AP$32,$H96)),1,0)</f>
        <v>0</v>
      </c>
      <c r="AQ96" s="244">
        <f t="shared" si="26"/>
        <v>0</v>
      </c>
      <c r="AR96" s="244">
        <f t="shared" si="26"/>
        <v>0</v>
      </c>
      <c r="AS96" s="244">
        <f t="shared" si="26"/>
        <v>0</v>
      </c>
      <c r="AT96" s="244">
        <f t="shared" si="26"/>
        <v>0</v>
      </c>
      <c r="AU96" s="244">
        <f t="shared" si="26"/>
        <v>0</v>
      </c>
      <c r="AV96" s="244">
        <f t="shared" si="26"/>
        <v>0</v>
      </c>
      <c r="AW96" s="244"/>
      <c r="AX96" s="244"/>
      <c r="AY96" s="244"/>
      <c r="AZ96" s="244"/>
      <c r="BA96" s="244"/>
      <c r="BB96" s="244"/>
    </row>
    <row r="97" spans="1:54" ht="15" hidden="1">
      <c r="A97" s="331" t="s">
        <v>593</v>
      </c>
      <c r="B97" s="295" t="str">
        <f t="shared" si="4"/>
        <v>Intuition: 15 | Gewandheit: 14 | Konstitution: 12</v>
      </c>
      <c r="C97" s="308" t="b">
        <v>0</v>
      </c>
      <c r="D97" s="308" t="b">
        <v>0</v>
      </c>
      <c r="E97" s="308" t="b">
        <f t="shared" si="5"/>
        <v>1</v>
      </c>
      <c r="F97" t="s">
        <v>281</v>
      </c>
      <c r="G97" t="s">
        <v>110</v>
      </c>
      <c r="H97" t="s">
        <v>479</v>
      </c>
      <c r="I97" t="s">
        <v>594</v>
      </c>
      <c r="J97" s="295">
        <f>_xlfn.XLOOKUP(G97,Rechner!$A$17:$A$25,Rechner!$B$17:$B$25)</f>
        <v>4</v>
      </c>
      <c r="K97" s="295" t="str">
        <f>_xlfn.XLOOKUP(J97-SUMIF($V$31:$AV$31,TRUE,V97:AV97)-IF(D97=TRUE,1,0),Rechner!$B$17:$B$25,Rechner!$A$17:$A$25,"A+")</f>
        <v>B</v>
      </c>
      <c r="L97" s="295" t="str">
        <f>_xlfn.XLOOKUP(S97,Eigenschaften!$C$20:$C$27,Eigenschaften!$B$20:$B$27)</f>
        <v>Intuition</v>
      </c>
      <c r="M97" s="295">
        <f>_xlfn.XLOOKUP(L97,Eigenschaften!$B$20:$B$27,Eigenschaften!$H$20:$H$27,"NaN",1)</f>
        <v>15</v>
      </c>
      <c r="N97" s="295" t="str">
        <f>_xlfn.XLOOKUP(T97,Eigenschaften!$C$20:$C$27,Eigenschaften!$B$20:$B$27)</f>
        <v>Gewandheit</v>
      </c>
      <c r="O97" s="295">
        <f>_xlfn.XLOOKUP(N97,Eigenschaften!$B$20:$B$27,Eigenschaften!$H$20:$H$27,"NaN",1)</f>
        <v>14</v>
      </c>
      <c r="P97" s="295" t="str">
        <f>_xlfn.XLOOKUP(U97,Eigenschaften!$C$20:$C$27,Eigenschaften!$B$20:$B$27)</f>
        <v>Konstitution</v>
      </c>
      <c r="Q97" s="295">
        <f>_xlfn.XLOOKUP(P97,Eigenschaften!$B$20:$B$27,Eigenschaften!$H$20:$H$27,"NaN",1)</f>
        <v>12</v>
      </c>
      <c r="R97" s="244"/>
      <c r="S97" s="244" t="str" cm="1">
        <f t="array" ref="S97:U97">_xlfn.TEXTSPLIT(F97,"/",,,,3)</f>
        <v>IN</v>
      </c>
      <c r="T97" s="244" t="str">
        <v>GE</v>
      </c>
      <c r="U97" s="244" t="str">
        <v>KO</v>
      </c>
      <c r="V97" s="244">
        <f t="shared" si="24"/>
        <v>0</v>
      </c>
      <c r="W97" s="244">
        <f t="shared" si="24"/>
        <v>0</v>
      </c>
      <c r="X97" s="244">
        <f t="shared" si="24"/>
        <v>1</v>
      </c>
      <c r="Y97" s="244">
        <f t="shared" si="24"/>
        <v>1</v>
      </c>
      <c r="Z97" s="244">
        <f t="shared" si="24"/>
        <v>0</v>
      </c>
      <c r="AA97" s="244">
        <f t="shared" si="24"/>
        <v>0</v>
      </c>
      <c r="AB97" s="244">
        <f t="shared" si="24"/>
        <v>0</v>
      </c>
      <c r="AC97" s="244">
        <f t="shared" si="24"/>
        <v>0</v>
      </c>
      <c r="AD97" s="244">
        <f t="shared" si="24"/>
        <v>0</v>
      </c>
      <c r="AE97" s="244">
        <f t="shared" si="24"/>
        <v>0</v>
      </c>
      <c r="AF97" s="244">
        <f t="shared" si="25"/>
        <v>0</v>
      </c>
      <c r="AG97" s="244">
        <f t="shared" si="25"/>
        <v>0</v>
      </c>
      <c r="AH97" s="244">
        <f t="shared" si="25"/>
        <v>0</v>
      </c>
      <c r="AI97" s="244">
        <f t="shared" si="25"/>
        <v>0</v>
      </c>
      <c r="AJ97" s="244">
        <f t="shared" si="25"/>
        <v>0</v>
      </c>
      <c r="AK97" s="244">
        <f t="shared" si="25"/>
        <v>0</v>
      </c>
      <c r="AL97" s="244">
        <f t="shared" si="25"/>
        <v>0</v>
      </c>
      <c r="AM97" s="244">
        <f t="shared" si="25"/>
        <v>0</v>
      </c>
      <c r="AN97" s="244">
        <f t="shared" si="25"/>
        <v>0</v>
      </c>
      <c r="AO97" s="244">
        <f t="shared" si="25"/>
        <v>0</v>
      </c>
      <c r="AP97" s="244">
        <f t="shared" si="26"/>
        <v>0</v>
      </c>
      <c r="AQ97" s="244">
        <f t="shared" si="26"/>
        <v>0</v>
      </c>
      <c r="AR97" s="244">
        <f t="shared" si="26"/>
        <v>0</v>
      </c>
      <c r="AS97" s="244">
        <f t="shared" si="26"/>
        <v>0</v>
      </c>
      <c r="AT97" s="244">
        <f t="shared" si="26"/>
        <v>0</v>
      </c>
      <c r="AU97" s="244">
        <f t="shared" si="26"/>
        <v>0</v>
      </c>
      <c r="AV97" s="244">
        <f t="shared" si="26"/>
        <v>0</v>
      </c>
      <c r="AW97" s="244"/>
      <c r="AX97" s="244"/>
      <c r="AY97" s="244"/>
      <c r="AZ97" s="244"/>
      <c r="BA97" s="244"/>
      <c r="BB97" s="244"/>
    </row>
    <row r="98" spans="1:54" ht="15" hidden="1">
      <c r="A98" s="331" t="s">
        <v>596</v>
      </c>
      <c r="B98" s="295" t="str">
        <f t="shared" si="4"/>
        <v>Klugheit: 12 | Charisma: 15 | Gewandheit: 14</v>
      </c>
      <c r="C98" s="308" t="b">
        <v>0</v>
      </c>
      <c r="D98" s="308" t="b">
        <v>0</v>
      </c>
      <c r="E98" s="308" t="b">
        <f t="shared" si="5"/>
        <v>0</v>
      </c>
      <c r="F98" t="s">
        <v>576</v>
      </c>
      <c r="G98" t="s">
        <v>110</v>
      </c>
      <c r="H98" t="s">
        <v>597</v>
      </c>
      <c r="I98" t="s">
        <v>598</v>
      </c>
      <c r="J98" s="295">
        <f>_xlfn.XLOOKUP(G98,Rechner!$A$17:$A$25,Rechner!$B$17:$B$25)</f>
        <v>4</v>
      </c>
      <c r="K98" s="295" t="str">
        <f>_xlfn.XLOOKUP(J98-SUMIF($V$31:$AV$31,TRUE,V98:AV98)-IF(D98=TRUE,1,0),Rechner!$B$17:$B$25,Rechner!$A$17:$A$25,"A+")</f>
        <v>C</v>
      </c>
      <c r="L98" s="295" t="str">
        <f>_xlfn.XLOOKUP(S98,Eigenschaften!$C$20:$C$27,Eigenschaften!$B$20:$B$27)</f>
        <v>Klugheit</v>
      </c>
      <c r="M98" s="295">
        <f>_xlfn.XLOOKUP(L98,Eigenschaften!$B$20:$B$27,Eigenschaften!$H$20:$H$27,"NaN",1)</f>
        <v>12</v>
      </c>
      <c r="N98" s="295" t="str">
        <f>_xlfn.XLOOKUP(T98,Eigenschaften!$C$20:$C$27,Eigenschaften!$B$20:$B$27)</f>
        <v>Charisma</v>
      </c>
      <c r="O98" s="295">
        <f>_xlfn.XLOOKUP(N98,Eigenschaften!$B$20:$B$27,Eigenschaften!$H$20:$H$27,"NaN",1)</f>
        <v>15</v>
      </c>
      <c r="P98" s="295" t="str">
        <f>_xlfn.XLOOKUP(U98,Eigenschaften!$C$20:$C$27,Eigenschaften!$B$20:$B$27)</f>
        <v>Gewandheit</v>
      </c>
      <c r="Q98" s="295">
        <f>_xlfn.XLOOKUP(P98,Eigenschaften!$B$20:$B$27,Eigenschaften!$H$20:$H$27,"NaN",1)</f>
        <v>14</v>
      </c>
      <c r="R98" s="244"/>
      <c r="S98" s="244" t="str" cm="1">
        <f t="array" ref="S98:U98">_xlfn.TEXTSPLIT(F98,"/",,,,3)</f>
        <v>KL</v>
      </c>
      <c r="T98" s="244" t="str">
        <v>CH</v>
      </c>
      <c r="U98" s="244" t="str">
        <v>GE</v>
      </c>
      <c r="V98" s="244">
        <f t="shared" si="24"/>
        <v>0</v>
      </c>
      <c r="W98" s="244">
        <f t="shared" si="24"/>
        <v>0</v>
      </c>
      <c r="X98" s="244">
        <f t="shared" si="24"/>
        <v>0</v>
      </c>
      <c r="Y98" s="244">
        <f t="shared" si="24"/>
        <v>0</v>
      </c>
      <c r="Z98" s="244">
        <f t="shared" si="24"/>
        <v>0</v>
      </c>
      <c r="AA98" s="244">
        <f t="shared" si="24"/>
        <v>0</v>
      </c>
      <c r="AB98" s="244">
        <f t="shared" si="24"/>
        <v>0</v>
      </c>
      <c r="AC98" s="244">
        <f t="shared" si="24"/>
        <v>0</v>
      </c>
      <c r="AD98" s="244">
        <f t="shared" si="24"/>
        <v>0</v>
      </c>
      <c r="AE98" s="244">
        <f t="shared" si="24"/>
        <v>0</v>
      </c>
      <c r="AF98" s="244">
        <f t="shared" si="25"/>
        <v>0</v>
      </c>
      <c r="AG98" s="244">
        <f t="shared" si="25"/>
        <v>0</v>
      </c>
      <c r="AH98" s="244">
        <f t="shared" si="25"/>
        <v>0</v>
      </c>
      <c r="AI98" s="244">
        <f t="shared" si="25"/>
        <v>0</v>
      </c>
      <c r="AJ98" s="244">
        <f t="shared" si="25"/>
        <v>0</v>
      </c>
      <c r="AK98" s="244">
        <f t="shared" si="25"/>
        <v>0</v>
      </c>
      <c r="AL98" s="244">
        <f t="shared" si="25"/>
        <v>0</v>
      </c>
      <c r="AM98" s="244">
        <f t="shared" si="25"/>
        <v>0</v>
      </c>
      <c r="AN98" s="244">
        <f t="shared" si="25"/>
        <v>0</v>
      </c>
      <c r="AO98" s="244">
        <f t="shared" si="25"/>
        <v>0</v>
      </c>
      <c r="AP98" s="244">
        <f t="shared" si="26"/>
        <v>0</v>
      </c>
      <c r="AQ98" s="244">
        <f t="shared" si="26"/>
        <v>1</v>
      </c>
      <c r="AR98" s="244">
        <f t="shared" si="26"/>
        <v>0</v>
      </c>
      <c r="AS98" s="244">
        <f t="shared" si="26"/>
        <v>0</v>
      </c>
      <c r="AT98" s="244">
        <f t="shared" si="26"/>
        <v>1</v>
      </c>
      <c r="AU98" s="244">
        <f t="shared" si="26"/>
        <v>0</v>
      </c>
      <c r="AV98" s="244">
        <f t="shared" si="26"/>
        <v>0</v>
      </c>
      <c r="AW98" s="244"/>
      <c r="AX98" s="244"/>
      <c r="AY98" s="244"/>
      <c r="AZ98" s="244"/>
      <c r="BA98" s="244"/>
      <c r="BB98" s="244"/>
    </row>
    <row r="99" spans="1:54" ht="15" hidden="1">
      <c r="A99" s="331" t="s">
        <v>599</v>
      </c>
      <c r="B99" s="295" t="str">
        <f t="shared" si="4"/>
        <v>Mut: 13 | Intuition: 15 | Konstitution: 12</v>
      </c>
      <c r="C99" s="308" t="b">
        <v>0</v>
      </c>
      <c r="D99" s="308" t="b">
        <v>0</v>
      </c>
      <c r="E99" s="308" t="b">
        <f t="shared" si="5"/>
        <v>0</v>
      </c>
      <c r="F99" t="s">
        <v>310</v>
      </c>
      <c r="G99" t="s">
        <v>110</v>
      </c>
      <c r="H99" t="s">
        <v>235</v>
      </c>
      <c r="I99" t="s">
        <v>600</v>
      </c>
      <c r="J99" s="295">
        <f>_xlfn.XLOOKUP(G99,Rechner!$A$17:$A$25,Rechner!$B$17:$B$25)</f>
        <v>4</v>
      </c>
      <c r="K99" s="295" t="str">
        <f>_xlfn.XLOOKUP(J99-SUMIF($V$31:$AV$31,TRUE,V99:AV99)-IF(D99=TRUE,1,0),Rechner!$B$17:$B$25,Rechner!$A$17:$A$25,"A+")</f>
        <v>B</v>
      </c>
      <c r="L99" s="295" t="str">
        <f>_xlfn.XLOOKUP(S99,Eigenschaften!$C$20:$C$27,Eigenschaften!$B$20:$B$27)</f>
        <v>Mut</v>
      </c>
      <c r="M99" s="295">
        <f>_xlfn.XLOOKUP(L99,Eigenschaften!$B$20:$B$27,Eigenschaften!$H$20:$H$27,"NaN",1)</f>
        <v>13</v>
      </c>
      <c r="N99" s="295" t="str">
        <f>_xlfn.XLOOKUP(T99,Eigenschaften!$C$20:$C$27,Eigenschaften!$B$20:$B$27)</f>
        <v>Intuition</v>
      </c>
      <c r="O99" s="295">
        <f>_xlfn.XLOOKUP(N99,Eigenschaften!$B$20:$B$27,Eigenschaften!$H$20:$H$27,"NaN",1)</f>
        <v>15</v>
      </c>
      <c r="P99" s="295" t="str">
        <f>_xlfn.XLOOKUP(U99,Eigenschaften!$C$20:$C$27,Eigenschaften!$B$20:$B$27)</f>
        <v>Konstitution</v>
      </c>
      <c r="Q99" s="295">
        <f>_xlfn.XLOOKUP(P99,Eigenschaften!$B$20:$B$27,Eigenschaften!$H$20:$H$27,"NaN",1)</f>
        <v>12</v>
      </c>
      <c r="R99" s="244"/>
      <c r="S99" s="244" t="str" cm="1">
        <f t="array" ref="S99:U99">_xlfn.TEXTSPLIT(F99,"/",,,,3)</f>
        <v>MU</v>
      </c>
      <c r="T99" s="244" t="str">
        <v>IN</v>
      </c>
      <c r="U99" s="244" t="str">
        <v>KO</v>
      </c>
      <c r="V99" s="244">
        <f t="shared" si="24"/>
        <v>0</v>
      </c>
      <c r="W99" s="244">
        <f t="shared" si="24"/>
        <v>0</v>
      </c>
      <c r="X99" s="244">
        <f t="shared" si="24"/>
        <v>1</v>
      </c>
      <c r="Y99" s="244">
        <f t="shared" si="24"/>
        <v>0</v>
      </c>
      <c r="Z99" s="244">
        <f t="shared" si="24"/>
        <v>0</v>
      </c>
      <c r="AA99" s="244">
        <f t="shared" si="24"/>
        <v>0</v>
      </c>
      <c r="AB99" s="244">
        <f t="shared" si="24"/>
        <v>0</v>
      </c>
      <c r="AC99" s="244">
        <f t="shared" si="24"/>
        <v>0</v>
      </c>
      <c r="AD99" s="244">
        <f t="shared" si="24"/>
        <v>0</v>
      </c>
      <c r="AE99" s="244">
        <f t="shared" si="24"/>
        <v>0</v>
      </c>
      <c r="AF99" s="244">
        <f t="shared" si="25"/>
        <v>0</v>
      </c>
      <c r="AG99" s="244">
        <f t="shared" si="25"/>
        <v>0</v>
      </c>
      <c r="AH99" s="244">
        <f t="shared" si="25"/>
        <v>0</v>
      </c>
      <c r="AI99" s="244">
        <f t="shared" si="25"/>
        <v>0</v>
      </c>
      <c r="AJ99" s="244">
        <f t="shared" si="25"/>
        <v>0</v>
      </c>
      <c r="AK99" s="244">
        <f t="shared" si="25"/>
        <v>0</v>
      </c>
      <c r="AL99" s="244">
        <f t="shared" si="25"/>
        <v>0</v>
      </c>
      <c r="AM99" s="244">
        <f t="shared" si="25"/>
        <v>0</v>
      </c>
      <c r="AN99" s="244">
        <f t="shared" si="25"/>
        <v>0</v>
      </c>
      <c r="AO99" s="244">
        <f t="shared" si="25"/>
        <v>0</v>
      </c>
      <c r="AP99" s="244">
        <f t="shared" si="26"/>
        <v>0</v>
      </c>
      <c r="AQ99" s="244">
        <f t="shared" si="26"/>
        <v>0</v>
      </c>
      <c r="AR99" s="244">
        <f t="shared" si="26"/>
        <v>0</v>
      </c>
      <c r="AS99" s="244">
        <f t="shared" si="26"/>
        <v>0</v>
      </c>
      <c r="AT99" s="244">
        <f t="shared" si="26"/>
        <v>0</v>
      </c>
      <c r="AU99" s="244">
        <f t="shared" si="26"/>
        <v>0</v>
      </c>
      <c r="AV99" s="244">
        <f t="shared" si="26"/>
        <v>0</v>
      </c>
      <c r="AW99" s="244"/>
      <c r="AX99" s="244"/>
      <c r="AY99" s="244"/>
      <c r="AZ99" s="244"/>
      <c r="BA99" s="244"/>
      <c r="BB99" s="244"/>
    </row>
    <row r="100" spans="1:54" ht="15" hidden="1">
      <c r="A100" s="331" t="s">
        <v>602</v>
      </c>
      <c r="B100" s="295" t="str">
        <f t="shared" ref="B100:B163" si="27">L100&amp;": "&amp;M100&amp;" | "&amp;N100&amp;": "&amp;O100&amp;" | "&amp;P100&amp;": "&amp;Q100</f>
        <v>Intuition: 15 | Charisma: 15 | Konstitution: 12</v>
      </c>
      <c r="C100" s="308" t="b">
        <v>0</v>
      </c>
      <c r="D100" s="308" t="b">
        <v>0</v>
      </c>
      <c r="E100" s="308" t="b">
        <f t="shared" ref="E100:E163" si="28">ISNUMBER(FIND($B$1,I100))</f>
        <v>0</v>
      </c>
      <c r="F100" t="s">
        <v>521</v>
      </c>
      <c r="G100" t="s">
        <v>110</v>
      </c>
      <c r="H100" t="s">
        <v>603</v>
      </c>
      <c r="I100" t="s">
        <v>604</v>
      </c>
      <c r="J100" s="295">
        <f>_xlfn.XLOOKUP(G100,Rechner!$A$17:$A$25,Rechner!$B$17:$B$25)</f>
        <v>4</v>
      </c>
      <c r="K100" s="295" t="str">
        <f>_xlfn.XLOOKUP(J100-SUMIF($V$31:$AV$31,TRUE,V100:AV100)-IF(D100=TRUE,1,0),Rechner!$B$17:$B$25,Rechner!$A$17:$A$25,"A+")</f>
        <v>C</v>
      </c>
      <c r="L100" s="295" t="str">
        <f>_xlfn.XLOOKUP(S100,Eigenschaften!$C$20:$C$27,Eigenschaften!$B$20:$B$27)</f>
        <v>Intuition</v>
      </c>
      <c r="M100" s="295">
        <f>_xlfn.XLOOKUP(L100,Eigenschaften!$B$20:$B$27,Eigenschaften!$H$20:$H$27,"NaN",1)</f>
        <v>15</v>
      </c>
      <c r="N100" s="295" t="str">
        <f>_xlfn.XLOOKUP(T100,Eigenschaften!$C$20:$C$27,Eigenschaften!$B$20:$B$27)</f>
        <v>Charisma</v>
      </c>
      <c r="O100" s="295">
        <f>_xlfn.XLOOKUP(N100,Eigenschaften!$B$20:$B$27,Eigenschaften!$H$20:$H$27,"NaN",1)</f>
        <v>15</v>
      </c>
      <c r="P100" s="295" t="str">
        <f>_xlfn.XLOOKUP(U100,Eigenschaften!$C$20:$C$27,Eigenschaften!$B$20:$B$27)</f>
        <v>Konstitution</v>
      </c>
      <c r="Q100" s="295">
        <f>_xlfn.XLOOKUP(P100,Eigenschaften!$B$20:$B$27,Eigenschaften!$H$20:$H$27,"NaN",1)</f>
        <v>12</v>
      </c>
      <c r="R100" s="244"/>
      <c r="S100" s="244" t="str" cm="1">
        <f t="array" ref="S100:U100">_xlfn.TEXTSPLIT(F100,"/",,,,3)</f>
        <v>IN</v>
      </c>
      <c r="T100" s="244" t="str">
        <v>CH</v>
      </c>
      <c r="U100" s="244" t="str">
        <v>KO</v>
      </c>
      <c r="V100" s="244">
        <f t="shared" si="24"/>
        <v>1</v>
      </c>
      <c r="W100" s="244">
        <f t="shared" si="24"/>
        <v>0</v>
      </c>
      <c r="X100" s="244">
        <f t="shared" si="24"/>
        <v>0</v>
      </c>
      <c r="Y100" s="244">
        <f t="shared" si="24"/>
        <v>1</v>
      </c>
      <c r="Z100" s="244">
        <f t="shared" si="24"/>
        <v>0</v>
      </c>
      <c r="AA100" s="244">
        <f t="shared" si="24"/>
        <v>0</v>
      </c>
      <c r="AB100" s="244">
        <f t="shared" si="24"/>
        <v>0</v>
      </c>
      <c r="AC100" s="244">
        <f t="shared" si="24"/>
        <v>0</v>
      </c>
      <c r="AD100" s="244">
        <f t="shared" si="24"/>
        <v>0</v>
      </c>
      <c r="AE100" s="244">
        <f t="shared" si="24"/>
        <v>0</v>
      </c>
      <c r="AF100" s="244">
        <f t="shared" si="25"/>
        <v>0</v>
      </c>
      <c r="AG100" s="244">
        <f t="shared" si="25"/>
        <v>0</v>
      </c>
      <c r="AH100" s="244">
        <f t="shared" si="25"/>
        <v>0</v>
      </c>
      <c r="AI100" s="244">
        <f t="shared" si="25"/>
        <v>0</v>
      </c>
      <c r="AJ100" s="244">
        <f t="shared" si="25"/>
        <v>0</v>
      </c>
      <c r="AK100" s="244">
        <f t="shared" si="25"/>
        <v>0</v>
      </c>
      <c r="AL100" s="244">
        <f t="shared" si="25"/>
        <v>0</v>
      </c>
      <c r="AM100" s="244">
        <f t="shared" si="25"/>
        <v>0</v>
      </c>
      <c r="AN100" s="244">
        <f t="shared" si="25"/>
        <v>0</v>
      </c>
      <c r="AO100" s="244">
        <f t="shared" si="25"/>
        <v>0</v>
      </c>
      <c r="AP100" s="244">
        <f t="shared" si="26"/>
        <v>0</v>
      </c>
      <c r="AQ100" s="244">
        <f t="shared" si="26"/>
        <v>0</v>
      </c>
      <c r="AR100" s="244">
        <f t="shared" si="26"/>
        <v>0</v>
      </c>
      <c r="AS100" s="244">
        <f t="shared" si="26"/>
        <v>0</v>
      </c>
      <c r="AT100" s="244">
        <f t="shared" si="26"/>
        <v>0</v>
      </c>
      <c r="AU100" s="244">
        <f t="shared" si="26"/>
        <v>0</v>
      </c>
      <c r="AV100" s="244">
        <f t="shared" si="26"/>
        <v>0</v>
      </c>
      <c r="AW100" s="244"/>
      <c r="AX100" s="244"/>
      <c r="AY100" s="244"/>
      <c r="AZ100" s="244"/>
      <c r="BA100" s="244"/>
      <c r="BB100" s="244"/>
    </row>
    <row r="101" spans="1:54" ht="15" hidden="1">
      <c r="A101" s="331" t="s">
        <v>606</v>
      </c>
      <c r="B101" s="295" t="str">
        <f t="shared" si="27"/>
        <v>Mut: 13 | Klugheit: 12 | Charisma: 15</v>
      </c>
      <c r="C101" s="308" t="b">
        <v>0</v>
      </c>
      <c r="D101" s="308" t="b">
        <v>0</v>
      </c>
      <c r="E101" s="308" t="b">
        <f t="shared" si="28"/>
        <v>0</v>
      </c>
      <c r="F101" t="s">
        <v>567</v>
      </c>
      <c r="G101" t="s">
        <v>113</v>
      </c>
      <c r="H101" t="s">
        <v>568</v>
      </c>
      <c r="I101" t="s">
        <v>607</v>
      </c>
      <c r="J101" s="295">
        <f>_xlfn.XLOOKUP(G101,Rechner!$A$17:$A$25,Rechner!$B$17:$B$25)</f>
        <v>5</v>
      </c>
      <c r="K101" s="295" t="str">
        <f>_xlfn.XLOOKUP(J101-SUMIF($V$31:$AV$31,TRUE,V101:AV101)-IF(D101=TRUE,1,0),Rechner!$B$17:$B$25,Rechner!$A$17:$A$25,"A+")</f>
        <v>D</v>
      </c>
      <c r="L101" s="295" t="str">
        <f>_xlfn.XLOOKUP(S101,Eigenschaften!$C$20:$C$27,Eigenschaften!$B$20:$B$27)</f>
        <v>Mut</v>
      </c>
      <c r="M101" s="295">
        <f>_xlfn.XLOOKUP(L101,Eigenschaften!$B$20:$B$27,Eigenschaften!$H$20:$H$27,"NaN",1)</f>
        <v>13</v>
      </c>
      <c r="N101" s="295" t="str">
        <f>_xlfn.XLOOKUP(T101,Eigenschaften!$C$20:$C$27,Eigenschaften!$B$20:$B$27)</f>
        <v>Klugheit</v>
      </c>
      <c r="O101" s="295">
        <f>_xlfn.XLOOKUP(N101,Eigenschaften!$B$20:$B$27,Eigenschaften!$H$20:$H$27,"NaN",1)</f>
        <v>12</v>
      </c>
      <c r="P101" s="295" t="str">
        <f>_xlfn.XLOOKUP(U101,Eigenschaften!$C$20:$C$27,Eigenschaften!$B$20:$B$27)</f>
        <v>Charisma</v>
      </c>
      <c r="Q101" s="295">
        <f>_xlfn.XLOOKUP(P101,Eigenschaften!$B$20:$B$27,Eigenschaften!$H$20:$H$27,"NaN",1)</f>
        <v>15</v>
      </c>
      <c r="R101" s="244"/>
      <c r="S101" s="244" t="str" cm="1">
        <f t="array" ref="S101:U101">_xlfn.TEXTSPLIT(F101,"/",,,,3)</f>
        <v>MU</v>
      </c>
      <c r="T101" s="244" t="str">
        <v>KL</v>
      </c>
      <c r="U101" s="244" t="str">
        <v>CH</v>
      </c>
      <c r="V101" s="244">
        <f t="shared" si="24"/>
        <v>0</v>
      </c>
      <c r="W101" s="244">
        <f t="shared" si="24"/>
        <v>0</v>
      </c>
      <c r="X101" s="244">
        <f t="shared" si="24"/>
        <v>0</v>
      </c>
      <c r="Y101" s="244">
        <f t="shared" si="24"/>
        <v>1</v>
      </c>
      <c r="Z101" s="244">
        <f t="shared" si="24"/>
        <v>0</v>
      </c>
      <c r="AA101" s="244">
        <f t="shared" si="24"/>
        <v>0</v>
      </c>
      <c r="AB101" s="244">
        <f t="shared" si="24"/>
        <v>0</v>
      </c>
      <c r="AC101" s="244">
        <f t="shared" si="24"/>
        <v>0</v>
      </c>
      <c r="AD101" s="244">
        <f t="shared" si="24"/>
        <v>0</v>
      </c>
      <c r="AE101" s="244">
        <f t="shared" si="24"/>
        <v>0</v>
      </c>
      <c r="AF101" s="244">
        <f t="shared" si="25"/>
        <v>0</v>
      </c>
      <c r="AG101" s="244">
        <f t="shared" si="25"/>
        <v>0</v>
      </c>
      <c r="AH101" s="244">
        <f t="shared" si="25"/>
        <v>0</v>
      </c>
      <c r="AI101" s="244">
        <f t="shared" si="25"/>
        <v>0</v>
      </c>
      <c r="AJ101" s="244">
        <f t="shared" si="25"/>
        <v>0</v>
      </c>
      <c r="AK101" s="244">
        <f t="shared" si="25"/>
        <v>1</v>
      </c>
      <c r="AL101" s="244">
        <f t="shared" si="25"/>
        <v>0</v>
      </c>
      <c r="AM101" s="244">
        <f t="shared" si="25"/>
        <v>0</v>
      </c>
      <c r="AN101" s="244">
        <f t="shared" si="25"/>
        <v>0</v>
      </c>
      <c r="AO101" s="244">
        <f t="shared" si="25"/>
        <v>0</v>
      </c>
      <c r="AP101" s="244">
        <f t="shared" si="26"/>
        <v>0</v>
      </c>
      <c r="AQ101" s="244">
        <f t="shared" si="26"/>
        <v>0</v>
      </c>
      <c r="AR101" s="244">
        <f t="shared" si="26"/>
        <v>0</v>
      </c>
      <c r="AS101" s="244">
        <f t="shared" si="26"/>
        <v>0</v>
      </c>
      <c r="AT101" s="244">
        <f t="shared" si="26"/>
        <v>0</v>
      </c>
      <c r="AU101" s="244">
        <f t="shared" si="26"/>
        <v>0</v>
      </c>
      <c r="AV101" s="244">
        <f t="shared" si="26"/>
        <v>0</v>
      </c>
      <c r="AW101" s="244"/>
      <c r="AX101" s="244"/>
      <c r="AY101" s="244"/>
      <c r="AZ101" s="244"/>
      <c r="BA101" s="244"/>
      <c r="BB101" s="244"/>
    </row>
    <row r="102" spans="1:54" ht="15" hidden="1">
      <c r="A102" s="331" t="s">
        <v>609</v>
      </c>
      <c r="B102" s="295" t="str">
        <f t="shared" si="27"/>
        <v>Intuition: 15 | Charisma: 15 | Konstitution: 12</v>
      </c>
      <c r="C102" s="308" t="b">
        <v>0</v>
      </c>
      <c r="D102" s="308" t="b">
        <v>0</v>
      </c>
      <c r="E102" s="308" t="b">
        <f t="shared" si="28"/>
        <v>0</v>
      </c>
      <c r="F102" t="s">
        <v>521</v>
      </c>
      <c r="G102" t="s">
        <v>113</v>
      </c>
      <c r="H102" t="s">
        <v>383</v>
      </c>
      <c r="I102" t="s">
        <v>610</v>
      </c>
      <c r="J102" s="295">
        <f>_xlfn.XLOOKUP(G102,Rechner!$A$17:$A$25,Rechner!$B$17:$B$25)</f>
        <v>5</v>
      </c>
      <c r="K102" s="295" t="str">
        <f>_xlfn.XLOOKUP(J102-SUMIF($V$31:$AV$31,TRUE,V102:AV102)-IF(D102=TRUE,1,0),Rechner!$B$17:$B$25,Rechner!$A$17:$A$25,"A+")</f>
        <v>D</v>
      </c>
      <c r="L102" s="295" t="str">
        <f>_xlfn.XLOOKUP(S102,Eigenschaften!$C$20:$C$27,Eigenschaften!$B$20:$B$27)</f>
        <v>Intuition</v>
      </c>
      <c r="M102" s="295">
        <f>_xlfn.XLOOKUP(L102,Eigenschaften!$B$20:$B$27,Eigenschaften!$H$20:$H$27,"NaN",1)</f>
        <v>15</v>
      </c>
      <c r="N102" s="295" t="str">
        <f>_xlfn.XLOOKUP(T102,Eigenschaften!$C$20:$C$27,Eigenschaften!$B$20:$B$27)</f>
        <v>Charisma</v>
      </c>
      <c r="O102" s="295">
        <f>_xlfn.XLOOKUP(N102,Eigenschaften!$B$20:$B$27,Eigenschaften!$H$20:$H$27,"NaN",1)</f>
        <v>15</v>
      </c>
      <c r="P102" s="295" t="str">
        <f>_xlfn.XLOOKUP(U102,Eigenschaften!$C$20:$C$27,Eigenschaften!$B$20:$B$27)</f>
        <v>Konstitution</v>
      </c>
      <c r="Q102" s="295">
        <f>_xlfn.XLOOKUP(P102,Eigenschaften!$B$20:$B$27,Eigenschaften!$H$20:$H$27,"NaN",1)</f>
        <v>12</v>
      </c>
      <c r="R102" s="244"/>
      <c r="S102" s="244" t="str" cm="1">
        <f t="array" ref="S102:U102">_xlfn.TEXTSPLIT(F102,"/",,,,3)</f>
        <v>IN</v>
      </c>
      <c r="T102" s="244" t="str">
        <v>CH</v>
      </c>
      <c r="U102" s="244" t="str">
        <v>KO</v>
      </c>
      <c r="V102" s="244">
        <f t="shared" si="24"/>
        <v>0</v>
      </c>
      <c r="W102" s="244">
        <f t="shared" si="24"/>
        <v>0</v>
      </c>
      <c r="X102" s="244">
        <f t="shared" si="24"/>
        <v>0</v>
      </c>
      <c r="Y102" s="244">
        <f t="shared" si="24"/>
        <v>0</v>
      </c>
      <c r="Z102" s="244">
        <f t="shared" si="24"/>
        <v>0</v>
      </c>
      <c r="AA102" s="244">
        <f t="shared" si="24"/>
        <v>0</v>
      </c>
      <c r="AB102" s="244">
        <f t="shared" si="24"/>
        <v>0</v>
      </c>
      <c r="AC102" s="244">
        <f t="shared" si="24"/>
        <v>0</v>
      </c>
      <c r="AD102" s="244">
        <f t="shared" si="24"/>
        <v>0</v>
      </c>
      <c r="AE102" s="244">
        <f t="shared" si="24"/>
        <v>0</v>
      </c>
      <c r="AF102" s="244">
        <f t="shared" si="25"/>
        <v>0</v>
      </c>
      <c r="AG102" s="244">
        <f t="shared" si="25"/>
        <v>0</v>
      </c>
      <c r="AH102" s="244">
        <f t="shared" si="25"/>
        <v>0</v>
      </c>
      <c r="AI102" s="244">
        <f t="shared" si="25"/>
        <v>0</v>
      </c>
      <c r="AJ102" s="244">
        <f t="shared" si="25"/>
        <v>0</v>
      </c>
      <c r="AK102" s="244">
        <f t="shared" si="25"/>
        <v>0</v>
      </c>
      <c r="AL102" s="244">
        <f t="shared" si="25"/>
        <v>0</v>
      </c>
      <c r="AM102" s="244">
        <f t="shared" si="25"/>
        <v>0</v>
      </c>
      <c r="AN102" s="244">
        <f t="shared" si="25"/>
        <v>0</v>
      </c>
      <c r="AO102" s="244">
        <f t="shared" si="25"/>
        <v>0</v>
      </c>
      <c r="AP102" s="244">
        <f t="shared" si="26"/>
        <v>0</v>
      </c>
      <c r="AQ102" s="244">
        <f t="shared" si="26"/>
        <v>0</v>
      </c>
      <c r="AR102" s="244">
        <f t="shared" si="26"/>
        <v>0</v>
      </c>
      <c r="AS102" s="244">
        <f t="shared" si="26"/>
        <v>0</v>
      </c>
      <c r="AT102" s="244">
        <f t="shared" si="26"/>
        <v>0</v>
      </c>
      <c r="AU102" s="244">
        <f t="shared" si="26"/>
        <v>0</v>
      </c>
      <c r="AV102" s="244">
        <f t="shared" si="26"/>
        <v>1</v>
      </c>
      <c r="AW102" s="244"/>
      <c r="AX102" s="244"/>
      <c r="AY102" s="244"/>
      <c r="AZ102" s="244"/>
      <c r="BA102" s="244"/>
      <c r="BB102" s="244"/>
    </row>
    <row r="103" spans="1:54" ht="15" hidden="1">
      <c r="A103" s="331" t="s">
        <v>611</v>
      </c>
      <c r="B103" s="295" t="str">
        <f t="shared" si="27"/>
        <v>Mut: 13 | Intuition: 15 | Charisma: 15</v>
      </c>
      <c r="C103" s="308" t="b">
        <v>0</v>
      </c>
      <c r="D103" s="308" t="b">
        <v>0</v>
      </c>
      <c r="E103" s="308" t="b">
        <f t="shared" si="28"/>
        <v>0</v>
      </c>
      <c r="F103" t="s">
        <v>336</v>
      </c>
      <c r="G103" t="s">
        <v>113</v>
      </c>
      <c r="H103" t="s">
        <v>374</v>
      </c>
      <c r="I103" t="s">
        <v>612</v>
      </c>
      <c r="J103" s="295">
        <f>_xlfn.XLOOKUP(G103,Rechner!$A$17:$A$25,Rechner!$B$17:$B$25)</f>
        <v>5</v>
      </c>
      <c r="K103" s="295" t="str">
        <f>_xlfn.XLOOKUP(J103-SUMIF($V$31:$AV$31,TRUE,V103:AV103)-IF(D103=TRUE,1,0),Rechner!$B$17:$B$25,Rechner!$A$17:$A$25,"A+")</f>
        <v>D</v>
      </c>
      <c r="L103" s="295" t="str">
        <f>_xlfn.XLOOKUP(S103,Eigenschaften!$C$20:$C$27,Eigenschaften!$B$20:$B$27)</f>
        <v>Mut</v>
      </c>
      <c r="M103" s="295">
        <f>_xlfn.XLOOKUP(L103,Eigenschaften!$B$20:$B$27,Eigenschaften!$H$20:$H$27,"NaN",1)</f>
        <v>13</v>
      </c>
      <c r="N103" s="295" t="str">
        <f>_xlfn.XLOOKUP(T103,Eigenschaften!$C$20:$C$27,Eigenschaften!$B$20:$B$27)</f>
        <v>Intuition</v>
      </c>
      <c r="O103" s="295">
        <f>_xlfn.XLOOKUP(N103,Eigenschaften!$B$20:$B$27,Eigenschaften!$H$20:$H$27,"NaN",1)</f>
        <v>15</v>
      </c>
      <c r="P103" s="295" t="str">
        <f>_xlfn.XLOOKUP(U103,Eigenschaften!$C$20:$C$27,Eigenschaften!$B$20:$B$27)</f>
        <v>Charisma</v>
      </c>
      <c r="Q103" s="295">
        <f>_xlfn.XLOOKUP(P103,Eigenschaften!$B$20:$B$27,Eigenschaften!$H$20:$H$27,"NaN",1)</f>
        <v>15</v>
      </c>
      <c r="R103" s="244"/>
      <c r="S103" s="244" t="str" cm="1">
        <f t="array" ref="S103:U103">_xlfn.TEXTSPLIT(F103,"/",,,,3)</f>
        <v>MU</v>
      </c>
      <c r="T103" s="244" t="str">
        <v>IN</v>
      </c>
      <c r="U103" s="244" t="str">
        <v>CH</v>
      </c>
      <c r="V103" s="244">
        <f t="shared" si="24"/>
        <v>0</v>
      </c>
      <c r="W103" s="244">
        <f t="shared" si="24"/>
        <v>0</v>
      </c>
      <c r="X103" s="244">
        <f t="shared" si="24"/>
        <v>0</v>
      </c>
      <c r="Y103" s="244">
        <f t="shared" si="24"/>
        <v>0</v>
      </c>
      <c r="Z103" s="244">
        <f t="shared" si="24"/>
        <v>0</v>
      </c>
      <c r="AA103" s="244">
        <f t="shared" si="24"/>
        <v>0</v>
      </c>
      <c r="AB103" s="244">
        <f t="shared" si="24"/>
        <v>0</v>
      </c>
      <c r="AC103" s="244">
        <f t="shared" si="24"/>
        <v>0</v>
      </c>
      <c r="AD103" s="244">
        <f t="shared" si="24"/>
        <v>0</v>
      </c>
      <c r="AE103" s="244">
        <f t="shared" si="24"/>
        <v>0</v>
      </c>
      <c r="AF103" s="244">
        <f t="shared" si="25"/>
        <v>0</v>
      </c>
      <c r="AG103" s="244">
        <f t="shared" si="25"/>
        <v>0</v>
      </c>
      <c r="AH103" s="244">
        <f t="shared" si="25"/>
        <v>0</v>
      </c>
      <c r="AI103" s="244">
        <f t="shared" si="25"/>
        <v>0</v>
      </c>
      <c r="AJ103" s="244">
        <f t="shared" si="25"/>
        <v>0</v>
      </c>
      <c r="AK103" s="244">
        <f t="shared" si="25"/>
        <v>0</v>
      </c>
      <c r="AL103" s="244">
        <f t="shared" si="25"/>
        <v>1</v>
      </c>
      <c r="AM103" s="244">
        <f t="shared" si="25"/>
        <v>0</v>
      </c>
      <c r="AN103" s="244">
        <f t="shared" si="25"/>
        <v>0</v>
      </c>
      <c r="AO103" s="244">
        <f t="shared" si="25"/>
        <v>0</v>
      </c>
      <c r="AP103" s="244">
        <f t="shared" si="26"/>
        <v>0</v>
      </c>
      <c r="AQ103" s="244">
        <f t="shared" si="26"/>
        <v>0</v>
      </c>
      <c r="AR103" s="244">
        <f t="shared" si="26"/>
        <v>0</v>
      </c>
      <c r="AS103" s="244">
        <f t="shared" si="26"/>
        <v>0</v>
      </c>
      <c r="AT103" s="244">
        <f t="shared" si="26"/>
        <v>0</v>
      </c>
      <c r="AU103" s="244">
        <f t="shared" si="26"/>
        <v>0</v>
      </c>
      <c r="AV103" s="244">
        <f t="shared" si="26"/>
        <v>0</v>
      </c>
      <c r="AW103" s="244"/>
      <c r="AX103" s="244"/>
      <c r="AY103" s="244"/>
      <c r="AZ103" s="244"/>
      <c r="BA103" s="244"/>
      <c r="BB103" s="244"/>
    </row>
    <row r="104" spans="1:54" ht="15" hidden="1">
      <c r="A104" s="331" t="s">
        <v>613</v>
      </c>
      <c r="B104" s="295" t="str">
        <f t="shared" si="27"/>
        <v>Klugheit: 12 | Intuition: 15 | Intuition: 15</v>
      </c>
      <c r="C104" s="308" t="b">
        <v>0</v>
      </c>
      <c r="D104" s="308" t="b">
        <v>0</v>
      </c>
      <c r="E104" s="308" t="b">
        <f t="shared" si="28"/>
        <v>1</v>
      </c>
      <c r="F104" t="s">
        <v>614</v>
      </c>
      <c r="G104" t="s">
        <v>125</v>
      </c>
      <c r="H104" t="s">
        <v>372</v>
      </c>
      <c r="I104" t="s">
        <v>615</v>
      </c>
      <c r="J104" s="295">
        <f>_xlfn.XLOOKUP(G104,Rechner!$A$17:$A$25,Rechner!$B$17:$B$25)</f>
        <v>3</v>
      </c>
      <c r="K104" s="295" t="str">
        <f>_xlfn.XLOOKUP(J104-SUMIF($V$31:$AV$31,TRUE,V104:AV104)-IF(D104=TRUE,1,0),Rechner!$B$17:$B$25,Rechner!$A$17:$A$25,"A+")</f>
        <v>B</v>
      </c>
      <c r="L104" s="295" t="str">
        <f>_xlfn.XLOOKUP(S104,Eigenschaften!$C$20:$C$27,Eigenschaften!$B$20:$B$27)</f>
        <v>Klugheit</v>
      </c>
      <c r="M104" s="295">
        <f>_xlfn.XLOOKUP(L104,Eigenschaften!$B$20:$B$27,Eigenschaften!$H$20:$H$27,"NaN",1)</f>
        <v>12</v>
      </c>
      <c r="N104" s="295" t="str">
        <f>_xlfn.XLOOKUP(T104,Eigenschaften!$C$20:$C$27,Eigenschaften!$B$20:$B$27)</f>
        <v>Intuition</v>
      </c>
      <c r="O104" s="295">
        <f>_xlfn.XLOOKUP(N104,Eigenschaften!$B$20:$B$27,Eigenschaften!$H$20:$H$27,"NaN",1)</f>
        <v>15</v>
      </c>
      <c r="P104" s="295" t="str">
        <f>_xlfn.XLOOKUP(U104,Eigenschaften!$C$20:$C$27,Eigenschaften!$B$20:$B$27)</f>
        <v>Intuition</v>
      </c>
      <c r="Q104" s="295">
        <f>_xlfn.XLOOKUP(P104,Eigenschaften!$B$20:$B$27,Eigenschaften!$H$20:$H$27,"NaN",1)</f>
        <v>15</v>
      </c>
      <c r="R104" s="244"/>
      <c r="S104" s="244" t="str" cm="1">
        <f t="array" ref="S104:U104">_xlfn.TEXTSPLIT(F104,"/",,,,3)</f>
        <v>KL</v>
      </c>
      <c r="T104" s="244" t="str">
        <v>IN</v>
      </c>
      <c r="U104" s="244" t="str">
        <v>IN</v>
      </c>
      <c r="V104" s="244">
        <f t="shared" si="24"/>
        <v>0</v>
      </c>
      <c r="W104" s="244">
        <f t="shared" si="24"/>
        <v>0</v>
      </c>
      <c r="X104" s="244">
        <f t="shared" si="24"/>
        <v>0</v>
      </c>
      <c r="Y104" s="244">
        <f t="shared" si="24"/>
        <v>0</v>
      </c>
      <c r="Z104" s="244">
        <f t="shared" si="24"/>
        <v>0</v>
      </c>
      <c r="AA104" s="244">
        <f t="shared" si="24"/>
        <v>0</v>
      </c>
      <c r="AB104" s="244">
        <f t="shared" si="24"/>
        <v>0</v>
      </c>
      <c r="AC104" s="244">
        <f t="shared" si="24"/>
        <v>0</v>
      </c>
      <c r="AD104" s="244">
        <f t="shared" si="24"/>
        <v>0</v>
      </c>
      <c r="AE104" s="244">
        <f t="shared" si="24"/>
        <v>0</v>
      </c>
      <c r="AF104" s="244">
        <f t="shared" si="25"/>
        <v>0</v>
      </c>
      <c r="AG104" s="244">
        <f t="shared" si="25"/>
        <v>0</v>
      </c>
      <c r="AH104" s="244">
        <f t="shared" si="25"/>
        <v>0</v>
      </c>
      <c r="AI104" s="244">
        <f t="shared" si="25"/>
        <v>0</v>
      </c>
      <c r="AJ104" s="244">
        <f t="shared" si="25"/>
        <v>1</v>
      </c>
      <c r="AK104" s="244">
        <f t="shared" si="25"/>
        <v>0</v>
      </c>
      <c r="AL104" s="244">
        <f t="shared" si="25"/>
        <v>0</v>
      </c>
      <c r="AM104" s="244">
        <f t="shared" si="25"/>
        <v>0</v>
      </c>
      <c r="AN104" s="244">
        <f t="shared" si="25"/>
        <v>0</v>
      </c>
      <c r="AO104" s="244">
        <f t="shared" si="25"/>
        <v>0</v>
      </c>
      <c r="AP104" s="244">
        <f t="shared" si="26"/>
        <v>0</v>
      </c>
      <c r="AQ104" s="244">
        <f t="shared" si="26"/>
        <v>0</v>
      </c>
      <c r="AR104" s="244">
        <f t="shared" si="26"/>
        <v>0</v>
      </c>
      <c r="AS104" s="244">
        <f t="shared" si="26"/>
        <v>0</v>
      </c>
      <c r="AT104" s="244">
        <f t="shared" si="26"/>
        <v>0</v>
      </c>
      <c r="AU104" s="244">
        <f t="shared" si="26"/>
        <v>0</v>
      </c>
      <c r="AV104" s="244">
        <f t="shared" si="26"/>
        <v>0</v>
      </c>
      <c r="AW104" s="244"/>
      <c r="AX104" s="244"/>
      <c r="AY104" s="244"/>
      <c r="AZ104" s="244"/>
      <c r="BA104" s="244"/>
      <c r="BB104" s="244"/>
    </row>
    <row r="105" spans="1:54" ht="15" hidden="1">
      <c r="A105" s="331" t="s">
        <v>616</v>
      </c>
      <c r="B105" s="295" t="str">
        <f t="shared" si="27"/>
        <v>Intuition: 15 | Fingerfertigkeit: 10 | Gewandheit: 14</v>
      </c>
      <c r="C105" s="308" t="b">
        <v>0</v>
      </c>
      <c r="D105" s="308" t="b">
        <v>0</v>
      </c>
      <c r="E105" s="308" t="b">
        <f t="shared" si="28"/>
        <v>0</v>
      </c>
      <c r="F105" t="s">
        <v>617</v>
      </c>
      <c r="G105" t="s">
        <v>125</v>
      </c>
      <c r="H105" t="s">
        <v>235</v>
      </c>
      <c r="I105" t="s">
        <v>618</v>
      </c>
      <c r="J105" s="295">
        <f>_xlfn.XLOOKUP(G105,Rechner!$A$17:$A$25,Rechner!$B$17:$B$25)</f>
        <v>3</v>
      </c>
      <c r="K105" s="295" t="str">
        <f>_xlfn.XLOOKUP(J105-SUMIF($V$31:$AV$31,TRUE,V105:AV105)-IF(D105=TRUE,1,0),Rechner!$B$17:$B$25,Rechner!$A$17:$A$25,"A+")</f>
        <v>A</v>
      </c>
      <c r="L105" s="295" t="str">
        <f>_xlfn.XLOOKUP(S105,Eigenschaften!$C$20:$C$27,Eigenschaften!$B$20:$B$27)</f>
        <v>Intuition</v>
      </c>
      <c r="M105" s="295">
        <f>_xlfn.XLOOKUP(L105,Eigenschaften!$B$20:$B$27,Eigenschaften!$H$20:$H$27,"NaN",1)</f>
        <v>15</v>
      </c>
      <c r="N105" s="295" t="str">
        <f>_xlfn.XLOOKUP(T105,Eigenschaften!$C$20:$C$27,Eigenschaften!$B$20:$B$27)</f>
        <v>Fingerfertigkeit</v>
      </c>
      <c r="O105" s="295">
        <f>_xlfn.XLOOKUP(N105,Eigenschaften!$B$20:$B$27,Eigenschaften!$H$20:$H$27,"NaN",1)</f>
        <v>10</v>
      </c>
      <c r="P105" s="295" t="str">
        <f>_xlfn.XLOOKUP(U105,Eigenschaften!$C$20:$C$27,Eigenschaften!$B$20:$B$27)</f>
        <v>Gewandheit</v>
      </c>
      <c r="Q105" s="295">
        <f>_xlfn.XLOOKUP(P105,Eigenschaften!$B$20:$B$27,Eigenschaften!$H$20:$H$27,"NaN",1)</f>
        <v>14</v>
      </c>
      <c r="R105" s="244"/>
      <c r="S105" s="244" t="str" cm="1">
        <f t="array" ref="S105:U105">_xlfn.TEXTSPLIT(F105,"/",,,,3)</f>
        <v>IN</v>
      </c>
      <c r="T105" s="244" t="str">
        <v>FF</v>
      </c>
      <c r="U105" s="244" t="str">
        <v>GE</v>
      </c>
      <c r="V105" s="244">
        <f t="shared" si="24"/>
        <v>0</v>
      </c>
      <c r="W105" s="244">
        <f t="shared" si="24"/>
        <v>0</v>
      </c>
      <c r="X105" s="244">
        <f t="shared" si="24"/>
        <v>1</v>
      </c>
      <c r="Y105" s="244">
        <f t="shared" si="24"/>
        <v>0</v>
      </c>
      <c r="Z105" s="244">
        <f t="shared" si="24"/>
        <v>0</v>
      </c>
      <c r="AA105" s="244">
        <f t="shared" si="24"/>
        <v>0</v>
      </c>
      <c r="AB105" s="244">
        <f t="shared" si="24"/>
        <v>0</v>
      </c>
      <c r="AC105" s="244">
        <f t="shared" si="24"/>
        <v>0</v>
      </c>
      <c r="AD105" s="244">
        <f t="shared" si="24"/>
        <v>0</v>
      </c>
      <c r="AE105" s="244">
        <f t="shared" si="24"/>
        <v>0</v>
      </c>
      <c r="AF105" s="244">
        <f t="shared" si="25"/>
        <v>0</v>
      </c>
      <c r="AG105" s="244">
        <f t="shared" si="25"/>
        <v>0</v>
      </c>
      <c r="AH105" s="244">
        <f t="shared" si="25"/>
        <v>0</v>
      </c>
      <c r="AI105" s="244">
        <f t="shared" si="25"/>
        <v>0</v>
      </c>
      <c r="AJ105" s="244">
        <f t="shared" si="25"/>
        <v>0</v>
      </c>
      <c r="AK105" s="244">
        <f t="shared" si="25"/>
        <v>0</v>
      </c>
      <c r="AL105" s="244">
        <f t="shared" si="25"/>
        <v>0</v>
      </c>
      <c r="AM105" s="244">
        <f t="shared" si="25"/>
        <v>0</v>
      </c>
      <c r="AN105" s="244">
        <f t="shared" si="25"/>
        <v>0</v>
      </c>
      <c r="AO105" s="244">
        <f t="shared" si="25"/>
        <v>0</v>
      </c>
      <c r="AP105" s="244">
        <f t="shared" si="26"/>
        <v>0</v>
      </c>
      <c r="AQ105" s="244">
        <f t="shared" si="26"/>
        <v>0</v>
      </c>
      <c r="AR105" s="244">
        <f t="shared" si="26"/>
        <v>0</v>
      </c>
      <c r="AS105" s="244">
        <f t="shared" si="26"/>
        <v>0</v>
      </c>
      <c r="AT105" s="244">
        <f t="shared" si="26"/>
        <v>0</v>
      </c>
      <c r="AU105" s="244">
        <f t="shared" si="26"/>
        <v>0</v>
      </c>
      <c r="AV105" s="244">
        <f t="shared" si="26"/>
        <v>0</v>
      </c>
      <c r="AW105" s="244"/>
      <c r="AX105" s="244"/>
      <c r="AY105" s="244"/>
      <c r="AZ105" s="244"/>
      <c r="BA105" s="244"/>
      <c r="BB105" s="244"/>
    </row>
    <row r="106" spans="1:54" ht="15" hidden="1">
      <c r="A106" s="331" t="s">
        <v>620</v>
      </c>
      <c r="B106" s="295" t="str">
        <f t="shared" si="27"/>
        <v>Intuition: 15 | Charisma: 15 | Fingerfertigkeit: 10</v>
      </c>
      <c r="C106" s="308" t="b">
        <v>0</v>
      </c>
      <c r="D106" s="308" t="b">
        <v>0</v>
      </c>
      <c r="E106" s="308" t="b">
        <f t="shared" si="28"/>
        <v>0</v>
      </c>
      <c r="F106" t="s">
        <v>314</v>
      </c>
      <c r="G106" t="s">
        <v>128</v>
      </c>
      <c r="H106" t="s">
        <v>375</v>
      </c>
      <c r="I106" t="s">
        <v>621</v>
      </c>
      <c r="J106" s="295">
        <f>_xlfn.XLOOKUP(G106,Rechner!$A$17:$A$25,Rechner!$B$17:$B$25)</f>
        <v>2</v>
      </c>
      <c r="K106" s="295" t="str">
        <f>_xlfn.XLOOKUP(J106-SUMIF($V$31:$AV$31,TRUE,V106:AV106)-IF(D106=TRUE,1,0),Rechner!$B$17:$B$25,Rechner!$A$17:$A$25,"A+")</f>
        <v>A</v>
      </c>
      <c r="L106" s="295" t="str">
        <f>_xlfn.XLOOKUP(S106,Eigenschaften!$C$20:$C$27,Eigenschaften!$B$20:$B$27)</f>
        <v>Intuition</v>
      </c>
      <c r="M106" s="295">
        <f>_xlfn.XLOOKUP(L106,Eigenschaften!$B$20:$B$27,Eigenschaften!$H$20:$H$27,"NaN",1)</f>
        <v>15</v>
      </c>
      <c r="N106" s="295" t="str">
        <f>_xlfn.XLOOKUP(T106,Eigenschaften!$C$20:$C$27,Eigenschaften!$B$20:$B$27)</f>
        <v>Charisma</v>
      </c>
      <c r="O106" s="295">
        <f>_xlfn.XLOOKUP(N106,Eigenschaften!$B$20:$B$27,Eigenschaften!$H$20:$H$27,"NaN",1)</f>
        <v>15</v>
      </c>
      <c r="P106" s="295" t="str">
        <f>_xlfn.XLOOKUP(U106,Eigenschaften!$C$20:$C$27,Eigenschaften!$B$20:$B$27)</f>
        <v>Fingerfertigkeit</v>
      </c>
      <c r="Q106" s="295">
        <f>_xlfn.XLOOKUP(P106,Eigenschaften!$B$20:$B$27,Eigenschaften!$H$20:$H$27,"NaN",1)</f>
        <v>10</v>
      </c>
      <c r="R106" s="244"/>
      <c r="S106" s="244" t="str" cm="1">
        <f t="array" ref="S106:U106">_xlfn.TEXTSPLIT(F106,"/",,,,3)</f>
        <v>IN</v>
      </c>
      <c r="T106" s="244" t="str">
        <v>CH</v>
      </c>
      <c r="U106" s="244" t="str">
        <v>FF</v>
      </c>
      <c r="V106" s="244">
        <f t="shared" ref="V106:AE115" si="29">IF(ISNUMBER(SEARCH(V$32,$H106)),1,0)</f>
        <v>0</v>
      </c>
      <c r="W106" s="244">
        <f t="shared" si="29"/>
        <v>0</v>
      </c>
      <c r="X106" s="244">
        <f t="shared" si="29"/>
        <v>0</v>
      </c>
      <c r="Y106" s="244">
        <f t="shared" si="29"/>
        <v>0</v>
      </c>
      <c r="Z106" s="244">
        <f t="shared" si="29"/>
        <v>0</v>
      </c>
      <c r="AA106" s="244">
        <f t="shared" si="29"/>
        <v>0</v>
      </c>
      <c r="AB106" s="244">
        <f t="shared" si="29"/>
        <v>0</v>
      </c>
      <c r="AC106" s="244">
        <f t="shared" si="29"/>
        <v>0</v>
      </c>
      <c r="AD106" s="244">
        <f t="shared" si="29"/>
        <v>0</v>
      </c>
      <c r="AE106" s="244">
        <f t="shared" si="29"/>
        <v>0</v>
      </c>
      <c r="AF106" s="244">
        <f t="shared" ref="AF106:AO115" si="30">IF(ISNUMBER(SEARCH(AF$32,$H106)),1,0)</f>
        <v>0</v>
      </c>
      <c r="AG106" s="244">
        <f t="shared" si="30"/>
        <v>0</v>
      </c>
      <c r="AH106" s="244">
        <f t="shared" si="30"/>
        <v>0</v>
      </c>
      <c r="AI106" s="244">
        <f t="shared" si="30"/>
        <v>0</v>
      </c>
      <c r="AJ106" s="244">
        <f t="shared" si="30"/>
        <v>0</v>
      </c>
      <c r="AK106" s="244">
        <f t="shared" si="30"/>
        <v>0</v>
      </c>
      <c r="AL106" s="244">
        <f t="shared" si="30"/>
        <v>0</v>
      </c>
      <c r="AM106" s="244">
        <f t="shared" si="30"/>
        <v>1</v>
      </c>
      <c r="AN106" s="244">
        <f t="shared" si="30"/>
        <v>0</v>
      </c>
      <c r="AO106" s="244">
        <f t="shared" si="30"/>
        <v>0</v>
      </c>
      <c r="AP106" s="244">
        <f t="shared" ref="AP106:AV115" si="31">IF(ISNUMBER(SEARCH(AP$32,$H106)),1,0)</f>
        <v>0</v>
      </c>
      <c r="AQ106" s="244">
        <f t="shared" si="31"/>
        <v>0</v>
      </c>
      <c r="AR106" s="244">
        <f t="shared" si="31"/>
        <v>0</v>
      </c>
      <c r="AS106" s="244">
        <f t="shared" si="31"/>
        <v>0</v>
      </c>
      <c r="AT106" s="244">
        <f t="shared" si="31"/>
        <v>0</v>
      </c>
      <c r="AU106" s="244">
        <f t="shared" si="31"/>
        <v>0</v>
      </c>
      <c r="AV106" s="244">
        <f t="shared" si="31"/>
        <v>0</v>
      </c>
      <c r="AW106" s="244"/>
      <c r="AX106" s="244"/>
      <c r="AY106" s="244"/>
      <c r="AZ106" s="244"/>
      <c r="BA106" s="244"/>
      <c r="BB106" s="244"/>
    </row>
    <row r="107" spans="1:54" ht="15" hidden="1">
      <c r="A107" s="331" t="s">
        <v>623</v>
      </c>
      <c r="B107" s="295" t="str">
        <f t="shared" si="27"/>
        <v>Mut: 13 | Klugheit: 12 | Gewandheit: 14</v>
      </c>
      <c r="C107" s="308" t="b">
        <v>0</v>
      </c>
      <c r="D107" s="308" t="b">
        <v>0</v>
      </c>
      <c r="E107" s="308" t="b">
        <f t="shared" si="28"/>
        <v>0</v>
      </c>
      <c r="F107" t="s">
        <v>624</v>
      </c>
      <c r="G107" t="s">
        <v>113</v>
      </c>
      <c r="H107" t="s">
        <v>625</v>
      </c>
      <c r="I107" t="s">
        <v>626</v>
      </c>
      <c r="J107" s="295">
        <f>_xlfn.XLOOKUP(G107,Rechner!$A$17:$A$25,Rechner!$B$17:$B$25)</f>
        <v>5</v>
      </c>
      <c r="K107" s="295" t="str">
        <f>_xlfn.XLOOKUP(J107-SUMIF($V$31:$AV$31,TRUE,V107:AV107)-IF(D107=TRUE,1,0),Rechner!$B$17:$B$25,Rechner!$A$17:$A$25,"A+")</f>
        <v>C</v>
      </c>
      <c r="L107" s="295" t="str">
        <f>_xlfn.XLOOKUP(S107,Eigenschaften!$C$20:$C$27,Eigenschaften!$B$20:$B$27)</f>
        <v>Mut</v>
      </c>
      <c r="M107" s="295">
        <f>_xlfn.XLOOKUP(L107,Eigenschaften!$B$20:$B$27,Eigenschaften!$H$20:$H$27,"NaN",1)</f>
        <v>13</v>
      </c>
      <c r="N107" s="295" t="str">
        <f>_xlfn.XLOOKUP(T107,Eigenschaften!$C$20:$C$27,Eigenschaften!$B$20:$B$27)</f>
        <v>Klugheit</v>
      </c>
      <c r="O107" s="295">
        <f>_xlfn.XLOOKUP(N107,Eigenschaften!$B$20:$B$27,Eigenschaften!$H$20:$H$27,"NaN",1)</f>
        <v>12</v>
      </c>
      <c r="P107" s="295" t="str">
        <f>_xlfn.XLOOKUP(U107,Eigenschaften!$C$20:$C$27,Eigenschaften!$B$20:$B$27)</f>
        <v>Gewandheit</v>
      </c>
      <c r="Q107" s="295">
        <f>_xlfn.XLOOKUP(P107,Eigenschaften!$B$20:$B$27,Eigenschaften!$H$20:$H$27,"NaN",1)</f>
        <v>14</v>
      </c>
      <c r="R107" s="244"/>
      <c r="S107" s="244" t="str" cm="1">
        <f t="array" ref="S107:U107">_xlfn.TEXTSPLIT(F107,"/",,,,3)</f>
        <v>MU</v>
      </c>
      <c r="T107" s="244" t="str">
        <v>KL</v>
      </c>
      <c r="U107" s="244" t="str">
        <v>GE</v>
      </c>
      <c r="V107" s="244">
        <f t="shared" si="29"/>
        <v>0</v>
      </c>
      <c r="W107" s="244">
        <f t="shared" si="29"/>
        <v>0</v>
      </c>
      <c r="X107" s="244">
        <f t="shared" si="29"/>
        <v>1</v>
      </c>
      <c r="Y107" s="244">
        <f t="shared" si="29"/>
        <v>1</v>
      </c>
      <c r="Z107" s="244">
        <f t="shared" si="29"/>
        <v>0</v>
      </c>
      <c r="AA107" s="244">
        <f t="shared" si="29"/>
        <v>0</v>
      </c>
      <c r="AB107" s="244">
        <f t="shared" si="29"/>
        <v>0</v>
      </c>
      <c r="AC107" s="244">
        <f t="shared" si="29"/>
        <v>1</v>
      </c>
      <c r="AD107" s="244">
        <f t="shared" si="29"/>
        <v>0</v>
      </c>
      <c r="AE107" s="244">
        <f t="shared" si="29"/>
        <v>0</v>
      </c>
      <c r="AF107" s="244">
        <f t="shared" si="30"/>
        <v>0</v>
      </c>
      <c r="AG107" s="244">
        <f t="shared" si="30"/>
        <v>0</v>
      </c>
      <c r="AH107" s="244">
        <f t="shared" si="30"/>
        <v>0</v>
      </c>
      <c r="AI107" s="244">
        <f t="shared" si="30"/>
        <v>0</v>
      </c>
      <c r="AJ107" s="244">
        <f t="shared" si="30"/>
        <v>0</v>
      </c>
      <c r="AK107" s="244">
        <f t="shared" si="30"/>
        <v>0</v>
      </c>
      <c r="AL107" s="244">
        <f t="shared" si="30"/>
        <v>0</v>
      </c>
      <c r="AM107" s="244">
        <f t="shared" si="30"/>
        <v>0</v>
      </c>
      <c r="AN107" s="244">
        <f t="shared" si="30"/>
        <v>0</v>
      </c>
      <c r="AO107" s="244">
        <f t="shared" si="30"/>
        <v>0</v>
      </c>
      <c r="AP107" s="244">
        <f t="shared" si="31"/>
        <v>0</v>
      </c>
      <c r="AQ107" s="244">
        <f t="shared" si="31"/>
        <v>0</v>
      </c>
      <c r="AR107" s="244">
        <f t="shared" si="31"/>
        <v>0</v>
      </c>
      <c r="AS107" s="244">
        <f t="shared" si="31"/>
        <v>0</v>
      </c>
      <c r="AT107" s="244">
        <f t="shared" si="31"/>
        <v>0</v>
      </c>
      <c r="AU107" s="244">
        <f t="shared" si="31"/>
        <v>0</v>
      </c>
      <c r="AV107" s="244">
        <f t="shared" si="31"/>
        <v>0</v>
      </c>
      <c r="AW107" s="244"/>
      <c r="AX107" s="244"/>
      <c r="AY107" s="244"/>
      <c r="AZ107" s="244"/>
      <c r="BA107" s="244"/>
      <c r="BB107" s="244"/>
    </row>
    <row r="108" spans="1:54" ht="15" hidden="1">
      <c r="A108" s="331" t="s">
        <v>628</v>
      </c>
      <c r="B108" s="295" t="str">
        <f t="shared" si="27"/>
        <v>Klugheit: 12 | Klugheit: 12 | Fingerfertigkeit: 10</v>
      </c>
      <c r="C108" s="308" t="b">
        <v>0</v>
      </c>
      <c r="D108" s="308" t="b">
        <v>0</v>
      </c>
      <c r="E108" s="308" t="b">
        <f t="shared" si="28"/>
        <v>1</v>
      </c>
      <c r="F108" t="s">
        <v>343</v>
      </c>
      <c r="G108" t="s">
        <v>128</v>
      </c>
      <c r="H108" t="s">
        <v>382</v>
      </c>
      <c r="I108" t="s">
        <v>629</v>
      </c>
      <c r="J108" s="295">
        <f>_xlfn.XLOOKUP(G108,Rechner!$A$17:$A$25,Rechner!$B$17:$B$25)</f>
        <v>2</v>
      </c>
      <c r="K108" s="295" t="str">
        <f>_xlfn.XLOOKUP(J108-SUMIF($V$31:$AV$31,TRUE,V108:AV108)-IF(D108=TRUE,1,0),Rechner!$B$17:$B$25,Rechner!$A$17:$A$25,"A+")</f>
        <v>A</v>
      </c>
      <c r="L108" s="295" t="str">
        <f>_xlfn.XLOOKUP(S108,Eigenschaften!$C$20:$C$27,Eigenschaften!$B$20:$B$27)</f>
        <v>Klugheit</v>
      </c>
      <c r="M108" s="295">
        <f>_xlfn.XLOOKUP(L108,Eigenschaften!$B$20:$B$27,Eigenschaften!$H$20:$H$27,"NaN",1)</f>
        <v>12</v>
      </c>
      <c r="N108" s="295" t="str">
        <f>_xlfn.XLOOKUP(T108,Eigenschaften!$C$20:$C$27,Eigenschaften!$B$20:$B$27)</f>
        <v>Klugheit</v>
      </c>
      <c r="O108" s="295">
        <f>_xlfn.XLOOKUP(N108,Eigenschaften!$B$20:$B$27,Eigenschaften!$H$20:$H$27,"NaN",1)</f>
        <v>12</v>
      </c>
      <c r="P108" s="295" t="str">
        <f>_xlfn.XLOOKUP(U108,Eigenschaften!$C$20:$C$27,Eigenschaften!$B$20:$B$27)</f>
        <v>Fingerfertigkeit</v>
      </c>
      <c r="Q108" s="295">
        <f>_xlfn.XLOOKUP(P108,Eigenschaften!$B$20:$B$27,Eigenschaften!$H$20:$H$27,"NaN",1)</f>
        <v>10</v>
      </c>
      <c r="R108" s="244"/>
      <c r="S108" s="244" t="str" cm="1">
        <f t="array" ref="S108:U108">_xlfn.TEXTSPLIT(F108,"/",,,,3)</f>
        <v>KL</v>
      </c>
      <c r="T108" s="244" t="str">
        <v>KL</v>
      </c>
      <c r="U108" s="244" t="str">
        <v>FF</v>
      </c>
      <c r="V108" s="244">
        <f t="shared" si="29"/>
        <v>0</v>
      </c>
      <c r="W108" s="244">
        <f t="shared" si="29"/>
        <v>0</v>
      </c>
      <c r="X108" s="244">
        <f t="shared" si="29"/>
        <v>0</v>
      </c>
      <c r="Y108" s="244">
        <f t="shared" si="29"/>
        <v>0</v>
      </c>
      <c r="Z108" s="244">
        <f t="shared" si="29"/>
        <v>0</v>
      </c>
      <c r="AA108" s="244">
        <f t="shared" si="29"/>
        <v>0</v>
      </c>
      <c r="AB108" s="244">
        <f t="shared" si="29"/>
        <v>0</v>
      </c>
      <c r="AC108" s="244">
        <f t="shared" si="29"/>
        <v>0</v>
      </c>
      <c r="AD108" s="244">
        <f t="shared" si="29"/>
        <v>0</v>
      </c>
      <c r="AE108" s="244">
        <f t="shared" si="29"/>
        <v>0</v>
      </c>
      <c r="AF108" s="244">
        <f t="shared" si="30"/>
        <v>0</v>
      </c>
      <c r="AG108" s="244">
        <f t="shared" si="30"/>
        <v>0</v>
      </c>
      <c r="AH108" s="244">
        <f t="shared" si="30"/>
        <v>0</v>
      </c>
      <c r="AI108" s="244">
        <f t="shared" si="30"/>
        <v>0</v>
      </c>
      <c r="AJ108" s="244">
        <f t="shared" si="30"/>
        <v>0</v>
      </c>
      <c r="AK108" s="244">
        <f t="shared" si="30"/>
        <v>0</v>
      </c>
      <c r="AL108" s="244">
        <f t="shared" si="30"/>
        <v>0</v>
      </c>
      <c r="AM108" s="244">
        <f t="shared" si="30"/>
        <v>0</v>
      </c>
      <c r="AN108" s="244">
        <f t="shared" si="30"/>
        <v>0</v>
      </c>
      <c r="AO108" s="244">
        <f t="shared" si="30"/>
        <v>0</v>
      </c>
      <c r="AP108" s="244">
        <f t="shared" si="31"/>
        <v>0</v>
      </c>
      <c r="AQ108" s="244">
        <f t="shared" si="31"/>
        <v>0</v>
      </c>
      <c r="AR108" s="244">
        <f t="shared" si="31"/>
        <v>0</v>
      </c>
      <c r="AS108" s="244">
        <f t="shared" si="31"/>
        <v>0</v>
      </c>
      <c r="AT108" s="244">
        <f t="shared" si="31"/>
        <v>0</v>
      </c>
      <c r="AU108" s="244">
        <f t="shared" si="31"/>
        <v>1</v>
      </c>
      <c r="AV108" s="244">
        <f t="shared" si="31"/>
        <v>0</v>
      </c>
      <c r="AW108" s="244"/>
      <c r="AX108" s="244"/>
      <c r="AY108" s="244"/>
      <c r="AZ108" s="244"/>
      <c r="BA108" s="244"/>
      <c r="BB108" s="244"/>
    </row>
    <row r="109" spans="1:54" ht="15" hidden="1">
      <c r="A109" s="331" t="s">
        <v>630</v>
      </c>
      <c r="B109" s="295" t="str">
        <f t="shared" si="27"/>
        <v>Mut: 13 | Klugheit: 12 | Charisma: 15</v>
      </c>
      <c r="C109" s="308" t="b">
        <v>0</v>
      </c>
      <c r="D109" s="308" t="b">
        <v>0</v>
      </c>
      <c r="E109" s="308" t="b">
        <f t="shared" si="28"/>
        <v>1</v>
      </c>
      <c r="F109" t="s">
        <v>567</v>
      </c>
      <c r="G109" t="s">
        <v>113</v>
      </c>
      <c r="H109" t="s">
        <v>488</v>
      </c>
      <c r="I109" t="s">
        <v>631</v>
      </c>
      <c r="J109" s="295">
        <f>_xlfn.XLOOKUP(G109,Rechner!$A$17:$A$25,Rechner!$B$17:$B$25)</f>
        <v>5</v>
      </c>
      <c r="K109" s="295" t="str">
        <f>_xlfn.XLOOKUP(J109-SUMIF($V$31:$AV$31,TRUE,V109:AV109)-IF(D109=TRUE,1,0),Rechner!$B$17:$B$25,Rechner!$A$17:$A$25,"A+")</f>
        <v>D</v>
      </c>
      <c r="L109" s="295" t="str">
        <f>_xlfn.XLOOKUP(S109,Eigenschaften!$C$20:$C$27,Eigenschaften!$B$20:$B$27)</f>
        <v>Mut</v>
      </c>
      <c r="M109" s="295">
        <f>_xlfn.XLOOKUP(L109,Eigenschaften!$B$20:$B$27,Eigenschaften!$H$20:$H$27,"NaN",1)</f>
        <v>13</v>
      </c>
      <c r="N109" s="295" t="str">
        <f>_xlfn.XLOOKUP(T109,Eigenschaften!$C$20:$C$27,Eigenschaften!$B$20:$B$27)</f>
        <v>Klugheit</v>
      </c>
      <c r="O109" s="295">
        <f>_xlfn.XLOOKUP(N109,Eigenschaften!$B$20:$B$27,Eigenschaften!$H$20:$H$27,"NaN",1)</f>
        <v>12</v>
      </c>
      <c r="P109" s="295" t="str">
        <f>_xlfn.XLOOKUP(U109,Eigenschaften!$C$20:$C$27,Eigenschaften!$B$20:$B$27)</f>
        <v>Charisma</v>
      </c>
      <c r="Q109" s="295">
        <f>_xlfn.XLOOKUP(P109,Eigenschaften!$B$20:$B$27,Eigenschaften!$H$20:$H$27,"NaN",1)</f>
        <v>15</v>
      </c>
      <c r="R109" s="244"/>
      <c r="S109" s="244" t="str" cm="1">
        <f t="array" ref="S109:U109">_xlfn.TEXTSPLIT(F109,"/",,,,3)</f>
        <v>MU</v>
      </c>
      <c r="T109" s="244" t="str">
        <v>KL</v>
      </c>
      <c r="U109" s="244" t="str">
        <v>CH</v>
      </c>
      <c r="V109" s="244">
        <f t="shared" si="29"/>
        <v>0</v>
      </c>
      <c r="W109" s="244">
        <f t="shared" si="29"/>
        <v>0</v>
      </c>
      <c r="X109" s="244">
        <f t="shared" si="29"/>
        <v>0</v>
      </c>
      <c r="Y109" s="244">
        <f t="shared" si="29"/>
        <v>0</v>
      </c>
      <c r="Z109" s="244">
        <f t="shared" si="29"/>
        <v>0</v>
      </c>
      <c r="AA109" s="244">
        <f t="shared" si="29"/>
        <v>0</v>
      </c>
      <c r="AB109" s="244">
        <f t="shared" si="29"/>
        <v>0</v>
      </c>
      <c r="AC109" s="244">
        <f t="shared" si="29"/>
        <v>0</v>
      </c>
      <c r="AD109" s="244">
        <f t="shared" si="29"/>
        <v>0</v>
      </c>
      <c r="AE109" s="244">
        <f t="shared" si="29"/>
        <v>0</v>
      </c>
      <c r="AF109" s="244">
        <f t="shared" si="30"/>
        <v>0</v>
      </c>
      <c r="AG109" s="244">
        <f t="shared" si="30"/>
        <v>0</v>
      </c>
      <c r="AH109" s="244">
        <f t="shared" si="30"/>
        <v>0</v>
      </c>
      <c r="AI109" s="244">
        <f t="shared" si="30"/>
        <v>0</v>
      </c>
      <c r="AJ109" s="244">
        <f t="shared" si="30"/>
        <v>0</v>
      </c>
      <c r="AK109" s="244">
        <f t="shared" si="30"/>
        <v>0</v>
      </c>
      <c r="AL109" s="244">
        <f t="shared" si="30"/>
        <v>0</v>
      </c>
      <c r="AM109" s="244">
        <f t="shared" si="30"/>
        <v>0</v>
      </c>
      <c r="AN109" s="244">
        <f t="shared" si="30"/>
        <v>0</v>
      </c>
      <c r="AO109" s="244">
        <f t="shared" si="30"/>
        <v>0</v>
      </c>
      <c r="AP109" s="244">
        <f t="shared" si="31"/>
        <v>0</v>
      </c>
      <c r="AQ109" s="244">
        <f t="shared" si="31"/>
        <v>0</v>
      </c>
      <c r="AR109" s="244">
        <f t="shared" si="31"/>
        <v>0</v>
      </c>
      <c r="AS109" s="244">
        <f t="shared" si="31"/>
        <v>0</v>
      </c>
      <c r="AT109" s="244">
        <f t="shared" si="31"/>
        <v>0</v>
      </c>
      <c r="AU109" s="244">
        <f t="shared" si="31"/>
        <v>0</v>
      </c>
      <c r="AV109" s="244">
        <f t="shared" si="31"/>
        <v>0</v>
      </c>
      <c r="AW109" s="244"/>
      <c r="AX109" s="244"/>
      <c r="AY109" s="244"/>
      <c r="AZ109" s="244"/>
      <c r="BA109" s="244"/>
      <c r="BB109" s="244"/>
    </row>
    <row r="110" spans="1:54" ht="15" hidden="1">
      <c r="A110" s="331" t="s">
        <v>633</v>
      </c>
      <c r="B110" s="295" t="str">
        <f t="shared" si="27"/>
        <v>Klugheit: 12 | Klugheit: 12 | Fingerfertigkeit: 10</v>
      </c>
      <c r="C110" s="308" t="b">
        <v>0</v>
      </c>
      <c r="D110" s="308" t="b">
        <v>0</v>
      </c>
      <c r="E110" s="308" t="b">
        <f t="shared" si="28"/>
        <v>0</v>
      </c>
      <c r="F110" t="s">
        <v>343</v>
      </c>
      <c r="G110" t="s">
        <v>110</v>
      </c>
      <c r="H110" t="s">
        <v>634</v>
      </c>
      <c r="I110" t="s">
        <v>635</v>
      </c>
      <c r="J110" s="295">
        <f>_xlfn.XLOOKUP(G110,Rechner!$A$17:$A$25,Rechner!$B$17:$B$25)</f>
        <v>4</v>
      </c>
      <c r="K110" s="295" t="str">
        <f>_xlfn.XLOOKUP(J110-SUMIF($V$31:$AV$31,TRUE,V110:AV110)-IF(D110=TRUE,1,0),Rechner!$B$17:$B$25,Rechner!$A$17:$A$25,"A+")</f>
        <v>C</v>
      </c>
      <c r="L110" s="295" t="str">
        <f>_xlfn.XLOOKUP(S110,Eigenschaften!$C$20:$C$27,Eigenschaften!$B$20:$B$27)</f>
        <v>Klugheit</v>
      </c>
      <c r="M110" s="295">
        <f>_xlfn.XLOOKUP(L110,Eigenschaften!$B$20:$B$27,Eigenschaften!$H$20:$H$27,"NaN",1)</f>
        <v>12</v>
      </c>
      <c r="N110" s="295" t="str">
        <f>_xlfn.XLOOKUP(T110,Eigenschaften!$C$20:$C$27,Eigenschaften!$B$20:$B$27)</f>
        <v>Klugheit</v>
      </c>
      <c r="O110" s="295">
        <f>_xlfn.XLOOKUP(N110,Eigenschaften!$B$20:$B$27,Eigenschaften!$H$20:$H$27,"NaN",1)</f>
        <v>12</v>
      </c>
      <c r="P110" s="295" t="str">
        <f>_xlfn.XLOOKUP(U110,Eigenschaften!$C$20:$C$27,Eigenschaften!$B$20:$B$27)</f>
        <v>Fingerfertigkeit</v>
      </c>
      <c r="Q110" s="295">
        <f>_xlfn.XLOOKUP(P110,Eigenschaften!$B$20:$B$27,Eigenschaften!$H$20:$H$27,"NaN",1)</f>
        <v>10</v>
      </c>
      <c r="R110" s="244"/>
      <c r="S110" s="244" t="str" cm="1">
        <f t="array" ref="S110:U110">_xlfn.TEXTSPLIT(F110,"/",,,,3)</f>
        <v>KL</v>
      </c>
      <c r="T110" s="244" t="str">
        <v>KL</v>
      </c>
      <c r="U110" s="244" t="str">
        <v>FF</v>
      </c>
      <c r="V110" s="244">
        <f t="shared" si="29"/>
        <v>0</v>
      </c>
      <c r="W110" s="244">
        <f t="shared" si="29"/>
        <v>0</v>
      </c>
      <c r="X110" s="244">
        <f t="shared" si="29"/>
        <v>0</v>
      </c>
      <c r="Y110" s="244">
        <f t="shared" si="29"/>
        <v>0</v>
      </c>
      <c r="Z110" s="244">
        <f t="shared" si="29"/>
        <v>0</v>
      </c>
      <c r="AA110" s="244">
        <f t="shared" si="29"/>
        <v>0</v>
      </c>
      <c r="AB110" s="244">
        <f t="shared" si="29"/>
        <v>0</v>
      </c>
      <c r="AC110" s="244">
        <f t="shared" si="29"/>
        <v>0</v>
      </c>
      <c r="AD110" s="244">
        <f t="shared" si="29"/>
        <v>0</v>
      </c>
      <c r="AE110" s="244">
        <f t="shared" si="29"/>
        <v>0</v>
      </c>
      <c r="AF110" s="244">
        <f t="shared" si="30"/>
        <v>0</v>
      </c>
      <c r="AG110" s="244">
        <f t="shared" si="30"/>
        <v>0</v>
      </c>
      <c r="AH110" s="244">
        <f t="shared" si="30"/>
        <v>0</v>
      </c>
      <c r="AI110" s="244">
        <f t="shared" si="30"/>
        <v>0</v>
      </c>
      <c r="AJ110" s="244">
        <f t="shared" si="30"/>
        <v>1</v>
      </c>
      <c r="AK110" s="244">
        <f t="shared" si="30"/>
        <v>0</v>
      </c>
      <c r="AL110" s="244">
        <f t="shared" si="30"/>
        <v>0</v>
      </c>
      <c r="AM110" s="244">
        <f t="shared" si="30"/>
        <v>0</v>
      </c>
      <c r="AN110" s="244">
        <f t="shared" si="30"/>
        <v>0</v>
      </c>
      <c r="AO110" s="244">
        <f t="shared" si="30"/>
        <v>0</v>
      </c>
      <c r="AP110" s="244">
        <f t="shared" si="31"/>
        <v>0</v>
      </c>
      <c r="AQ110" s="244">
        <f t="shared" si="31"/>
        <v>0</v>
      </c>
      <c r="AR110" s="244">
        <f t="shared" si="31"/>
        <v>0</v>
      </c>
      <c r="AS110" s="244">
        <f t="shared" si="31"/>
        <v>1</v>
      </c>
      <c r="AT110" s="244">
        <f t="shared" si="31"/>
        <v>0</v>
      </c>
      <c r="AU110" s="244">
        <f t="shared" si="31"/>
        <v>0</v>
      </c>
      <c r="AV110" s="244">
        <f t="shared" si="31"/>
        <v>0</v>
      </c>
      <c r="AW110" s="244"/>
      <c r="AX110" s="244"/>
      <c r="AY110" s="244"/>
      <c r="AZ110" s="244"/>
      <c r="BA110" s="244"/>
      <c r="BB110" s="244"/>
    </row>
    <row r="111" spans="1:54" ht="15" hidden="1">
      <c r="A111" s="331" t="s">
        <v>637</v>
      </c>
      <c r="B111" s="295" t="str">
        <f t="shared" si="27"/>
        <v>Intuition: 15 | Konstitution: 12 | Körperkraft: 12</v>
      </c>
      <c r="C111" s="308" t="b">
        <v>0</v>
      </c>
      <c r="D111" s="308" t="b">
        <v>0</v>
      </c>
      <c r="E111" s="308" t="b">
        <f t="shared" si="28"/>
        <v>0</v>
      </c>
      <c r="F111" t="s">
        <v>638</v>
      </c>
      <c r="G111" t="s">
        <v>113</v>
      </c>
      <c r="H111" t="s">
        <v>639</v>
      </c>
      <c r="I111" t="s">
        <v>640</v>
      </c>
      <c r="J111" s="295">
        <f>_xlfn.XLOOKUP(G111,Rechner!$A$17:$A$25,Rechner!$B$17:$B$25)</f>
        <v>5</v>
      </c>
      <c r="K111" s="295" t="str">
        <f>_xlfn.XLOOKUP(J111-SUMIF($V$31:$AV$31,TRUE,V111:AV111)-IF(D111=TRUE,1,0),Rechner!$B$17:$B$25,Rechner!$A$17:$A$25,"A+")</f>
        <v>D</v>
      </c>
      <c r="L111" s="295" t="str">
        <f>_xlfn.XLOOKUP(S111,Eigenschaften!$C$20:$C$27,Eigenschaften!$B$20:$B$27)</f>
        <v>Intuition</v>
      </c>
      <c r="M111" s="295">
        <f>_xlfn.XLOOKUP(L111,Eigenschaften!$B$20:$B$27,Eigenschaften!$H$20:$H$27,"NaN",1)</f>
        <v>15</v>
      </c>
      <c r="N111" s="295" t="str">
        <f>_xlfn.XLOOKUP(T111,Eigenschaften!$C$20:$C$27,Eigenschaften!$B$20:$B$27)</f>
        <v>Konstitution</v>
      </c>
      <c r="O111" s="295">
        <f>_xlfn.XLOOKUP(N111,Eigenschaften!$B$20:$B$27,Eigenschaften!$H$20:$H$27,"NaN",1)</f>
        <v>12</v>
      </c>
      <c r="P111" s="295" t="str">
        <f>_xlfn.XLOOKUP(U111,Eigenschaften!$C$20:$C$27,Eigenschaften!$B$20:$B$27)</f>
        <v>Körperkraft</v>
      </c>
      <c r="Q111" s="295">
        <f>_xlfn.XLOOKUP(P111,Eigenschaften!$B$20:$B$27,Eigenschaften!$H$20:$H$27,"NaN",1)</f>
        <v>12</v>
      </c>
      <c r="R111" s="244"/>
      <c r="S111" s="244" t="str" cm="1">
        <f t="array" ref="S111:U111">_xlfn.TEXTSPLIT(F111,"/",,,,3)</f>
        <v>IN</v>
      </c>
      <c r="T111" s="244" t="str">
        <v>KO</v>
      </c>
      <c r="U111" s="244" t="str">
        <v>KK</v>
      </c>
      <c r="V111" s="244">
        <f t="shared" si="29"/>
        <v>0</v>
      </c>
      <c r="W111" s="244">
        <f t="shared" si="29"/>
        <v>0</v>
      </c>
      <c r="X111" s="244">
        <f t="shared" si="29"/>
        <v>0</v>
      </c>
      <c r="Y111" s="244">
        <f t="shared" si="29"/>
        <v>1</v>
      </c>
      <c r="Z111" s="244">
        <f t="shared" si="29"/>
        <v>0</v>
      </c>
      <c r="AA111" s="244">
        <f t="shared" si="29"/>
        <v>0</v>
      </c>
      <c r="AB111" s="244">
        <f t="shared" si="29"/>
        <v>1</v>
      </c>
      <c r="AC111" s="244">
        <f t="shared" si="29"/>
        <v>0</v>
      </c>
      <c r="AD111" s="244">
        <f t="shared" si="29"/>
        <v>0</v>
      </c>
      <c r="AE111" s="244">
        <f t="shared" si="29"/>
        <v>0</v>
      </c>
      <c r="AF111" s="244">
        <f t="shared" si="30"/>
        <v>0</v>
      </c>
      <c r="AG111" s="244">
        <f t="shared" si="30"/>
        <v>0</v>
      </c>
      <c r="AH111" s="244">
        <f t="shared" si="30"/>
        <v>0</v>
      </c>
      <c r="AI111" s="244">
        <f t="shared" si="30"/>
        <v>0</v>
      </c>
      <c r="AJ111" s="244">
        <f t="shared" si="30"/>
        <v>0</v>
      </c>
      <c r="AK111" s="244">
        <f t="shared" si="30"/>
        <v>0</v>
      </c>
      <c r="AL111" s="244">
        <f t="shared" si="30"/>
        <v>0</v>
      </c>
      <c r="AM111" s="244">
        <f t="shared" si="30"/>
        <v>0</v>
      </c>
      <c r="AN111" s="244">
        <f t="shared" si="30"/>
        <v>0</v>
      </c>
      <c r="AO111" s="244">
        <f t="shared" si="30"/>
        <v>0</v>
      </c>
      <c r="AP111" s="244">
        <f t="shared" si="31"/>
        <v>0</v>
      </c>
      <c r="AQ111" s="244">
        <f t="shared" si="31"/>
        <v>0</v>
      </c>
      <c r="AR111" s="244">
        <f t="shared" si="31"/>
        <v>0</v>
      </c>
      <c r="AS111" s="244">
        <f t="shared" si="31"/>
        <v>0</v>
      </c>
      <c r="AT111" s="244">
        <f t="shared" si="31"/>
        <v>0</v>
      </c>
      <c r="AU111" s="244">
        <f t="shared" si="31"/>
        <v>1</v>
      </c>
      <c r="AV111" s="244">
        <f t="shared" si="31"/>
        <v>0</v>
      </c>
      <c r="AW111" s="244"/>
      <c r="AX111" s="244"/>
      <c r="AY111" s="244"/>
      <c r="AZ111" s="244"/>
      <c r="BA111" s="244"/>
      <c r="BB111" s="244"/>
    </row>
    <row r="112" spans="1:54" ht="15" hidden="1">
      <c r="A112" s="331" t="s">
        <v>641</v>
      </c>
      <c r="B112" s="295" t="str">
        <f t="shared" si="27"/>
        <v>Klugheit: 12 | Fingerfertigkeit: 10 | Konstitution: 12</v>
      </c>
      <c r="C112" s="308" t="b">
        <v>0</v>
      </c>
      <c r="D112" s="308" t="b">
        <v>0</v>
      </c>
      <c r="E112" s="308" t="b">
        <f t="shared" si="28"/>
        <v>0</v>
      </c>
      <c r="F112" t="s">
        <v>295</v>
      </c>
      <c r="G112" t="s">
        <v>110</v>
      </c>
      <c r="H112" t="s">
        <v>642</v>
      </c>
      <c r="I112" t="s">
        <v>436</v>
      </c>
      <c r="J112" s="295">
        <f>_xlfn.XLOOKUP(G112,Rechner!$A$17:$A$25,Rechner!$B$17:$B$25)</f>
        <v>4</v>
      </c>
      <c r="K112" s="295" t="str">
        <f>_xlfn.XLOOKUP(J112-SUMIF($V$31:$AV$31,TRUE,V112:AV112)-IF(D112=TRUE,1,0),Rechner!$B$17:$B$25,Rechner!$A$17:$A$25,"A+")</f>
        <v>C</v>
      </c>
      <c r="L112" s="295" t="str">
        <f>_xlfn.XLOOKUP(S112,Eigenschaften!$C$20:$C$27,Eigenschaften!$B$20:$B$27)</f>
        <v>Klugheit</v>
      </c>
      <c r="M112" s="295">
        <f>_xlfn.XLOOKUP(L112,Eigenschaften!$B$20:$B$27,Eigenschaften!$H$20:$H$27,"NaN",1)</f>
        <v>12</v>
      </c>
      <c r="N112" s="295" t="str">
        <f>_xlfn.XLOOKUP(T112,Eigenschaften!$C$20:$C$27,Eigenschaften!$B$20:$B$27)</f>
        <v>Fingerfertigkeit</v>
      </c>
      <c r="O112" s="295">
        <f>_xlfn.XLOOKUP(N112,Eigenschaften!$B$20:$B$27,Eigenschaften!$H$20:$H$27,"NaN",1)</f>
        <v>10</v>
      </c>
      <c r="P112" s="295" t="str">
        <f>_xlfn.XLOOKUP(U112,Eigenschaften!$C$20:$C$27,Eigenschaften!$B$20:$B$27)</f>
        <v>Konstitution</v>
      </c>
      <c r="Q112" s="295">
        <f>_xlfn.XLOOKUP(P112,Eigenschaften!$B$20:$B$27,Eigenschaften!$H$20:$H$27,"NaN",1)</f>
        <v>12</v>
      </c>
      <c r="R112" s="244"/>
      <c r="S112" s="244" t="str" cm="1">
        <f t="array" ref="S112:U112">_xlfn.TEXTSPLIT(F112,"/",,,,3)</f>
        <v>KL</v>
      </c>
      <c r="T112" s="244" t="str">
        <v>FF</v>
      </c>
      <c r="U112" s="244" t="str">
        <v>KO</v>
      </c>
      <c r="V112" s="244">
        <f t="shared" si="29"/>
        <v>0</v>
      </c>
      <c r="W112" s="244">
        <f t="shared" si="29"/>
        <v>0</v>
      </c>
      <c r="X112" s="244">
        <f t="shared" si="29"/>
        <v>0</v>
      </c>
      <c r="Y112" s="244">
        <f t="shared" si="29"/>
        <v>1</v>
      </c>
      <c r="Z112" s="244">
        <f t="shared" si="29"/>
        <v>0</v>
      </c>
      <c r="AA112" s="244">
        <f t="shared" si="29"/>
        <v>0</v>
      </c>
      <c r="AB112" s="244">
        <f t="shared" si="29"/>
        <v>0</v>
      </c>
      <c r="AC112" s="244">
        <f t="shared" si="29"/>
        <v>1</v>
      </c>
      <c r="AD112" s="244">
        <f t="shared" si="29"/>
        <v>0</v>
      </c>
      <c r="AE112" s="244">
        <f t="shared" si="29"/>
        <v>0</v>
      </c>
      <c r="AF112" s="244">
        <f t="shared" si="30"/>
        <v>0</v>
      </c>
      <c r="AG112" s="244">
        <f t="shared" si="30"/>
        <v>0</v>
      </c>
      <c r="AH112" s="244">
        <f t="shared" si="30"/>
        <v>0</v>
      </c>
      <c r="AI112" s="244">
        <f t="shared" si="30"/>
        <v>0</v>
      </c>
      <c r="AJ112" s="244">
        <f t="shared" si="30"/>
        <v>0</v>
      </c>
      <c r="AK112" s="244">
        <f t="shared" si="30"/>
        <v>0</v>
      </c>
      <c r="AL112" s="244">
        <f t="shared" si="30"/>
        <v>0</v>
      </c>
      <c r="AM112" s="244">
        <f t="shared" si="30"/>
        <v>0</v>
      </c>
      <c r="AN112" s="244">
        <f t="shared" si="30"/>
        <v>0</v>
      </c>
      <c r="AO112" s="244">
        <f t="shared" si="30"/>
        <v>0</v>
      </c>
      <c r="AP112" s="244">
        <f t="shared" si="31"/>
        <v>0</v>
      </c>
      <c r="AQ112" s="244">
        <f t="shared" si="31"/>
        <v>0</v>
      </c>
      <c r="AR112" s="244">
        <f t="shared" si="31"/>
        <v>1</v>
      </c>
      <c r="AS112" s="244">
        <f t="shared" si="31"/>
        <v>0</v>
      </c>
      <c r="AT112" s="244">
        <f t="shared" si="31"/>
        <v>0</v>
      </c>
      <c r="AU112" s="244">
        <f t="shared" si="31"/>
        <v>0</v>
      </c>
      <c r="AV112" s="244">
        <f t="shared" si="31"/>
        <v>0</v>
      </c>
      <c r="AW112" s="244"/>
      <c r="AX112" s="244"/>
      <c r="AY112" s="244"/>
      <c r="AZ112" s="244"/>
      <c r="BA112" s="244"/>
      <c r="BB112" s="244"/>
    </row>
    <row r="113" spans="1:54" ht="15" hidden="1">
      <c r="A113" s="331" t="s">
        <v>643</v>
      </c>
      <c r="B113" s="295" t="str">
        <f t="shared" si="27"/>
        <v>Mut: 13 | Intuition: 15 | Konstitution: 12</v>
      </c>
      <c r="C113" s="308" t="b">
        <v>0</v>
      </c>
      <c r="D113" s="308" t="b">
        <v>0</v>
      </c>
      <c r="E113" s="308" t="b">
        <f t="shared" si="28"/>
        <v>0</v>
      </c>
      <c r="F113" t="s">
        <v>310</v>
      </c>
      <c r="G113" t="s">
        <v>113</v>
      </c>
      <c r="H113" t="s">
        <v>644</v>
      </c>
      <c r="I113" t="s">
        <v>440</v>
      </c>
      <c r="J113" s="295">
        <f>_xlfn.XLOOKUP(G113,Rechner!$A$17:$A$25,Rechner!$B$17:$B$25)</f>
        <v>5</v>
      </c>
      <c r="K113" s="295" t="str">
        <f>_xlfn.XLOOKUP(J113-SUMIF($V$31:$AV$31,TRUE,V113:AV113)-IF(D113=TRUE,1,0),Rechner!$B$17:$B$25,Rechner!$A$17:$A$25,"A+")</f>
        <v>D</v>
      </c>
      <c r="L113" s="295" t="str">
        <f>_xlfn.XLOOKUP(S113,Eigenschaften!$C$20:$C$27,Eigenschaften!$B$20:$B$27)</f>
        <v>Mut</v>
      </c>
      <c r="M113" s="295">
        <f>_xlfn.XLOOKUP(L113,Eigenschaften!$B$20:$B$27,Eigenschaften!$H$20:$H$27,"NaN",1)</f>
        <v>13</v>
      </c>
      <c r="N113" s="295" t="str">
        <f>_xlfn.XLOOKUP(T113,Eigenschaften!$C$20:$C$27,Eigenschaften!$B$20:$B$27)</f>
        <v>Intuition</v>
      </c>
      <c r="O113" s="295">
        <f>_xlfn.XLOOKUP(N113,Eigenschaften!$B$20:$B$27,Eigenschaften!$H$20:$H$27,"NaN",1)</f>
        <v>15</v>
      </c>
      <c r="P113" s="295" t="str">
        <f>_xlfn.XLOOKUP(U113,Eigenschaften!$C$20:$C$27,Eigenschaften!$B$20:$B$27)</f>
        <v>Konstitution</v>
      </c>
      <c r="Q113" s="295">
        <f>_xlfn.XLOOKUP(P113,Eigenschaften!$B$20:$B$27,Eigenschaften!$H$20:$H$27,"NaN",1)</f>
        <v>12</v>
      </c>
      <c r="R113" s="244"/>
      <c r="S113" s="244" t="str" cm="1">
        <f t="array" ref="S113:U113">_xlfn.TEXTSPLIT(F113,"/",,,,3)</f>
        <v>MU</v>
      </c>
      <c r="T113" s="244" t="str">
        <v>IN</v>
      </c>
      <c r="U113" s="244" t="str">
        <v>KO</v>
      </c>
      <c r="V113" s="244">
        <f t="shared" si="29"/>
        <v>0</v>
      </c>
      <c r="W113" s="244">
        <f t="shared" si="29"/>
        <v>0</v>
      </c>
      <c r="X113" s="244">
        <f t="shared" si="29"/>
        <v>0</v>
      </c>
      <c r="Y113" s="244">
        <f t="shared" si="29"/>
        <v>1</v>
      </c>
      <c r="Z113" s="244">
        <f t="shared" si="29"/>
        <v>0</v>
      </c>
      <c r="AA113" s="244">
        <f t="shared" si="29"/>
        <v>0</v>
      </c>
      <c r="AB113" s="244">
        <f t="shared" si="29"/>
        <v>0</v>
      </c>
      <c r="AC113" s="244">
        <f t="shared" si="29"/>
        <v>1</v>
      </c>
      <c r="AD113" s="244">
        <f t="shared" si="29"/>
        <v>0</v>
      </c>
      <c r="AE113" s="244">
        <f t="shared" si="29"/>
        <v>0</v>
      </c>
      <c r="AF113" s="244">
        <f t="shared" si="30"/>
        <v>0</v>
      </c>
      <c r="AG113" s="244">
        <f t="shared" si="30"/>
        <v>0</v>
      </c>
      <c r="AH113" s="244">
        <f t="shared" si="30"/>
        <v>0</v>
      </c>
      <c r="AI113" s="244">
        <f t="shared" si="30"/>
        <v>0</v>
      </c>
      <c r="AJ113" s="244">
        <f t="shared" si="30"/>
        <v>0</v>
      </c>
      <c r="AK113" s="244">
        <f t="shared" si="30"/>
        <v>0</v>
      </c>
      <c r="AL113" s="244">
        <f t="shared" si="30"/>
        <v>0</v>
      </c>
      <c r="AM113" s="244">
        <f t="shared" si="30"/>
        <v>0</v>
      </c>
      <c r="AN113" s="244">
        <f t="shared" si="30"/>
        <v>0</v>
      </c>
      <c r="AO113" s="244">
        <f t="shared" si="30"/>
        <v>0</v>
      </c>
      <c r="AP113" s="244">
        <f t="shared" si="31"/>
        <v>0</v>
      </c>
      <c r="AQ113" s="244">
        <f t="shared" si="31"/>
        <v>0</v>
      </c>
      <c r="AR113" s="244">
        <f t="shared" si="31"/>
        <v>1</v>
      </c>
      <c r="AS113" s="244">
        <f t="shared" si="31"/>
        <v>1</v>
      </c>
      <c r="AT113" s="244">
        <f t="shared" si="31"/>
        <v>0</v>
      </c>
      <c r="AU113" s="244">
        <f t="shared" si="31"/>
        <v>0</v>
      </c>
      <c r="AV113" s="244">
        <f t="shared" si="31"/>
        <v>0</v>
      </c>
      <c r="AW113" s="244"/>
      <c r="AX113" s="244"/>
      <c r="AY113" s="244"/>
      <c r="AZ113" s="244"/>
      <c r="BA113" s="244"/>
      <c r="BB113" s="244"/>
    </row>
    <row r="114" spans="1:54" ht="15" hidden="1">
      <c r="A114" s="331" t="s">
        <v>646</v>
      </c>
      <c r="B114" s="295" t="str">
        <f t="shared" si="27"/>
        <v>Intuition: 15 | Gewandheit: 14 | Konstitution: 12</v>
      </c>
      <c r="C114" s="308" t="b">
        <v>0</v>
      </c>
      <c r="D114" s="308" t="b">
        <v>0</v>
      </c>
      <c r="E114" s="308" t="b">
        <f t="shared" si="28"/>
        <v>1</v>
      </c>
      <c r="F114" t="s">
        <v>281</v>
      </c>
      <c r="G114" t="s">
        <v>110</v>
      </c>
      <c r="H114" t="s">
        <v>491</v>
      </c>
      <c r="I114" t="s">
        <v>647</v>
      </c>
      <c r="J114" s="295">
        <f>_xlfn.XLOOKUP(G114,Rechner!$A$17:$A$25,Rechner!$B$17:$B$25)</f>
        <v>4</v>
      </c>
      <c r="K114" s="295" t="str">
        <f>_xlfn.XLOOKUP(J114-SUMIF($V$31:$AV$31,TRUE,V114:AV114)-IF(D114=TRUE,1,0),Rechner!$B$17:$B$25,Rechner!$A$17:$A$25,"A+")</f>
        <v>C</v>
      </c>
      <c r="L114" s="295" t="str">
        <f>_xlfn.XLOOKUP(S114,Eigenschaften!$C$20:$C$27,Eigenschaften!$B$20:$B$27)</f>
        <v>Intuition</v>
      </c>
      <c r="M114" s="295">
        <f>_xlfn.XLOOKUP(L114,Eigenschaften!$B$20:$B$27,Eigenschaften!$H$20:$H$27,"NaN",1)</f>
        <v>15</v>
      </c>
      <c r="N114" s="295" t="str">
        <f>_xlfn.XLOOKUP(T114,Eigenschaften!$C$20:$C$27,Eigenschaften!$B$20:$B$27)</f>
        <v>Gewandheit</v>
      </c>
      <c r="O114" s="295">
        <f>_xlfn.XLOOKUP(N114,Eigenschaften!$B$20:$B$27,Eigenschaften!$H$20:$H$27,"NaN",1)</f>
        <v>14</v>
      </c>
      <c r="P114" s="295" t="str">
        <f>_xlfn.XLOOKUP(U114,Eigenschaften!$C$20:$C$27,Eigenschaften!$B$20:$B$27)</f>
        <v>Konstitution</v>
      </c>
      <c r="Q114" s="295">
        <f>_xlfn.XLOOKUP(P114,Eigenschaften!$B$20:$B$27,Eigenschaften!$H$20:$H$27,"NaN",1)</f>
        <v>12</v>
      </c>
      <c r="R114" s="244"/>
      <c r="S114" s="244" t="str" cm="1">
        <f t="array" ref="S114:U114">_xlfn.TEXTSPLIT(F114,"/",,,,3)</f>
        <v>IN</v>
      </c>
      <c r="T114" s="244" t="str">
        <v>GE</v>
      </c>
      <c r="U114" s="244" t="str">
        <v>KO</v>
      </c>
      <c r="V114" s="244">
        <f t="shared" si="29"/>
        <v>0</v>
      </c>
      <c r="W114" s="244">
        <f t="shared" si="29"/>
        <v>0</v>
      </c>
      <c r="X114" s="244">
        <f t="shared" si="29"/>
        <v>0</v>
      </c>
      <c r="Y114" s="244">
        <f t="shared" si="29"/>
        <v>0</v>
      </c>
      <c r="Z114" s="244">
        <f t="shared" si="29"/>
        <v>0</v>
      </c>
      <c r="AA114" s="244">
        <f t="shared" si="29"/>
        <v>0</v>
      </c>
      <c r="AB114" s="244">
        <f t="shared" si="29"/>
        <v>0</v>
      </c>
      <c r="AC114" s="244">
        <f t="shared" si="29"/>
        <v>0</v>
      </c>
      <c r="AD114" s="244">
        <f t="shared" si="29"/>
        <v>0</v>
      </c>
      <c r="AE114" s="244">
        <f t="shared" si="29"/>
        <v>0</v>
      </c>
      <c r="AF114" s="244">
        <f t="shared" si="30"/>
        <v>0</v>
      </c>
      <c r="AG114" s="244">
        <f t="shared" si="30"/>
        <v>0</v>
      </c>
      <c r="AH114" s="244">
        <f t="shared" si="30"/>
        <v>0</v>
      </c>
      <c r="AI114" s="244">
        <f t="shared" si="30"/>
        <v>0</v>
      </c>
      <c r="AJ114" s="244">
        <f t="shared" si="30"/>
        <v>0</v>
      </c>
      <c r="AK114" s="244">
        <f t="shared" si="30"/>
        <v>0</v>
      </c>
      <c r="AL114" s="244">
        <f t="shared" si="30"/>
        <v>0</v>
      </c>
      <c r="AM114" s="244">
        <f t="shared" si="30"/>
        <v>0</v>
      </c>
      <c r="AN114" s="244">
        <f t="shared" si="30"/>
        <v>1</v>
      </c>
      <c r="AO114" s="244">
        <f t="shared" si="30"/>
        <v>0</v>
      </c>
      <c r="AP114" s="244">
        <f t="shared" si="31"/>
        <v>0</v>
      </c>
      <c r="AQ114" s="244">
        <f t="shared" si="31"/>
        <v>0</v>
      </c>
      <c r="AR114" s="244">
        <f t="shared" si="31"/>
        <v>1</v>
      </c>
      <c r="AS114" s="244">
        <f t="shared" si="31"/>
        <v>0</v>
      </c>
      <c r="AT114" s="244">
        <f t="shared" si="31"/>
        <v>0</v>
      </c>
      <c r="AU114" s="244">
        <f t="shared" si="31"/>
        <v>0</v>
      </c>
      <c r="AV114" s="244">
        <f t="shared" si="31"/>
        <v>0</v>
      </c>
      <c r="AW114" s="244"/>
      <c r="AX114" s="244"/>
      <c r="AY114" s="244"/>
      <c r="AZ114" s="244"/>
      <c r="BA114" s="244"/>
      <c r="BB114" s="244"/>
    </row>
    <row r="115" spans="1:54" ht="15" hidden="1">
      <c r="A115" s="331" t="s">
        <v>648</v>
      </c>
      <c r="B115" s="295" t="str">
        <f t="shared" si="27"/>
        <v>Klugheit: 12 | Intuition: 15 | Konstitution: 12</v>
      </c>
      <c r="C115" s="308" t="b">
        <v>0</v>
      </c>
      <c r="D115" s="308" t="b">
        <v>0</v>
      </c>
      <c r="E115" s="308" t="b">
        <f t="shared" si="28"/>
        <v>0</v>
      </c>
      <c r="F115" t="s">
        <v>529</v>
      </c>
      <c r="G115" t="s">
        <v>113</v>
      </c>
      <c r="H115" t="s">
        <v>649</v>
      </c>
      <c r="I115" t="s">
        <v>650</v>
      </c>
      <c r="J115" s="295">
        <f>_xlfn.XLOOKUP(G115,Rechner!$A$17:$A$25,Rechner!$B$17:$B$25)</f>
        <v>5</v>
      </c>
      <c r="K115" s="295" t="str">
        <f>_xlfn.XLOOKUP(J115-SUMIF($V$31:$AV$31,TRUE,V115:AV115)-IF(D115=TRUE,1,0),Rechner!$B$17:$B$25,Rechner!$A$17:$A$25,"A+")</f>
        <v>D</v>
      </c>
      <c r="L115" s="295" t="str">
        <f>_xlfn.XLOOKUP(S115,Eigenschaften!$C$20:$C$27,Eigenschaften!$B$20:$B$27)</f>
        <v>Klugheit</v>
      </c>
      <c r="M115" s="295">
        <f>_xlfn.XLOOKUP(L115,Eigenschaften!$B$20:$B$27,Eigenschaften!$H$20:$H$27,"NaN",1)</f>
        <v>12</v>
      </c>
      <c r="N115" s="295" t="str">
        <f>_xlfn.XLOOKUP(T115,Eigenschaften!$C$20:$C$27,Eigenschaften!$B$20:$B$27)</f>
        <v>Intuition</v>
      </c>
      <c r="O115" s="295">
        <f>_xlfn.XLOOKUP(N115,Eigenschaften!$B$20:$B$27,Eigenschaften!$H$20:$H$27,"NaN",1)</f>
        <v>15</v>
      </c>
      <c r="P115" s="295" t="str">
        <f>_xlfn.XLOOKUP(U115,Eigenschaften!$C$20:$C$27,Eigenschaften!$B$20:$B$27)</f>
        <v>Konstitution</v>
      </c>
      <c r="Q115" s="295">
        <f>_xlfn.XLOOKUP(P115,Eigenschaften!$B$20:$B$27,Eigenschaften!$H$20:$H$27,"NaN",1)</f>
        <v>12</v>
      </c>
      <c r="R115" s="244"/>
      <c r="S115" s="244" t="str" cm="1">
        <f t="array" ref="S115:U115">_xlfn.TEXTSPLIT(F115,"/",,,,3)</f>
        <v>KL</v>
      </c>
      <c r="T115" s="244" t="str">
        <v>IN</v>
      </c>
      <c r="U115" s="244" t="str">
        <v>KO</v>
      </c>
      <c r="V115" s="244">
        <f t="shared" si="29"/>
        <v>1</v>
      </c>
      <c r="W115" s="244">
        <f t="shared" si="29"/>
        <v>0</v>
      </c>
      <c r="X115" s="244">
        <f t="shared" si="29"/>
        <v>0</v>
      </c>
      <c r="Y115" s="244">
        <f t="shared" si="29"/>
        <v>0</v>
      </c>
      <c r="Z115" s="244">
        <f t="shared" si="29"/>
        <v>0</v>
      </c>
      <c r="AA115" s="244">
        <f t="shared" si="29"/>
        <v>0</v>
      </c>
      <c r="AB115" s="244">
        <f t="shared" si="29"/>
        <v>0</v>
      </c>
      <c r="AC115" s="244">
        <f t="shared" si="29"/>
        <v>0</v>
      </c>
      <c r="AD115" s="244">
        <f t="shared" si="29"/>
        <v>0</v>
      </c>
      <c r="AE115" s="244">
        <f t="shared" si="29"/>
        <v>0</v>
      </c>
      <c r="AF115" s="244">
        <f t="shared" si="30"/>
        <v>0</v>
      </c>
      <c r="AG115" s="244">
        <f t="shared" si="30"/>
        <v>0</v>
      </c>
      <c r="AH115" s="244">
        <f t="shared" si="30"/>
        <v>0</v>
      </c>
      <c r="AI115" s="244">
        <f t="shared" si="30"/>
        <v>0</v>
      </c>
      <c r="AJ115" s="244">
        <f t="shared" si="30"/>
        <v>0</v>
      </c>
      <c r="AK115" s="244">
        <f t="shared" si="30"/>
        <v>0</v>
      </c>
      <c r="AL115" s="244">
        <f t="shared" si="30"/>
        <v>0</v>
      </c>
      <c r="AM115" s="244">
        <f t="shared" si="30"/>
        <v>0</v>
      </c>
      <c r="AN115" s="244">
        <f t="shared" si="30"/>
        <v>1</v>
      </c>
      <c r="AO115" s="244">
        <f t="shared" si="30"/>
        <v>0</v>
      </c>
      <c r="AP115" s="244">
        <f t="shared" si="31"/>
        <v>1</v>
      </c>
      <c r="AQ115" s="244">
        <f t="shared" si="31"/>
        <v>0</v>
      </c>
      <c r="AR115" s="244">
        <f t="shared" si="31"/>
        <v>0</v>
      </c>
      <c r="AS115" s="244">
        <f t="shared" si="31"/>
        <v>0</v>
      </c>
      <c r="AT115" s="244">
        <f t="shared" si="31"/>
        <v>0</v>
      </c>
      <c r="AU115" s="244">
        <f t="shared" si="31"/>
        <v>0</v>
      </c>
      <c r="AV115" s="244">
        <f t="shared" si="31"/>
        <v>0</v>
      </c>
      <c r="AW115" s="244"/>
      <c r="AX115" s="244"/>
      <c r="AY115" s="244"/>
      <c r="AZ115" s="244"/>
      <c r="BA115" s="244"/>
      <c r="BB115" s="244"/>
    </row>
    <row r="116" spans="1:54" ht="15" hidden="1">
      <c r="A116" s="331" t="s">
        <v>651</v>
      </c>
      <c r="B116" s="295" t="str">
        <f t="shared" si="27"/>
        <v>Klugheit: 12 | Intuition: 15 | Charisma: 15</v>
      </c>
      <c r="C116" s="308" t="b">
        <v>0</v>
      </c>
      <c r="D116" s="308" t="b">
        <v>0</v>
      </c>
      <c r="E116" s="308" t="b">
        <f t="shared" si="28"/>
        <v>0</v>
      </c>
      <c r="F116" t="s">
        <v>307</v>
      </c>
      <c r="G116" t="s">
        <v>125</v>
      </c>
      <c r="H116" t="s">
        <v>383</v>
      </c>
      <c r="I116" t="s">
        <v>652</v>
      </c>
      <c r="J116" s="295">
        <f>_xlfn.XLOOKUP(G116,Rechner!$A$17:$A$25,Rechner!$B$17:$B$25)</f>
        <v>3</v>
      </c>
      <c r="K116" s="295" t="str">
        <f>_xlfn.XLOOKUP(J116-SUMIF($V$31:$AV$31,TRUE,V116:AV116)-IF(D116=TRUE,1,0),Rechner!$B$17:$B$25,Rechner!$A$17:$A$25,"A+")</f>
        <v>B</v>
      </c>
      <c r="L116" s="295" t="str">
        <f>_xlfn.XLOOKUP(S116,Eigenschaften!$C$20:$C$27,Eigenschaften!$B$20:$B$27)</f>
        <v>Klugheit</v>
      </c>
      <c r="M116" s="295">
        <f>_xlfn.XLOOKUP(L116,Eigenschaften!$B$20:$B$27,Eigenschaften!$H$20:$H$27,"NaN",1)</f>
        <v>12</v>
      </c>
      <c r="N116" s="295" t="str">
        <f>_xlfn.XLOOKUP(T116,Eigenschaften!$C$20:$C$27,Eigenschaften!$B$20:$B$27)</f>
        <v>Intuition</v>
      </c>
      <c r="O116" s="295">
        <f>_xlfn.XLOOKUP(N116,Eigenschaften!$B$20:$B$27,Eigenschaften!$H$20:$H$27,"NaN",1)</f>
        <v>15</v>
      </c>
      <c r="P116" s="295" t="str">
        <f>_xlfn.XLOOKUP(U116,Eigenschaften!$C$20:$C$27,Eigenschaften!$B$20:$B$27)</f>
        <v>Charisma</v>
      </c>
      <c r="Q116" s="295">
        <f>_xlfn.XLOOKUP(P116,Eigenschaften!$B$20:$B$27,Eigenschaften!$H$20:$H$27,"NaN",1)</f>
        <v>15</v>
      </c>
      <c r="R116" s="244"/>
      <c r="S116" s="244" t="str" cm="1">
        <f t="array" ref="S116:U116">_xlfn.TEXTSPLIT(F116,"/",,,,3)</f>
        <v>KL</v>
      </c>
      <c r="T116" s="244" t="str">
        <v>IN</v>
      </c>
      <c r="U116" s="244" t="str">
        <v>CH</v>
      </c>
      <c r="V116" s="244">
        <f t="shared" ref="V116:AE125" si="32">IF(ISNUMBER(SEARCH(V$32,$H116)),1,0)</f>
        <v>0</v>
      </c>
      <c r="W116" s="244">
        <f t="shared" si="32"/>
        <v>0</v>
      </c>
      <c r="X116" s="244">
        <f t="shared" si="32"/>
        <v>0</v>
      </c>
      <c r="Y116" s="244">
        <f t="shared" si="32"/>
        <v>0</v>
      </c>
      <c r="Z116" s="244">
        <f t="shared" si="32"/>
        <v>0</v>
      </c>
      <c r="AA116" s="244">
        <f t="shared" si="32"/>
        <v>0</v>
      </c>
      <c r="AB116" s="244">
        <f t="shared" si="32"/>
        <v>0</v>
      </c>
      <c r="AC116" s="244">
        <f t="shared" si="32"/>
        <v>0</v>
      </c>
      <c r="AD116" s="244">
        <f t="shared" si="32"/>
        <v>0</v>
      </c>
      <c r="AE116" s="244">
        <f t="shared" si="32"/>
        <v>0</v>
      </c>
      <c r="AF116" s="244">
        <f t="shared" ref="AF116:AO125" si="33">IF(ISNUMBER(SEARCH(AF$32,$H116)),1,0)</f>
        <v>0</v>
      </c>
      <c r="AG116" s="244">
        <f t="shared" si="33"/>
        <v>0</v>
      </c>
      <c r="AH116" s="244">
        <f t="shared" si="33"/>
        <v>0</v>
      </c>
      <c r="AI116" s="244">
        <f t="shared" si="33"/>
        <v>0</v>
      </c>
      <c r="AJ116" s="244">
        <f t="shared" si="33"/>
        <v>0</v>
      </c>
      <c r="AK116" s="244">
        <f t="shared" si="33"/>
        <v>0</v>
      </c>
      <c r="AL116" s="244">
        <f t="shared" si="33"/>
        <v>0</v>
      </c>
      <c r="AM116" s="244">
        <f t="shared" si="33"/>
        <v>0</v>
      </c>
      <c r="AN116" s="244">
        <f t="shared" si="33"/>
        <v>0</v>
      </c>
      <c r="AO116" s="244">
        <f t="shared" si="33"/>
        <v>0</v>
      </c>
      <c r="AP116" s="244">
        <f t="shared" ref="AP116:AV125" si="34">IF(ISNUMBER(SEARCH(AP$32,$H116)),1,0)</f>
        <v>0</v>
      </c>
      <c r="AQ116" s="244">
        <f t="shared" si="34"/>
        <v>0</v>
      </c>
      <c r="AR116" s="244">
        <f t="shared" si="34"/>
        <v>0</v>
      </c>
      <c r="AS116" s="244">
        <f t="shared" si="34"/>
        <v>0</v>
      </c>
      <c r="AT116" s="244">
        <f t="shared" si="34"/>
        <v>0</v>
      </c>
      <c r="AU116" s="244">
        <f t="shared" si="34"/>
        <v>0</v>
      </c>
      <c r="AV116" s="244">
        <f t="shared" si="34"/>
        <v>1</v>
      </c>
      <c r="AW116" s="244"/>
      <c r="AX116" s="244"/>
      <c r="AY116" s="244"/>
      <c r="AZ116" s="244"/>
      <c r="BA116" s="244"/>
      <c r="BB116" s="244"/>
    </row>
    <row r="117" spans="1:54" ht="15" hidden="1">
      <c r="A117" s="331" t="s">
        <v>653</v>
      </c>
      <c r="B117" s="295" t="str">
        <f t="shared" si="27"/>
        <v>Mut: 13 | Klugheit: 12 | Konstitution: 12</v>
      </c>
      <c r="C117" s="308" t="b">
        <v>0</v>
      </c>
      <c r="D117" s="308" t="b">
        <v>0</v>
      </c>
      <c r="E117" s="308" t="b">
        <f t="shared" si="28"/>
        <v>0</v>
      </c>
      <c r="F117" t="s">
        <v>516</v>
      </c>
      <c r="G117" t="s">
        <v>429</v>
      </c>
      <c r="H117" t="s">
        <v>654</v>
      </c>
      <c r="I117" t="s">
        <v>655</v>
      </c>
      <c r="J117" s="295">
        <f>_xlfn.XLOOKUP(G117,Rechner!$A$17:$A$25,Rechner!$B$17:$B$25)</f>
        <v>6</v>
      </c>
      <c r="K117" s="295" t="str">
        <f>_xlfn.XLOOKUP(J117-SUMIF($V$31:$AV$31,TRUE,V117:AV117)-IF(D117=TRUE,1,0),Rechner!$B$17:$B$25,Rechner!$A$17:$A$25,"A+")</f>
        <v>E</v>
      </c>
      <c r="L117" s="295" t="str">
        <f>_xlfn.XLOOKUP(S117,Eigenschaften!$C$20:$C$27,Eigenschaften!$B$20:$B$27)</f>
        <v>Mut</v>
      </c>
      <c r="M117" s="295">
        <f>_xlfn.XLOOKUP(L117,Eigenschaften!$B$20:$B$27,Eigenschaften!$H$20:$H$27,"NaN",1)</f>
        <v>13</v>
      </c>
      <c r="N117" s="295" t="str">
        <f>_xlfn.XLOOKUP(T117,Eigenschaften!$C$20:$C$27,Eigenschaften!$B$20:$B$27)</f>
        <v>Klugheit</v>
      </c>
      <c r="O117" s="295">
        <f>_xlfn.XLOOKUP(N117,Eigenschaften!$B$20:$B$27,Eigenschaften!$H$20:$H$27,"NaN",1)</f>
        <v>12</v>
      </c>
      <c r="P117" s="295" t="str">
        <f>_xlfn.XLOOKUP(U117,Eigenschaften!$C$20:$C$27,Eigenschaften!$B$20:$B$27)</f>
        <v>Konstitution</v>
      </c>
      <c r="Q117" s="295">
        <f>_xlfn.XLOOKUP(P117,Eigenschaften!$B$20:$B$27,Eigenschaften!$H$20:$H$27,"NaN",1)</f>
        <v>12</v>
      </c>
      <c r="R117" s="244"/>
      <c r="S117" s="244" t="str" cm="1">
        <f t="array" ref="S117:U117">_xlfn.TEXTSPLIT(F117,"/",,,,3)</f>
        <v>MU</v>
      </c>
      <c r="T117" s="244" t="str">
        <v>KL</v>
      </c>
      <c r="U117" s="244" t="str">
        <v>KO</v>
      </c>
      <c r="V117" s="244">
        <f t="shared" si="32"/>
        <v>0</v>
      </c>
      <c r="W117" s="244">
        <f t="shared" si="32"/>
        <v>1</v>
      </c>
      <c r="X117" s="244">
        <f t="shared" si="32"/>
        <v>0</v>
      </c>
      <c r="Y117" s="244">
        <f t="shared" si="32"/>
        <v>0</v>
      </c>
      <c r="Z117" s="244">
        <f t="shared" si="32"/>
        <v>0</v>
      </c>
      <c r="AA117" s="244">
        <f t="shared" si="32"/>
        <v>0</v>
      </c>
      <c r="AB117" s="244">
        <f t="shared" si="32"/>
        <v>0</v>
      </c>
      <c r="AC117" s="244">
        <f t="shared" si="32"/>
        <v>0</v>
      </c>
      <c r="AD117" s="244">
        <f t="shared" si="32"/>
        <v>0</v>
      </c>
      <c r="AE117" s="244">
        <f t="shared" si="32"/>
        <v>0</v>
      </c>
      <c r="AF117" s="244">
        <f t="shared" si="33"/>
        <v>0</v>
      </c>
      <c r="AG117" s="244">
        <f t="shared" si="33"/>
        <v>1</v>
      </c>
      <c r="AH117" s="244">
        <f t="shared" si="33"/>
        <v>0</v>
      </c>
      <c r="AI117" s="244">
        <f t="shared" si="33"/>
        <v>0</v>
      </c>
      <c r="AJ117" s="244">
        <f t="shared" si="33"/>
        <v>0</v>
      </c>
      <c r="AK117" s="244">
        <f t="shared" si="33"/>
        <v>0</v>
      </c>
      <c r="AL117" s="244">
        <f t="shared" si="33"/>
        <v>0</v>
      </c>
      <c r="AM117" s="244">
        <f t="shared" si="33"/>
        <v>0</v>
      </c>
      <c r="AN117" s="244">
        <f t="shared" si="33"/>
        <v>0</v>
      </c>
      <c r="AO117" s="244">
        <f t="shared" si="33"/>
        <v>0</v>
      </c>
      <c r="AP117" s="244">
        <f t="shared" si="34"/>
        <v>0</v>
      </c>
      <c r="AQ117" s="244">
        <f t="shared" si="34"/>
        <v>0</v>
      </c>
      <c r="AR117" s="244">
        <f t="shared" si="34"/>
        <v>0</v>
      </c>
      <c r="AS117" s="244">
        <f t="shared" si="34"/>
        <v>0</v>
      </c>
      <c r="AT117" s="244">
        <f t="shared" si="34"/>
        <v>1</v>
      </c>
      <c r="AU117" s="244">
        <f t="shared" si="34"/>
        <v>0</v>
      </c>
      <c r="AV117" s="244">
        <f t="shared" si="34"/>
        <v>0</v>
      </c>
      <c r="AW117" s="244"/>
      <c r="AX117" s="244"/>
      <c r="AY117" s="244"/>
      <c r="AZ117" s="244"/>
      <c r="BA117" s="244"/>
      <c r="BB117" s="244"/>
    </row>
    <row r="118" spans="1:54" ht="15" hidden="1">
      <c r="A118" s="331" t="s">
        <v>657</v>
      </c>
      <c r="B118" s="295" t="str">
        <f t="shared" si="27"/>
        <v>Klugheit: 12 | Intuition: 15 | Gewandheit: 14</v>
      </c>
      <c r="C118" s="308" t="b">
        <v>0</v>
      </c>
      <c r="D118" s="308" t="b">
        <v>0</v>
      </c>
      <c r="E118" s="308" t="b">
        <f t="shared" si="28"/>
        <v>1</v>
      </c>
      <c r="F118" t="s">
        <v>287</v>
      </c>
      <c r="G118" t="s">
        <v>110</v>
      </c>
      <c r="H118" t="s">
        <v>372</v>
      </c>
      <c r="I118" t="s">
        <v>658</v>
      </c>
      <c r="J118" s="295">
        <f>_xlfn.XLOOKUP(G118,Rechner!$A$17:$A$25,Rechner!$B$17:$B$25)</f>
        <v>4</v>
      </c>
      <c r="K118" s="295" t="str">
        <f>_xlfn.XLOOKUP(J118-SUMIF($V$31:$AV$31,TRUE,V118:AV118)-IF(D118=TRUE,1,0),Rechner!$B$17:$B$25,Rechner!$A$17:$A$25,"A+")</f>
        <v>C</v>
      </c>
      <c r="L118" s="295" t="str">
        <f>_xlfn.XLOOKUP(S118,Eigenschaften!$C$20:$C$27,Eigenschaften!$B$20:$B$27)</f>
        <v>Klugheit</v>
      </c>
      <c r="M118" s="295">
        <f>_xlfn.XLOOKUP(L118,Eigenschaften!$B$20:$B$27,Eigenschaften!$H$20:$H$27,"NaN",1)</f>
        <v>12</v>
      </c>
      <c r="N118" s="295" t="str">
        <f>_xlfn.XLOOKUP(T118,Eigenschaften!$C$20:$C$27,Eigenschaften!$B$20:$B$27)</f>
        <v>Intuition</v>
      </c>
      <c r="O118" s="295">
        <f>_xlfn.XLOOKUP(N118,Eigenschaften!$B$20:$B$27,Eigenschaften!$H$20:$H$27,"NaN",1)</f>
        <v>15</v>
      </c>
      <c r="P118" s="295" t="str">
        <f>_xlfn.XLOOKUP(U118,Eigenschaften!$C$20:$C$27,Eigenschaften!$B$20:$B$27)</f>
        <v>Gewandheit</v>
      </c>
      <c r="Q118" s="295">
        <f>_xlfn.XLOOKUP(P118,Eigenschaften!$B$20:$B$27,Eigenschaften!$H$20:$H$27,"NaN",1)</f>
        <v>14</v>
      </c>
      <c r="R118" s="244"/>
      <c r="S118" s="244" t="str" cm="1">
        <f t="array" ref="S118:U118">_xlfn.TEXTSPLIT(F118,"/",,,,3)</f>
        <v>KL</v>
      </c>
      <c r="T118" s="244" t="str">
        <v>IN</v>
      </c>
      <c r="U118" s="244" t="str">
        <v>GE</v>
      </c>
      <c r="V118" s="244">
        <f t="shared" si="32"/>
        <v>0</v>
      </c>
      <c r="W118" s="244">
        <f t="shared" si="32"/>
        <v>0</v>
      </c>
      <c r="X118" s="244">
        <f t="shared" si="32"/>
        <v>0</v>
      </c>
      <c r="Y118" s="244">
        <f t="shared" si="32"/>
        <v>0</v>
      </c>
      <c r="Z118" s="244">
        <f t="shared" si="32"/>
        <v>0</v>
      </c>
      <c r="AA118" s="244">
        <f t="shared" si="32"/>
        <v>0</v>
      </c>
      <c r="AB118" s="244">
        <f t="shared" si="32"/>
        <v>0</v>
      </c>
      <c r="AC118" s="244">
        <f t="shared" si="32"/>
        <v>0</v>
      </c>
      <c r="AD118" s="244">
        <f t="shared" si="32"/>
        <v>0</v>
      </c>
      <c r="AE118" s="244">
        <f t="shared" si="32"/>
        <v>0</v>
      </c>
      <c r="AF118" s="244">
        <f t="shared" si="33"/>
        <v>0</v>
      </c>
      <c r="AG118" s="244">
        <f t="shared" si="33"/>
        <v>0</v>
      </c>
      <c r="AH118" s="244">
        <f t="shared" si="33"/>
        <v>0</v>
      </c>
      <c r="AI118" s="244">
        <f t="shared" si="33"/>
        <v>0</v>
      </c>
      <c r="AJ118" s="244">
        <f t="shared" si="33"/>
        <v>1</v>
      </c>
      <c r="AK118" s="244">
        <f t="shared" si="33"/>
        <v>0</v>
      </c>
      <c r="AL118" s="244">
        <f t="shared" si="33"/>
        <v>0</v>
      </c>
      <c r="AM118" s="244">
        <f t="shared" si="33"/>
        <v>0</v>
      </c>
      <c r="AN118" s="244">
        <f t="shared" si="33"/>
        <v>0</v>
      </c>
      <c r="AO118" s="244">
        <f t="shared" si="33"/>
        <v>0</v>
      </c>
      <c r="AP118" s="244">
        <f t="shared" si="34"/>
        <v>0</v>
      </c>
      <c r="AQ118" s="244">
        <f t="shared" si="34"/>
        <v>0</v>
      </c>
      <c r="AR118" s="244">
        <f t="shared" si="34"/>
        <v>0</v>
      </c>
      <c r="AS118" s="244">
        <f t="shared" si="34"/>
        <v>0</v>
      </c>
      <c r="AT118" s="244">
        <f t="shared" si="34"/>
        <v>0</v>
      </c>
      <c r="AU118" s="244">
        <f t="shared" si="34"/>
        <v>0</v>
      </c>
      <c r="AV118" s="244">
        <f t="shared" si="34"/>
        <v>0</v>
      </c>
      <c r="AW118" s="244"/>
      <c r="AX118" s="244"/>
      <c r="AY118" s="244"/>
      <c r="AZ118" s="244"/>
      <c r="BA118" s="244"/>
      <c r="BB118" s="244"/>
    </row>
    <row r="119" spans="1:54" ht="15" hidden="1">
      <c r="A119" s="331" t="s">
        <v>659</v>
      </c>
      <c r="B119" s="295" t="str">
        <f t="shared" si="27"/>
        <v>Mut: 13 | Mut: 13 | Charisma: 15</v>
      </c>
      <c r="C119" s="308" t="b">
        <v>0</v>
      </c>
      <c r="D119" s="308" t="b">
        <v>0</v>
      </c>
      <c r="E119" s="308" t="b">
        <f t="shared" si="28"/>
        <v>1</v>
      </c>
      <c r="F119" t="s">
        <v>527</v>
      </c>
      <c r="G119" t="s">
        <v>110</v>
      </c>
      <c r="H119" t="s">
        <v>497</v>
      </c>
      <c r="I119" t="s">
        <v>660</v>
      </c>
      <c r="J119" s="295">
        <f>_xlfn.XLOOKUP(G119,Rechner!$A$17:$A$25,Rechner!$B$17:$B$25)</f>
        <v>4</v>
      </c>
      <c r="K119" s="295" t="str">
        <f>_xlfn.XLOOKUP(J119-SUMIF($V$31:$AV$31,TRUE,V119:AV119)-IF(D119=TRUE,1,0),Rechner!$B$17:$B$25,Rechner!$A$17:$A$25,"A+")</f>
        <v>C</v>
      </c>
      <c r="L119" s="295" t="str">
        <f>_xlfn.XLOOKUP(S119,Eigenschaften!$C$20:$C$27,Eigenschaften!$B$20:$B$27)</f>
        <v>Mut</v>
      </c>
      <c r="M119" s="295">
        <f>_xlfn.XLOOKUP(L119,Eigenschaften!$B$20:$B$27,Eigenschaften!$H$20:$H$27,"NaN",1)</f>
        <v>13</v>
      </c>
      <c r="N119" s="295" t="str">
        <f>_xlfn.XLOOKUP(T119,Eigenschaften!$C$20:$C$27,Eigenschaften!$B$20:$B$27)</f>
        <v>Mut</v>
      </c>
      <c r="O119" s="295">
        <f>_xlfn.XLOOKUP(N119,Eigenschaften!$B$20:$B$27,Eigenschaften!$H$20:$H$27,"NaN",1)</f>
        <v>13</v>
      </c>
      <c r="P119" s="295" t="str">
        <f>_xlfn.XLOOKUP(U119,Eigenschaften!$C$20:$C$27,Eigenschaften!$B$20:$B$27)</f>
        <v>Charisma</v>
      </c>
      <c r="Q119" s="295">
        <f>_xlfn.XLOOKUP(P119,Eigenschaften!$B$20:$B$27,Eigenschaften!$H$20:$H$27,"NaN",1)</f>
        <v>15</v>
      </c>
      <c r="R119" s="244"/>
      <c r="S119" s="244" t="str" cm="1">
        <f t="array" ref="S119:U119">_xlfn.TEXTSPLIT(F119,"/",,,,3)</f>
        <v>MU</v>
      </c>
      <c r="T119" s="244" t="str">
        <v>MU</v>
      </c>
      <c r="U119" s="244" t="str">
        <v>CH</v>
      </c>
      <c r="V119" s="244">
        <f t="shared" si="32"/>
        <v>1</v>
      </c>
      <c r="W119" s="244">
        <f t="shared" si="32"/>
        <v>0</v>
      </c>
      <c r="X119" s="244">
        <f t="shared" si="32"/>
        <v>0</v>
      </c>
      <c r="Y119" s="244">
        <f t="shared" si="32"/>
        <v>0</v>
      </c>
      <c r="Z119" s="244">
        <f t="shared" si="32"/>
        <v>0</v>
      </c>
      <c r="AA119" s="244">
        <f t="shared" si="32"/>
        <v>0</v>
      </c>
      <c r="AB119" s="244">
        <f t="shared" si="32"/>
        <v>0</v>
      </c>
      <c r="AC119" s="244">
        <f t="shared" si="32"/>
        <v>1</v>
      </c>
      <c r="AD119" s="244">
        <f t="shared" si="32"/>
        <v>0</v>
      </c>
      <c r="AE119" s="244">
        <f t="shared" si="32"/>
        <v>0</v>
      </c>
      <c r="AF119" s="244">
        <f t="shared" si="33"/>
        <v>0</v>
      </c>
      <c r="AG119" s="244">
        <f t="shared" si="33"/>
        <v>0</v>
      </c>
      <c r="AH119" s="244">
        <f t="shared" si="33"/>
        <v>1</v>
      </c>
      <c r="AI119" s="244">
        <f t="shared" si="33"/>
        <v>0</v>
      </c>
      <c r="AJ119" s="244">
        <f t="shared" si="33"/>
        <v>0</v>
      </c>
      <c r="AK119" s="244">
        <f t="shared" si="33"/>
        <v>0</v>
      </c>
      <c r="AL119" s="244">
        <f t="shared" si="33"/>
        <v>0</v>
      </c>
      <c r="AM119" s="244">
        <f t="shared" si="33"/>
        <v>0</v>
      </c>
      <c r="AN119" s="244">
        <f t="shared" si="33"/>
        <v>0</v>
      </c>
      <c r="AO119" s="244">
        <f t="shared" si="33"/>
        <v>0</v>
      </c>
      <c r="AP119" s="244">
        <f t="shared" si="34"/>
        <v>0</v>
      </c>
      <c r="AQ119" s="244">
        <f t="shared" si="34"/>
        <v>0</v>
      </c>
      <c r="AR119" s="244">
        <f t="shared" si="34"/>
        <v>0</v>
      </c>
      <c r="AS119" s="244">
        <f t="shared" si="34"/>
        <v>0</v>
      </c>
      <c r="AT119" s="244">
        <f t="shared" si="34"/>
        <v>0</v>
      </c>
      <c r="AU119" s="244">
        <f t="shared" si="34"/>
        <v>0</v>
      </c>
      <c r="AV119" s="244">
        <f t="shared" si="34"/>
        <v>0</v>
      </c>
      <c r="AW119" s="244"/>
      <c r="AX119" s="244"/>
      <c r="AY119" s="244"/>
      <c r="AZ119" s="244"/>
      <c r="BA119" s="244"/>
      <c r="BB119" s="244"/>
    </row>
    <row r="120" spans="1:54" ht="15" hidden="1">
      <c r="A120" s="331" t="s">
        <v>661</v>
      </c>
      <c r="B120" s="295" t="str">
        <f t="shared" si="27"/>
        <v>Mut: 13 | Mut: 13 | Charisma: 15</v>
      </c>
      <c r="C120" s="308" t="b">
        <v>0</v>
      </c>
      <c r="D120" s="308" t="b">
        <v>0</v>
      </c>
      <c r="E120" s="308" t="b">
        <f t="shared" si="28"/>
        <v>1</v>
      </c>
      <c r="F120" t="s">
        <v>527</v>
      </c>
      <c r="G120" t="s">
        <v>113</v>
      </c>
      <c r="H120" t="s">
        <v>500</v>
      </c>
      <c r="I120" t="s">
        <v>662</v>
      </c>
      <c r="J120" s="295">
        <f>_xlfn.XLOOKUP(G120,Rechner!$A$17:$A$25,Rechner!$B$17:$B$25)</f>
        <v>5</v>
      </c>
      <c r="K120" s="295" t="str">
        <f>_xlfn.XLOOKUP(J120-SUMIF($V$31:$AV$31,TRUE,V120:AV120)-IF(D120=TRUE,1,0),Rechner!$B$17:$B$25,Rechner!$A$17:$A$25,"A+")</f>
        <v>D</v>
      </c>
      <c r="L120" s="295" t="str">
        <f>_xlfn.XLOOKUP(S120,Eigenschaften!$C$20:$C$27,Eigenschaften!$B$20:$B$27)</f>
        <v>Mut</v>
      </c>
      <c r="M120" s="295">
        <f>_xlfn.XLOOKUP(L120,Eigenschaften!$B$20:$B$27,Eigenschaften!$H$20:$H$27,"NaN",1)</f>
        <v>13</v>
      </c>
      <c r="N120" s="295" t="str">
        <f>_xlfn.XLOOKUP(T120,Eigenschaften!$C$20:$C$27,Eigenschaften!$B$20:$B$27)</f>
        <v>Mut</v>
      </c>
      <c r="O120" s="295">
        <f>_xlfn.XLOOKUP(N120,Eigenschaften!$B$20:$B$27,Eigenschaften!$H$20:$H$27,"NaN",1)</f>
        <v>13</v>
      </c>
      <c r="P120" s="295" t="str">
        <f>_xlfn.XLOOKUP(U120,Eigenschaften!$C$20:$C$27,Eigenschaften!$B$20:$B$27)</f>
        <v>Charisma</v>
      </c>
      <c r="Q120" s="295">
        <f>_xlfn.XLOOKUP(P120,Eigenschaften!$B$20:$B$27,Eigenschaften!$H$20:$H$27,"NaN",1)</f>
        <v>15</v>
      </c>
      <c r="R120" s="244"/>
      <c r="S120" s="244" t="str" cm="1">
        <f t="array" ref="S120:U120">_xlfn.TEXTSPLIT(F120,"/",,,,3)</f>
        <v>MU</v>
      </c>
      <c r="T120" s="244" t="str">
        <v>MU</v>
      </c>
      <c r="U120" s="244" t="str">
        <v>CH</v>
      </c>
      <c r="V120" s="244">
        <f t="shared" si="32"/>
        <v>0</v>
      </c>
      <c r="W120" s="244">
        <f t="shared" si="32"/>
        <v>0</v>
      </c>
      <c r="X120" s="244">
        <f t="shared" si="32"/>
        <v>0</v>
      </c>
      <c r="Y120" s="244">
        <f t="shared" si="32"/>
        <v>0</v>
      </c>
      <c r="Z120" s="244">
        <f t="shared" si="32"/>
        <v>0</v>
      </c>
      <c r="AA120" s="244">
        <f t="shared" si="32"/>
        <v>0</v>
      </c>
      <c r="AB120" s="244">
        <f t="shared" si="32"/>
        <v>0</v>
      </c>
      <c r="AC120" s="244">
        <f t="shared" si="32"/>
        <v>1</v>
      </c>
      <c r="AD120" s="244">
        <f t="shared" si="32"/>
        <v>0</v>
      </c>
      <c r="AE120" s="244">
        <f t="shared" si="32"/>
        <v>0</v>
      </c>
      <c r="AF120" s="244">
        <f t="shared" si="33"/>
        <v>0</v>
      </c>
      <c r="AG120" s="244">
        <f t="shared" si="33"/>
        <v>0</v>
      </c>
      <c r="AH120" s="244">
        <f t="shared" si="33"/>
        <v>1</v>
      </c>
      <c r="AI120" s="244">
        <f t="shared" si="33"/>
        <v>0</v>
      </c>
      <c r="AJ120" s="244">
        <f t="shared" si="33"/>
        <v>0</v>
      </c>
      <c r="AK120" s="244">
        <f t="shared" si="33"/>
        <v>1</v>
      </c>
      <c r="AL120" s="244">
        <f t="shared" si="33"/>
        <v>0</v>
      </c>
      <c r="AM120" s="244">
        <f t="shared" si="33"/>
        <v>0</v>
      </c>
      <c r="AN120" s="244">
        <f t="shared" si="33"/>
        <v>0</v>
      </c>
      <c r="AO120" s="244">
        <f t="shared" si="33"/>
        <v>0</v>
      </c>
      <c r="AP120" s="244">
        <f t="shared" si="34"/>
        <v>0</v>
      </c>
      <c r="AQ120" s="244">
        <f t="shared" si="34"/>
        <v>0</v>
      </c>
      <c r="AR120" s="244">
        <f t="shared" si="34"/>
        <v>0</v>
      </c>
      <c r="AS120" s="244">
        <f t="shared" si="34"/>
        <v>0</v>
      </c>
      <c r="AT120" s="244">
        <f t="shared" si="34"/>
        <v>0</v>
      </c>
      <c r="AU120" s="244">
        <f t="shared" si="34"/>
        <v>0</v>
      </c>
      <c r="AV120" s="244">
        <f t="shared" si="34"/>
        <v>0</v>
      </c>
      <c r="AW120" s="244"/>
      <c r="AX120" s="244"/>
      <c r="AY120" s="244"/>
      <c r="AZ120" s="244"/>
      <c r="BA120" s="244"/>
      <c r="BB120" s="244"/>
    </row>
    <row r="121" spans="1:54" ht="15" hidden="1">
      <c r="A121" s="331" t="s">
        <v>663</v>
      </c>
      <c r="B121" s="295" t="str">
        <f t="shared" si="27"/>
        <v>Mut: 13 | Klugheit: 12 | Charisma: 15</v>
      </c>
      <c r="C121" s="308" t="b">
        <v>0</v>
      </c>
      <c r="D121" s="308" t="b">
        <v>0</v>
      </c>
      <c r="E121" s="308" t="b">
        <f t="shared" si="28"/>
        <v>0</v>
      </c>
      <c r="F121" t="s">
        <v>567</v>
      </c>
      <c r="G121" t="s">
        <v>113</v>
      </c>
      <c r="H121" t="s">
        <v>664</v>
      </c>
      <c r="I121" t="s">
        <v>665</v>
      </c>
      <c r="J121" s="295">
        <f>_xlfn.XLOOKUP(G121,Rechner!$A$17:$A$25,Rechner!$B$17:$B$25)</f>
        <v>5</v>
      </c>
      <c r="K121" s="295" t="str">
        <f>_xlfn.XLOOKUP(J121-SUMIF($V$31:$AV$31,TRUE,V121:AV121)-IF(D121=TRUE,1,0),Rechner!$B$17:$B$25,Rechner!$A$17:$A$25,"A+")</f>
        <v>D</v>
      </c>
      <c r="L121" s="295" t="str">
        <f>_xlfn.XLOOKUP(S121,Eigenschaften!$C$20:$C$27,Eigenschaften!$B$20:$B$27)</f>
        <v>Mut</v>
      </c>
      <c r="M121" s="295">
        <f>_xlfn.XLOOKUP(L121,Eigenschaften!$B$20:$B$27,Eigenschaften!$H$20:$H$27,"NaN",1)</f>
        <v>13</v>
      </c>
      <c r="N121" s="295" t="str">
        <f>_xlfn.XLOOKUP(T121,Eigenschaften!$C$20:$C$27,Eigenschaften!$B$20:$B$27)</f>
        <v>Klugheit</v>
      </c>
      <c r="O121" s="295">
        <f>_xlfn.XLOOKUP(N121,Eigenschaften!$B$20:$B$27,Eigenschaften!$H$20:$H$27,"NaN",1)</f>
        <v>12</v>
      </c>
      <c r="P121" s="295" t="str">
        <f>_xlfn.XLOOKUP(U121,Eigenschaften!$C$20:$C$27,Eigenschaften!$B$20:$B$27)</f>
        <v>Charisma</v>
      </c>
      <c r="Q121" s="295">
        <f>_xlfn.XLOOKUP(P121,Eigenschaften!$B$20:$B$27,Eigenschaften!$H$20:$H$27,"NaN",1)</f>
        <v>15</v>
      </c>
      <c r="R121" s="244"/>
      <c r="S121" s="244" t="str" cm="1">
        <f t="array" ref="S121:U121">_xlfn.TEXTSPLIT(F121,"/",,,,3)</f>
        <v>MU</v>
      </c>
      <c r="T121" s="244" t="str">
        <v>KL</v>
      </c>
      <c r="U121" s="244" t="str">
        <v>CH</v>
      </c>
      <c r="V121" s="244">
        <f t="shared" si="32"/>
        <v>0</v>
      </c>
      <c r="W121" s="244">
        <f t="shared" si="32"/>
        <v>0</v>
      </c>
      <c r="X121" s="244">
        <f t="shared" si="32"/>
        <v>0</v>
      </c>
      <c r="Y121" s="244">
        <f t="shared" si="32"/>
        <v>1</v>
      </c>
      <c r="Z121" s="244">
        <f t="shared" si="32"/>
        <v>0</v>
      </c>
      <c r="AA121" s="244">
        <f t="shared" si="32"/>
        <v>0</v>
      </c>
      <c r="AB121" s="244">
        <f t="shared" si="32"/>
        <v>0</v>
      </c>
      <c r="AC121" s="244">
        <f t="shared" si="32"/>
        <v>1</v>
      </c>
      <c r="AD121" s="244">
        <f t="shared" si="32"/>
        <v>0</v>
      </c>
      <c r="AE121" s="244">
        <f t="shared" si="32"/>
        <v>0</v>
      </c>
      <c r="AF121" s="244">
        <f t="shared" si="33"/>
        <v>0</v>
      </c>
      <c r="AG121" s="244">
        <f t="shared" si="33"/>
        <v>0</v>
      </c>
      <c r="AH121" s="244">
        <f t="shared" si="33"/>
        <v>0</v>
      </c>
      <c r="AI121" s="244">
        <f t="shared" si="33"/>
        <v>0</v>
      </c>
      <c r="AJ121" s="244">
        <f t="shared" si="33"/>
        <v>0</v>
      </c>
      <c r="AK121" s="244">
        <f t="shared" si="33"/>
        <v>0</v>
      </c>
      <c r="AL121" s="244">
        <f t="shared" si="33"/>
        <v>0</v>
      </c>
      <c r="AM121" s="244">
        <f t="shared" si="33"/>
        <v>0</v>
      </c>
      <c r="AN121" s="244">
        <f t="shared" si="33"/>
        <v>0</v>
      </c>
      <c r="AO121" s="244">
        <f t="shared" si="33"/>
        <v>0</v>
      </c>
      <c r="AP121" s="244">
        <f t="shared" si="34"/>
        <v>0</v>
      </c>
      <c r="AQ121" s="244">
        <f t="shared" si="34"/>
        <v>0</v>
      </c>
      <c r="AR121" s="244">
        <f t="shared" si="34"/>
        <v>0</v>
      </c>
      <c r="AS121" s="244">
        <f t="shared" si="34"/>
        <v>0</v>
      </c>
      <c r="AT121" s="244">
        <f t="shared" si="34"/>
        <v>0</v>
      </c>
      <c r="AU121" s="244">
        <f t="shared" si="34"/>
        <v>0</v>
      </c>
      <c r="AV121" s="244">
        <f t="shared" si="34"/>
        <v>0</v>
      </c>
      <c r="AW121" s="244"/>
      <c r="AX121" s="244"/>
      <c r="AY121" s="244"/>
      <c r="AZ121" s="244"/>
      <c r="BA121" s="244"/>
      <c r="BB121" s="244"/>
    </row>
    <row r="122" spans="1:54" ht="15" hidden="1">
      <c r="A122" s="331" t="s">
        <v>666</v>
      </c>
      <c r="B122" s="295" t="str">
        <f t="shared" si="27"/>
        <v>Mut: 13 | Charisma: 15 | Konstitution: 12</v>
      </c>
      <c r="C122" s="308" t="b">
        <v>0</v>
      </c>
      <c r="D122" s="308" t="b">
        <v>0</v>
      </c>
      <c r="E122" s="308" t="b">
        <f t="shared" si="28"/>
        <v>0</v>
      </c>
      <c r="F122" t="s">
        <v>340</v>
      </c>
      <c r="G122" t="s">
        <v>113</v>
      </c>
      <c r="H122" t="s">
        <v>667</v>
      </c>
      <c r="I122" t="s">
        <v>668</v>
      </c>
      <c r="J122" s="295">
        <f>_xlfn.XLOOKUP(G122,Rechner!$A$17:$A$25,Rechner!$B$17:$B$25)</f>
        <v>5</v>
      </c>
      <c r="K122" s="295" t="str">
        <f>_xlfn.XLOOKUP(J122-SUMIF($V$31:$AV$31,TRUE,V122:AV122)-IF(D122=TRUE,1,0),Rechner!$B$17:$B$25,Rechner!$A$17:$A$25,"A+")</f>
        <v>D</v>
      </c>
      <c r="L122" s="295" t="str">
        <f>_xlfn.XLOOKUP(S122,Eigenschaften!$C$20:$C$27,Eigenschaften!$B$20:$B$27)</f>
        <v>Mut</v>
      </c>
      <c r="M122" s="295">
        <f>_xlfn.XLOOKUP(L122,Eigenschaften!$B$20:$B$27,Eigenschaften!$H$20:$H$27,"NaN",1)</f>
        <v>13</v>
      </c>
      <c r="N122" s="295" t="str">
        <f>_xlfn.XLOOKUP(T122,Eigenschaften!$C$20:$C$27,Eigenschaften!$B$20:$B$27)</f>
        <v>Charisma</v>
      </c>
      <c r="O122" s="295">
        <f>_xlfn.XLOOKUP(N122,Eigenschaften!$B$20:$B$27,Eigenschaften!$H$20:$H$27,"NaN",1)</f>
        <v>15</v>
      </c>
      <c r="P122" s="295" t="str">
        <f>_xlfn.XLOOKUP(U122,Eigenschaften!$C$20:$C$27,Eigenschaften!$B$20:$B$27)</f>
        <v>Konstitution</v>
      </c>
      <c r="Q122" s="295">
        <f>_xlfn.XLOOKUP(P122,Eigenschaften!$B$20:$B$27,Eigenschaften!$H$20:$H$27,"NaN",1)</f>
        <v>12</v>
      </c>
      <c r="R122" s="244"/>
      <c r="S122" s="244" t="str" cm="1">
        <f t="array" ref="S122:U122">_xlfn.TEXTSPLIT(F122,"/",,,,3)</f>
        <v>MU</v>
      </c>
      <c r="T122" s="244" t="str">
        <v>CH</v>
      </c>
      <c r="U122" s="244" t="str">
        <v>KO</v>
      </c>
      <c r="V122" s="244">
        <f t="shared" si="32"/>
        <v>0</v>
      </c>
      <c r="W122" s="244">
        <f t="shared" si="32"/>
        <v>0</v>
      </c>
      <c r="X122" s="244">
        <f t="shared" si="32"/>
        <v>0</v>
      </c>
      <c r="Y122" s="244">
        <f t="shared" si="32"/>
        <v>1</v>
      </c>
      <c r="Z122" s="244">
        <f t="shared" si="32"/>
        <v>0</v>
      </c>
      <c r="AA122" s="244">
        <f t="shared" si="32"/>
        <v>0</v>
      </c>
      <c r="AB122" s="244">
        <f t="shared" si="32"/>
        <v>1</v>
      </c>
      <c r="AC122" s="244">
        <f t="shared" si="32"/>
        <v>0</v>
      </c>
      <c r="AD122" s="244">
        <f t="shared" si="32"/>
        <v>0</v>
      </c>
      <c r="AE122" s="244">
        <f t="shared" si="32"/>
        <v>0</v>
      </c>
      <c r="AF122" s="244">
        <f t="shared" si="33"/>
        <v>0</v>
      </c>
      <c r="AG122" s="244">
        <f t="shared" si="33"/>
        <v>1</v>
      </c>
      <c r="AH122" s="244">
        <f t="shared" si="33"/>
        <v>0</v>
      </c>
      <c r="AI122" s="244">
        <f t="shared" si="33"/>
        <v>0</v>
      </c>
      <c r="AJ122" s="244">
        <f t="shared" si="33"/>
        <v>0</v>
      </c>
      <c r="AK122" s="244">
        <f t="shared" si="33"/>
        <v>0</v>
      </c>
      <c r="AL122" s="244">
        <f t="shared" si="33"/>
        <v>0</v>
      </c>
      <c r="AM122" s="244">
        <f t="shared" si="33"/>
        <v>0</v>
      </c>
      <c r="AN122" s="244">
        <f t="shared" si="33"/>
        <v>0</v>
      </c>
      <c r="AO122" s="244">
        <f t="shared" si="33"/>
        <v>0</v>
      </c>
      <c r="AP122" s="244">
        <f t="shared" si="34"/>
        <v>0</v>
      </c>
      <c r="AQ122" s="244">
        <f t="shared" si="34"/>
        <v>0</v>
      </c>
      <c r="AR122" s="244">
        <f t="shared" si="34"/>
        <v>0</v>
      </c>
      <c r="AS122" s="244">
        <f t="shared" si="34"/>
        <v>0</v>
      </c>
      <c r="AT122" s="244">
        <f t="shared" si="34"/>
        <v>0</v>
      </c>
      <c r="AU122" s="244">
        <f t="shared" si="34"/>
        <v>0</v>
      </c>
      <c r="AV122" s="244">
        <f t="shared" si="34"/>
        <v>0</v>
      </c>
      <c r="AW122" s="244"/>
      <c r="AX122" s="244"/>
      <c r="AY122" s="244"/>
      <c r="AZ122" s="244"/>
      <c r="BA122" s="244"/>
      <c r="BB122" s="244"/>
    </row>
    <row r="123" spans="1:54" ht="15">
      <c r="A123" s="331" t="s">
        <v>309</v>
      </c>
      <c r="B123" s="295" t="str">
        <f t="shared" si="27"/>
        <v>Mut: 13 | Intuition: 15 | Konstitution: 12</v>
      </c>
      <c r="C123" s="308" t="b">
        <v>1</v>
      </c>
      <c r="D123" s="308" t="b">
        <v>1</v>
      </c>
      <c r="E123" s="308" t="b">
        <f t="shared" si="28"/>
        <v>1</v>
      </c>
      <c r="F123" t="s">
        <v>310</v>
      </c>
      <c r="G123" t="s">
        <v>110</v>
      </c>
      <c r="H123" t="s">
        <v>542</v>
      </c>
      <c r="I123" t="s">
        <v>700</v>
      </c>
      <c r="J123" s="295">
        <f>_xlfn.XLOOKUP(G123,Rechner!$A$17:$A$25,Rechner!$B$17:$B$25)</f>
        <v>4</v>
      </c>
      <c r="K123" s="338" t="str">
        <f>_xlfn.XLOOKUP(J123-SUMIF($V$31:$AV$31,TRUE,V123:AV123)-IF(D123=TRUE,1,0),Rechner!$B$17:$B$25,Rechner!$A$17:$A$25,"A+")</f>
        <v>A</v>
      </c>
      <c r="L123" s="295" t="str">
        <f>_xlfn.XLOOKUP(S123,Eigenschaften!$C$20:$C$27,Eigenschaften!$B$20:$B$27)</f>
        <v>Mut</v>
      </c>
      <c r="M123" s="295">
        <f>_xlfn.XLOOKUP(L123,Eigenschaften!$B$20:$B$27,Eigenschaften!$H$20:$H$27,"NaN",1)</f>
        <v>13</v>
      </c>
      <c r="N123" s="295" t="str">
        <f>_xlfn.XLOOKUP(T123,Eigenschaften!$C$20:$C$27,Eigenschaften!$B$20:$B$27)</f>
        <v>Intuition</v>
      </c>
      <c r="O123" s="295">
        <f>_xlfn.XLOOKUP(N123,Eigenschaften!$B$20:$B$27,Eigenschaften!$H$20:$H$27,"NaN",1)</f>
        <v>15</v>
      </c>
      <c r="P123" s="295" t="str">
        <f>_xlfn.XLOOKUP(U123,Eigenschaften!$C$20:$C$27,Eigenschaften!$B$20:$B$27)</f>
        <v>Konstitution</v>
      </c>
      <c r="Q123" s="295">
        <f>_xlfn.XLOOKUP(P123,Eigenschaften!$B$20:$B$27,Eigenschaften!$H$20:$H$27,"NaN",1)</f>
        <v>12</v>
      </c>
      <c r="R123" s="244"/>
      <c r="S123" s="244" t="str" cm="1">
        <f t="array" ref="S123:U123">_xlfn.TEXTSPLIT(F123,"/",,,,3)</f>
        <v>MU</v>
      </c>
      <c r="T123" s="244" t="str">
        <v>IN</v>
      </c>
      <c r="U123" s="244" t="str">
        <v>KO</v>
      </c>
      <c r="V123" s="244">
        <f t="shared" si="32"/>
        <v>0</v>
      </c>
      <c r="W123" s="244">
        <f t="shared" si="32"/>
        <v>0</v>
      </c>
      <c r="X123" s="244">
        <f t="shared" si="32"/>
        <v>1</v>
      </c>
      <c r="Y123" s="244">
        <f t="shared" si="32"/>
        <v>0</v>
      </c>
      <c r="Z123" s="244">
        <f t="shared" si="32"/>
        <v>0</v>
      </c>
      <c r="AA123" s="244">
        <f t="shared" si="32"/>
        <v>0</v>
      </c>
      <c r="AB123" s="244">
        <f t="shared" si="32"/>
        <v>0</v>
      </c>
      <c r="AC123" s="244">
        <f t="shared" si="32"/>
        <v>0</v>
      </c>
      <c r="AD123" s="244">
        <f t="shared" si="32"/>
        <v>0</v>
      </c>
      <c r="AE123" s="244">
        <f t="shared" si="32"/>
        <v>0</v>
      </c>
      <c r="AF123" s="244">
        <f t="shared" si="33"/>
        <v>0</v>
      </c>
      <c r="AG123" s="244">
        <f t="shared" si="33"/>
        <v>1</v>
      </c>
      <c r="AH123" s="244">
        <f t="shared" si="33"/>
        <v>0</v>
      </c>
      <c r="AI123" s="244">
        <f t="shared" si="33"/>
        <v>0</v>
      </c>
      <c r="AJ123" s="244">
        <f t="shared" si="33"/>
        <v>0</v>
      </c>
      <c r="AK123" s="244">
        <f t="shared" si="33"/>
        <v>0</v>
      </c>
      <c r="AL123" s="244">
        <f t="shared" si="33"/>
        <v>0</v>
      </c>
      <c r="AM123" s="244">
        <f t="shared" si="33"/>
        <v>0</v>
      </c>
      <c r="AN123" s="244">
        <f t="shared" si="33"/>
        <v>0</v>
      </c>
      <c r="AO123" s="244">
        <f t="shared" si="33"/>
        <v>0</v>
      </c>
      <c r="AP123" s="244">
        <f t="shared" si="34"/>
        <v>0</v>
      </c>
      <c r="AQ123" s="244">
        <f t="shared" si="34"/>
        <v>0</v>
      </c>
      <c r="AR123" s="244">
        <f t="shared" si="34"/>
        <v>0</v>
      </c>
      <c r="AS123" s="244">
        <f t="shared" si="34"/>
        <v>0</v>
      </c>
      <c r="AT123" s="244">
        <f t="shared" si="34"/>
        <v>0</v>
      </c>
      <c r="AU123" s="244">
        <f t="shared" si="34"/>
        <v>0</v>
      </c>
      <c r="AV123" s="244">
        <f t="shared" si="34"/>
        <v>0</v>
      </c>
      <c r="AW123" s="244">
        <v>9</v>
      </c>
      <c r="AX123" s="244" t="s">
        <v>1625</v>
      </c>
      <c r="AY123" s="244" t="s">
        <v>1643</v>
      </c>
      <c r="AZ123" s="244" t="s">
        <v>278</v>
      </c>
      <c r="BA123" s="244" t="s">
        <v>1644</v>
      </c>
      <c r="BB123" s="244"/>
    </row>
    <row r="124" spans="1:54" ht="15" hidden="1">
      <c r="A124" s="331" t="s">
        <v>670</v>
      </c>
      <c r="B124" s="295" t="str">
        <f t="shared" si="27"/>
        <v>Klugheit: 12 | Klugheit: 12 | Charisma: 15</v>
      </c>
      <c r="C124" s="308" t="b">
        <v>0</v>
      </c>
      <c r="D124" s="308" t="b">
        <v>0</v>
      </c>
      <c r="E124" s="308" t="b">
        <f t="shared" si="28"/>
        <v>0</v>
      </c>
      <c r="F124" t="s">
        <v>291</v>
      </c>
      <c r="G124" t="s">
        <v>110</v>
      </c>
      <c r="H124" t="s">
        <v>235</v>
      </c>
      <c r="I124" t="s">
        <v>671</v>
      </c>
      <c r="J124" s="295">
        <f>_xlfn.XLOOKUP(G124,Rechner!$A$17:$A$25,Rechner!$B$17:$B$25)</f>
        <v>4</v>
      </c>
      <c r="K124" s="295" t="str">
        <f>_xlfn.XLOOKUP(J124-SUMIF($V$31:$AV$31,TRUE,V124:AV124)-IF(D124=TRUE,1,0),Rechner!$B$17:$B$25,Rechner!$A$17:$A$25,"A+")</f>
        <v>B</v>
      </c>
      <c r="L124" s="295" t="str">
        <f>_xlfn.XLOOKUP(S124,Eigenschaften!$C$20:$C$27,Eigenschaften!$B$20:$B$27)</f>
        <v>Klugheit</v>
      </c>
      <c r="M124" s="295">
        <f>_xlfn.XLOOKUP(L124,Eigenschaften!$B$20:$B$27,Eigenschaften!$H$20:$H$27,"NaN",1)</f>
        <v>12</v>
      </c>
      <c r="N124" s="295" t="str">
        <f>_xlfn.XLOOKUP(T124,Eigenschaften!$C$20:$C$27,Eigenschaften!$B$20:$B$27)</f>
        <v>Klugheit</v>
      </c>
      <c r="O124" s="295">
        <f>_xlfn.XLOOKUP(N124,Eigenschaften!$B$20:$B$27,Eigenschaften!$H$20:$H$27,"NaN",1)</f>
        <v>12</v>
      </c>
      <c r="P124" s="295" t="str">
        <f>_xlfn.XLOOKUP(U124,Eigenschaften!$C$20:$C$27,Eigenschaften!$B$20:$B$27)</f>
        <v>Charisma</v>
      </c>
      <c r="Q124" s="295">
        <f>_xlfn.XLOOKUP(P124,Eigenschaften!$B$20:$B$27,Eigenschaften!$H$20:$H$27,"NaN",1)</f>
        <v>15</v>
      </c>
      <c r="R124" s="244"/>
      <c r="S124" s="244" t="str" cm="1">
        <f t="array" ref="S124:U124">_xlfn.TEXTSPLIT(F124,"/",,,,3)</f>
        <v>KL</v>
      </c>
      <c r="T124" s="244" t="str">
        <v>KL</v>
      </c>
      <c r="U124" s="244" t="str">
        <v>CH</v>
      </c>
      <c r="V124" s="244">
        <f t="shared" si="32"/>
        <v>0</v>
      </c>
      <c r="W124" s="244">
        <f t="shared" si="32"/>
        <v>0</v>
      </c>
      <c r="X124" s="244">
        <f t="shared" si="32"/>
        <v>1</v>
      </c>
      <c r="Y124" s="244">
        <f t="shared" si="32"/>
        <v>0</v>
      </c>
      <c r="Z124" s="244">
        <f t="shared" si="32"/>
        <v>0</v>
      </c>
      <c r="AA124" s="244">
        <f t="shared" si="32"/>
        <v>0</v>
      </c>
      <c r="AB124" s="244">
        <f t="shared" si="32"/>
        <v>0</v>
      </c>
      <c r="AC124" s="244">
        <f t="shared" si="32"/>
        <v>0</v>
      </c>
      <c r="AD124" s="244">
        <f t="shared" si="32"/>
        <v>0</v>
      </c>
      <c r="AE124" s="244">
        <f t="shared" si="32"/>
        <v>0</v>
      </c>
      <c r="AF124" s="244">
        <f t="shared" si="33"/>
        <v>0</v>
      </c>
      <c r="AG124" s="244">
        <f t="shared" si="33"/>
        <v>0</v>
      </c>
      <c r="AH124" s="244">
        <f t="shared" si="33"/>
        <v>0</v>
      </c>
      <c r="AI124" s="244">
        <f t="shared" si="33"/>
        <v>0</v>
      </c>
      <c r="AJ124" s="244">
        <f t="shared" si="33"/>
        <v>0</v>
      </c>
      <c r="AK124" s="244">
        <f t="shared" si="33"/>
        <v>0</v>
      </c>
      <c r="AL124" s="244">
        <f t="shared" si="33"/>
        <v>0</v>
      </c>
      <c r="AM124" s="244">
        <f t="shared" si="33"/>
        <v>0</v>
      </c>
      <c r="AN124" s="244">
        <f t="shared" si="33"/>
        <v>0</v>
      </c>
      <c r="AO124" s="244">
        <f t="shared" si="33"/>
        <v>0</v>
      </c>
      <c r="AP124" s="244">
        <f t="shared" si="34"/>
        <v>0</v>
      </c>
      <c r="AQ124" s="244">
        <f t="shared" si="34"/>
        <v>0</v>
      </c>
      <c r="AR124" s="244">
        <f t="shared" si="34"/>
        <v>0</v>
      </c>
      <c r="AS124" s="244">
        <f t="shared" si="34"/>
        <v>0</v>
      </c>
      <c r="AT124" s="244">
        <f t="shared" si="34"/>
        <v>0</v>
      </c>
      <c r="AU124" s="244">
        <f t="shared" si="34"/>
        <v>0</v>
      </c>
      <c r="AV124" s="244">
        <f t="shared" si="34"/>
        <v>0</v>
      </c>
      <c r="AW124" s="244"/>
      <c r="AX124" s="244"/>
      <c r="AY124" s="244"/>
      <c r="AZ124" s="244"/>
      <c r="BA124" s="244"/>
      <c r="BB124" s="244"/>
    </row>
    <row r="125" spans="1:54" ht="15" hidden="1">
      <c r="A125" s="331" t="s">
        <v>672</v>
      </c>
      <c r="B125" s="295" t="str">
        <f t="shared" si="27"/>
        <v>Klugheit: 12 | Intuition: 15 | Charisma: 15</v>
      </c>
      <c r="C125" s="308" t="b">
        <v>0</v>
      </c>
      <c r="D125" s="308" t="b">
        <v>0</v>
      </c>
      <c r="E125" s="308" t="b">
        <f t="shared" si="28"/>
        <v>1</v>
      </c>
      <c r="F125" t="s">
        <v>307</v>
      </c>
      <c r="G125" t="s">
        <v>110</v>
      </c>
      <c r="H125" t="s">
        <v>374</v>
      </c>
      <c r="I125" t="s">
        <v>673</v>
      </c>
      <c r="J125" s="295">
        <f>_xlfn.XLOOKUP(G125,Rechner!$A$17:$A$25,Rechner!$B$17:$B$25)</f>
        <v>4</v>
      </c>
      <c r="K125" s="295" t="str">
        <f>_xlfn.XLOOKUP(J125-SUMIF($V$31:$AV$31,TRUE,V125:AV125)-IF(D125=TRUE,1,0),Rechner!$B$17:$B$25,Rechner!$A$17:$A$25,"A+")</f>
        <v>C</v>
      </c>
      <c r="L125" s="295" t="str">
        <f>_xlfn.XLOOKUP(S125,Eigenschaften!$C$20:$C$27,Eigenschaften!$B$20:$B$27)</f>
        <v>Klugheit</v>
      </c>
      <c r="M125" s="295">
        <f>_xlfn.XLOOKUP(L125,Eigenschaften!$B$20:$B$27,Eigenschaften!$H$20:$H$27,"NaN",1)</f>
        <v>12</v>
      </c>
      <c r="N125" s="295" t="str">
        <f>_xlfn.XLOOKUP(T125,Eigenschaften!$C$20:$C$27,Eigenschaften!$B$20:$B$27)</f>
        <v>Intuition</v>
      </c>
      <c r="O125" s="295">
        <f>_xlfn.XLOOKUP(N125,Eigenschaften!$B$20:$B$27,Eigenschaften!$H$20:$H$27,"NaN",1)</f>
        <v>15</v>
      </c>
      <c r="P125" s="295" t="str">
        <f>_xlfn.XLOOKUP(U125,Eigenschaften!$C$20:$C$27,Eigenschaften!$B$20:$B$27)</f>
        <v>Charisma</v>
      </c>
      <c r="Q125" s="295">
        <f>_xlfn.XLOOKUP(P125,Eigenschaften!$B$20:$B$27,Eigenschaften!$H$20:$H$27,"NaN",1)</f>
        <v>15</v>
      </c>
      <c r="R125" s="244"/>
      <c r="S125" s="244" t="str" cm="1">
        <f t="array" ref="S125:U125">_xlfn.TEXTSPLIT(F125,"/",,,,3)</f>
        <v>KL</v>
      </c>
      <c r="T125" s="244" t="str">
        <v>IN</v>
      </c>
      <c r="U125" s="244" t="str">
        <v>CH</v>
      </c>
      <c r="V125" s="244">
        <f t="shared" si="32"/>
        <v>0</v>
      </c>
      <c r="W125" s="244">
        <f t="shared" si="32"/>
        <v>0</v>
      </c>
      <c r="X125" s="244">
        <f t="shared" si="32"/>
        <v>0</v>
      </c>
      <c r="Y125" s="244">
        <f t="shared" si="32"/>
        <v>0</v>
      </c>
      <c r="Z125" s="244">
        <f t="shared" si="32"/>
        <v>0</v>
      </c>
      <c r="AA125" s="244">
        <f t="shared" si="32"/>
        <v>0</v>
      </c>
      <c r="AB125" s="244">
        <f t="shared" si="32"/>
        <v>0</v>
      </c>
      <c r="AC125" s="244">
        <f t="shared" si="32"/>
        <v>0</v>
      </c>
      <c r="AD125" s="244">
        <f t="shared" si="32"/>
        <v>0</v>
      </c>
      <c r="AE125" s="244">
        <f t="shared" si="32"/>
        <v>0</v>
      </c>
      <c r="AF125" s="244">
        <f t="shared" si="33"/>
        <v>0</v>
      </c>
      <c r="AG125" s="244">
        <f t="shared" si="33"/>
        <v>0</v>
      </c>
      <c r="AH125" s="244">
        <f t="shared" si="33"/>
        <v>0</v>
      </c>
      <c r="AI125" s="244">
        <f t="shared" si="33"/>
        <v>0</v>
      </c>
      <c r="AJ125" s="244">
        <f t="shared" si="33"/>
        <v>0</v>
      </c>
      <c r="AK125" s="244">
        <f t="shared" si="33"/>
        <v>0</v>
      </c>
      <c r="AL125" s="244">
        <f t="shared" si="33"/>
        <v>1</v>
      </c>
      <c r="AM125" s="244">
        <f t="shared" si="33"/>
        <v>0</v>
      </c>
      <c r="AN125" s="244">
        <f t="shared" si="33"/>
        <v>0</v>
      </c>
      <c r="AO125" s="244">
        <f t="shared" si="33"/>
        <v>0</v>
      </c>
      <c r="AP125" s="244">
        <f t="shared" si="34"/>
        <v>0</v>
      </c>
      <c r="AQ125" s="244">
        <f t="shared" si="34"/>
        <v>0</v>
      </c>
      <c r="AR125" s="244">
        <f t="shared" si="34"/>
        <v>0</v>
      </c>
      <c r="AS125" s="244">
        <f t="shared" si="34"/>
        <v>0</v>
      </c>
      <c r="AT125" s="244">
        <f t="shared" si="34"/>
        <v>0</v>
      </c>
      <c r="AU125" s="244">
        <f t="shared" si="34"/>
        <v>0</v>
      </c>
      <c r="AV125" s="244">
        <f t="shared" si="34"/>
        <v>0</v>
      </c>
      <c r="AW125" s="244"/>
      <c r="AX125" s="244"/>
      <c r="AY125" s="244"/>
      <c r="AZ125" s="244"/>
      <c r="BA125" s="244"/>
      <c r="BB125" s="244"/>
    </row>
    <row r="126" spans="1:54">
      <c r="A126" s="331" t="s">
        <v>855</v>
      </c>
      <c r="B126" s="295" t="str">
        <f t="shared" si="27"/>
        <v>Klugheit: 12 | Intuition: 15 | Intuition: 15</v>
      </c>
      <c r="C126" s="308" t="b">
        <v>1</v>
      </c>
      <c r="D126" s="308" t="b">
        <v>0</v>
      </c>
      <c r="E126" s="308" t="b">
        <f t="shared" si="28"/>
        <v>1</v>
      </c>
      <c r="F126" t="s">
        <v>614</v>
      </c>
      <c r="G126" t="s">
        <v>128</v>
      </c>
      <c r="H126" t="s">
        <v>636</v>
      </c>
      <c r="I126" t="s">
        <v>856</v>
      </c>
      <c r="J126" s="295">
        <f>_xlfn.XLOOKUP(G126,Rechner!$A$17:$A$25,Rechner!$B$17:$B$25)</f>
        <v>2</v>
      </c>
      <c r="K126" s="295" t="str">
        <f>_xlfn.XLOOKUP(J126-SUMIF($V$31:$AV$31,TRUE,V126:AV126)-IF(D126=TRUE,1,0),Rechner!$B$17:$B$25,Rechner!$A$17:$A$25,"A+")</f>
        <v>A</v>
      </c>
      <c r="L126" s="295" t="str">
        <f>_xlfn.XLOOKUP(S126,Eigenschaften!$C$20:$C$27,Eigenschaften!$B$20:$B$27)</f>
        <v>Klugheit</v>
      </c>
      <c r="M126" s="295">
        <f>_xlfn.XLOOKUP(L126,Eigenschaften!$B$20:$B$27,Eigenschaften!$H$20:$H$27,"NaN",1)</f>
        <v>12</v>
      </c>
      <c r="N126" s="295" t="str">
        <f>_xlfn.XLOOKUP(T126,Eigenschaften!$C$20:$C$27,Eigenschaften!$B$20:$B$27)</f>
        <v>Intuition</v>
      </c>
      <c r="O126" s="295">
        <f>_xlfn.XLOOKUP(N126,Eigenschaften!$B$20:$B$27,Eigenschaften!$H$20:$H$27,"NaN",1)</f>
        <v>15</v>
      </c>
      <c r="P126" s="295" t="str">
        <f>_xlfn.XLOOKUP(U126,Eigenschaften!$C$20:$C$27,Eigenschaften!$B$20:$B$27)</f>
        <v>Intuition</v>
      </c>
      <c r="Q126" s="295">
        <f>_xlfn.XLOOKUP(P126,Eigenschaften!$B$20:$B$27,Eigenschaften!$H$20:$H$27,"NaN",1)</f>
        <v>15</v>
      </c>
      <c r="R126" s="244"/>
      <c r="S126" s="244" t="str" cm="1">
        <f t="array" ref="S126:U126">_xlfn.TEXTSPLIT(F126,"/",,,,3)</f>
        <v>KL</v>
      </c>
      <c r="T126" s="244" t="str">
        <v>IN</v>
      </c>
      <c r="U126" s="244" t="str">
        <v>IN</v>
      </c>
      <c r="V126" s="343">
        <f t="shared" ref="V126:AE135" si="35">IF(ISNUMBER(SEARCH(V$32,$H126)),1,0)</f>
        <v>0</v>
      </c>
      <c r="W126" s="343">
        <f t="shared" si="35"/>
        <v>0</v>
      </c>
      <c r="X126" s="343">
        <f t="shared" si="35"/>
        <v>0</v>
      </c>
      <c r="Y126" s="343">
        <f t="shared" si="35"/>
        <v>0</v>
      </c>
      <c r="Z126" s="343">
        <f t="shared" si="35"/>
        <v>0</v>
      </c>
      <c r="AA126" s="343">
        <f t="shared" si="35"/>
        <v>0</v>
      </c>
      <c r="AB126" s="343">
        <f t="shared" si="35"/>
        <v>0</v>
      </c>
      <c r="AC126" s="343">
        <f t="shared" si="35"/>
        <v>0</v>
      </c>
      <c r="AD126" s="343">
        <f t="shared" si="35"/>
        <v>0</v>
      </c>
      <c r="AE126" s="343">
        <f t="shared" si="35"/>
        <v>0</v>
      </c>
      <c r="AF126" s="343">
        <f t="shared" ref="AF126:AO135" si="36">IF(ISNUMBER(SEARCH(AF$32,$H126)),1,0)</f>
        <v>0</v>
      </c>
      <c r="AG126" s="343">
        <f t="shared" si="36"/>
        <v>0</v>
      </c>
      <c r="AH126" s="343">
        <f t="shared" si="36"/>
        <v>0</v>
      </c>
      <c r="AI126" s="343">
        <f t="shared" si="36"/>
        <v>0</v>
      </c>
      <c r="AJ126" s="343">
        <f t="shared" si="36"/>
        <v>1</v>
      </c>
      <c r="AK126" s="343">
        <f t="shared" si="36"/>
        <v>0</v>
      </c>
      <c r="AL126" s="343">
        <f t="shared" si="36"/>
        <v>0</v>
      </c>
      <c r="AM126" s="343">
        <f t="shared" si="36"/>
        <v>0</v>
      </c>
      <c r="AN126" s="343">
        <f t="shared" si="36"/>
        <v>1</v>
      </c>
      <c r="AO126" s="343">
        <f t="shared" si="36"/>
        <v>0</v>
      </c>
      <c r="AP126" s="343">
        <f t="shared" ref="AP126:AV135" si="37">IF(ISNUMBER(SEARCH(AP$32,$H126)),1,0)</f>
        <v>0</v>
      </c>
      <c r="AQ126" s="343">
        <f t="shared" si="37"/>
        <v>0</v>
      </c>
      <c r="AR126" s="343">
        <f t="shared" si="37"/>
        <v>0</v>
      </c>
      <c r="AS126" s="343">
        <f t="shared" si="37"/>
        <v>0</v>
      </c>
      <c r="AT126" s="343">
        <f t="shared" si="37"/>
        <v>0</v>
      </c>
      <c r="AU126" s="343">
        <f t="shared" si="37"/>
        <v>0</v>
      </c>
      <c r="AV126" s="343">
        <f t="shared" si="37"/>
        <v>0</v>
      </c>
      <c r="AW126" s="244">
        <v>8</v>
      </c>
      <c r="AX126" s="244" t="s">
        <v>300</v>
      </c>
      <c r="AY126" s="244" t="s">
        <v>1623</v>
      </c>
      <c r="AZ126" s="244" t="s">
        <v>288</v>
      </c>
      <c r="BA126" s="244" t="s">
        <v>1624</v>
      </c>
      <c r="BB126" s="244"/>
    </row>
    <row r="127" spans="1:54" ht="15" hidden="1">
      <c r="A127" s="331" t="s">
        <v>675</v>
      </c>
      <c r="B127" s="295" t="str">
        <f t="shared" si="27"/>
        <v>Mut: 13 | Klugheit: 12 | Körperkraft: 12</v>
      </c>
      <c r="C127" s="308" t="b">
        <v>0</v>
      </c>
      <c r="D127" s="308" t="b">
        <v>0</v>
      </c>
      <c r="E127" s="308" t="b">
        <f t="shared" si="28"/>
        <v>0</v>
      </c>
      <c r="F127" t="s">
        <v>676</v>
      </c>
      <c r="G127" t="s">
        <v>110</v>
      </c>
      <c r="H127" t="s">
        <v>677</v>
      </c>
      <c r="I127" t="s">
        <v>678</v>
      </c>
      <c r="J127" s="295">
        <f>_xlfn.XLOOKUP(G127,Rechner!$A$17:$A$25,Rechner!$B$17:$B$25)</f>
        <v>4</v>
      </c>
      <c r="K127" s="295" t="str">
        <f>_xlfn.XLOOKUP(J127-SUMIF($V$31:$AV$31,TRUE,V127:AV127)-IF(D127=TRUE,1,0),Rechner!$B$17:$B$25,Rechner!$A$17:$A$25,"A+")</f>
        <v>C</v>
      </c>
      <c r="L127" s="295" t="str">
        <f>_xlfn.XLOOKUP(S127,Eigenschaften!$C$20:$C$27,Eigenschaften!$B$20:$B$27)</f>
        <v>Mut</v>
      </c>
      <c r="M127" s="295">
        <f>_xlfn.XLOOKUP(L127,Eigenschaften!$B$20:$B$27,Eigenschaften!$H$20:$H$27,"NaN",1)</f>
        <v>13</v>
      </c>
      <c r="N127" s="295" t="str">
        <f>_xlfn.XLOOKUP(T127,Eigenschaften!$C$20:$C$27,Eigenschaften!$B$20:$B$27)</f>
        <v>Klugheit</v>
      </c>
      <c r="O127" s="295">
        <f>_xlfn.XLOOKUP(N127,Eigenschaften!$B$20:$B$27,Eigenschaften!$H$20:$H$27,"NaN",1)</f>
        <v>12</v>
      </c>
      <c r="P127" s="295" t="str">
        <f>_xlfn.XLOOKUP(U127,Eigenschaften!$C$20:$C$27,Eigenschaften!$B$20:$B$27)</f>
        <v>Körperkraft</v>
      </c>
      <c r="Q127" s="295">
        <f>_xlfn.XLOOKUP(P127,Eigenschaften!$B$20:$B$27,Eigenschaften!$H$20:$H$27,"NaN",1)</f>
        <v>12</v>
      </c>
      <c r="R127" s="244"/>
      <c r="S127" s="244" t="str" cm="1">
        <f t="array" ref="S127:U127">_xlfn.TEXTSPLIT(F127,"/",,,,3)</f>
        <v>MU</v>
      </c>
      <c r="T127" s="244" t="str">
        <v>KL</v>
      </c>
      <c r="U127" s="244" t="str">
        <v>KK</v>
      </c>
      <c r="V127" s="244">
        <f t="shared" si="35"/>
        <v>0</v>
      </c>
      <c r="W127" s="244">
        <f t="shared" si="35"/>
        <v>0</v>
      </c>
      <c r="X127" s="244">
        <f t="shared" si="35"/>
        <v>0</v>
      </c>
      <c r="Y127" s="244">
        <f t="shared" si="35"/>
        <v>1</v>
      </c>
      <c r="Z127" s="244">
        <f t="shared" si="35"/>
        <v>0</v>
      </c>
      <c r="AA127" s="244">
        <f t="shared" si="35"/>
        <v>0</v>
      </c>
      <c r="AB127" s="244">
        <f t="shared" si="35"/>
        <v>0</v>
      </c>
      <c r="AC127" s="244">
        <f t="shared" si="35"/>
        <v>0</v>
      </c>
      <c r="AD127" s="244">
        <f t="shared" si="35"/>
        <v>0</v>
      </c>
      <c r="AE127" s="244">
        <f t="shared" si="35"/>
        <v>1</v>
      </c>
      <c r="AF127" s="244">
        <f t="shared" si="36"/>
        <v>0</v>
      </c>
      <c r="AG127" s="244">
        <f t="shared" si="36"/>
        <v>0</v>
      </c>
      <c r="AH127" s="244">
        <f t="shared" si="36"/>
        <v>0</v>
      </c>
      <c r="AI127" s="244">
        <f t="shared" si="36"/>
        <v>0</v>
      </c>
      <c r="AJ127" s="244">
        <f t="shared" si="36"/>
        <v>0</v>
      </c>
      <c r="AK127" s="244">
        <f t="shared" si="36"/>
        <v>0</v>
      </c>
      <c r="AL127" s="244">
        <f t="shared" si="36"/>
        <v>0</v>
      </c>
      <c r="AM127" s="244">
        <f t="shared" si="36"/>
        <v>0</v>
      </c>
      <c r="AN127" s="244">
        <f t="shared" si="36"/>
        <v>0</v>
      </c>
      <c r="AO127" s="244">
        <f t="shared" si="36"/>
        <v>0</v>
      </c>
      <c r="AP127" s="244">
        <f t="shared" si="37"/>
        <v>0</v>
      </c>
      <c r="AQ127" s="244">
        <f t="shared" si="37"/>
        <v>1</v>
      </c>
      <c r="AR127" s="244">
        <f t="shared" si="37"/>
        <v>0</v>
      </c>
      <c r="AS127" s="244">
        <f t="shared" si="37"/>
        <v>0</v>
      </c>
      <c r="AT127" s="244">
        <f t="shared" si="37"/>
        <v>0</v>
      </c>
      <c r="AU127" s="244">
        <f t="shared" si="37"/>
        <v>0</v>
      </c>
      <c r="AV127" s="244">
        <f t="shared" si="37"/>
        <v>0</v>
      </c>
      <c r="AW127" s="244"/>
      <c r="AX127" s="244"/>
      <c r="AY127" s="244"/>
      <c r="AZ127" s="244"/>
      <c r="BA127" s="244"/>
      <c r="BB127" s="244"/>
    </row>
    <row r="128" spans="1:54" ht="15" hidden="1">
      <c r="A128" s="331" t="s">
        <v>679</v>
      </c>
      <c r="B128" s="295" t="str">
        <f t="shared" si="27"/>
        <v>Charisma: 15 | Fingerfertigkeit: 10 | Konstitution: 12</v>
      </c>
      <c r="C128" s="308" t="b">
        <v>0</v>
      </c>
      <c r="D128" s="308" t="b">
        <v>0</v>
      </c>
      <c r="E128" s="308" t="b">
        <f t="shared" si="28"/>
        <v>1</v>
      </c>
      <c r="F128" t="s">
        <v>680</v>
      </c>
      <c r="G128" t="s">
        <v>113</v>
      </c>
      <c r="H128" t="s">
        <v>511</v>
      </c>
      <c r="I128" t="s">
        <v>681</v>
      </c>
      <c r="J128" s="295">
        <f>_xlfn.XLOOKUP(G128,Rechner!$A$17:$A$25,Rechner!$B$17:$B$25)</f>
        <v>5</v>
      </c>
      <c r="K128" s="295" t="str">
        <f>_xlfn.XLOOKUP(J128-SUMIF($V$31:$AV$31,TRUE,V128:AV128)-IF(D128=TRUE,1,0),Rechner!$B$17:$B$25,Rechner!$A$17:$A$25,"A+")</f>
        <v>C</v>
      </c>
      <c r="L128" s="295" t="str">
        <f>_xlfn.XLOOKUP(S128,Eigenschaften!$C$20:$C$27,Eigenschaften!$B$20:$B$27)</f>
        <v>Charisma</v>
      </c>
      <c r="M128" s="295">
        <f>_xlfn.XLOOKUP(L128,Eigenschaften!$B$20:$B$27,Eigenschaften!$H$20:$H$27,"NaN",1)</f>
        <v>15</v>
      </c>
      <c r="N128" s="295" t="str">
        <f>_xlfn.XLOOKUP(T128,Eigenschaften!$C$20:$C$27,Eigenschaften!$B$20:$B$27)</f>
        <v>Fingerfertigkeit</v>
      </c>
      <c r="O128" s="295">
        <f>_xlfn.XLOOKUP(N128,Eigenschaften!$B$20:$B$27,Eigenschaften!$H$20:$H$27,"NaN",1)</f>
        <v>10</v>
      </c>
      <c r="P128" s="295" t="str">
        <f>_xlfn.XLOOKUP(U128,Eigenschaften!$C$20:$C$27,Eigenschaften!$B$20:$B$27)</f>
        <v>Konstitution</v>
      </c>
      <c r="Q128" s="295">
        <f>_xlfn.XLOOKUP(P128,Eigenschaften!$B$20:$B$27,Eigenschaften!$H$20:$H$27,"NaN",1)</f>
        <v>12</v>
      </c>
      <c r="R128" s="244"/>
      <c r="S128" s="244" t="str" cm="1">
        <f t="array" ref="S128:U128">_xlfn.TEXTSPLIT(F128,"/",,,,3)</f>
        <v>CH</v>
      </c>
      <c r="T128" s="244" t="str">
        <v>FF</v>
      </c>
      <c r="U128" s="244" t="str">
        <v>KO</v>
      </c>
      <c r="V128" s="244">
        <f t="shared" si="35"/>
        <v>0</v>
      </c>
      <c r="W128" s="244">
        <f t="shared" si="35"/>
        <v>0</v>
      </c>
      <c r="X128" s="244">
        <f t="shared" si="35"/>
        <v>1</v>
      </c>
      <c r="Y128" s="244">
        <f t="shared" si="35"/>
        <v>1</v>
      </c>
      <c r="Z128" s="244">
        <f t="shared" si="35"/>
        <v>1</v>
      </c>
      <c r="AA128" s="244">
        <f t="shared" si="35"/>
        <v>0</v>
      </c>
      <c r="AB128" s="244">
        <f t="shared" si="35"/>
        <v>0</v>
      </c>
      <c r="AC128" s="244">
        <f t="shared" si="35"/>
        <v>0</v>
      </c>
      <c r="AD128" s="244">
        <f t="shared" si="35"/>
        <v>0</v>
      </c>
      <c r="AE128" s="244">
        <f t="shared" si="35"/>
        <v>0</v>
      </c>
      <c r="AF128" s="244">
        <f t="shared" si="36"/>
        <v>0</v>
      </c>
      <c r="AG128" s="244">
        <f t="shared" si="36"/>
        <v>1</v>
      </c>
      <c r="AH128" s="244">
        <f t="shared" si="36"/>
        <v>0</v>
      </c>
      <c r="AI128" s="244">
        <f t="shared" si="36"/>
        <v>0</v>
      </c>
      <c r="AJ128" s="244">
        <f t="shared" si="36"/>
        <v>0</v>
      </c>
      <c r="AK128" s="244">
        <f t="shared" si="36"/>
        <v>0</v>
      </c>
      <c r="AL128" s="244">
        <f t="shared" si="36"/>
        <v>0</v>
      </c>
      <c r="AM128" s="244">
        <f t="shared" si="36"/>
        <v>0</v>
      </c>
      <c r="AN128" s="244">
        <f t="shared" si="36"/>
        <v>0</v>
      </c>
      <c r="AO128" s="244">
        <f t="shared" si="36"/>
        <v>0</v>
      </c>
      <c r="AP128" s="244">
        <f t="shared" si="37"/>
        <v>0</v>
      </c>
      <c r="AQ128" s="244">
        <f t="shared" si="37"/>
        <v>0</v>
      </c>
      <c r="AR128" s="244">
        <f t="shared" si="37"/>
        <v>0</v>
      </c>
      <c r="AS128" s="244">
        <f t="shared" si="37"/>
        <v>0</v>
      </c>
      <c r="AT128" s="244">
        <f t="shared" si="37"/>
        <v>0</v>
      </c>
      <c r="AU128" s="244">
        <f t="shared" si="37"/>
        <v>0</v>
      </c>
      <c r="AV128" s="244">
        <f t="shared" si="37"/>
        <v>0</v>
      </c>
      <c r="AW128" s="244"/>
      <c r="AX128" s="244"/>
      <c r="AY128" s="244"/>
      <c r="AZ128" s="244"/>
      <c r="BA128" s="244"/>
      <c r="BB128" s="244"/>
    </row>
    <row r="129" spans="1:54" ht="15" hidden="1">
      <c r="A129" s="331" t="s">
        <v>682</v>
      </c>
      <c r="B129" s="295" t="str">
        <f t="shared" si="27"/>
        <v>Klugheit: 12 | Charisma: 15 | Fingerfertigkeit: 10</v>
      </c>
      <c r="C129" s="308" t="b">
        <v>0</v>
      </c>
      <c r="D129" s="308" t="b">
        <v>0</v>
      </c>
      <c r="E129" s="308" t="b">
        <f t="shared" si="28"/>
        <v>1</v>
      </c>
      <c r="F129" t="s">
        <v>393</v>
      </c>
      <c r="G129" t="s">
        <v>110</v>
      </c>
      <c r="H129" t="s">
        <v>514</v>
      </c>
      <c r="I129" t="s">
        <v>683</v>
      </c>
      <c r="J129" s="295">
        <f>_xlfn.XLOOKUP(G129,Rechner!$A$17:$A$25,Rechner!$B$17:$B$25)</f>
        <v>4</v>
      </c>
      <c r="K129" s="295" t="str">
        <f>_xlfn.XLOOKUP(J129-SUMIF($V$31:$AV$31,TRUE,V129:AV129)-IF(D129=TRUE,1,0),Rechner!$B$17:$B$25,Rechner!$A$17:$A$25,"A+")</f>
        <v>C</v>
      </c>
      <c r="L129" s="295" t="str">
        <f>_xlfn.XLOOKUP(S129,Eigenschaften!$C$20:$C$27,Eigenschaften!$B$20:$B$27)</f>
        <v>Klugheit</v>
      </c>
      <c r="M129" s="295">
        <f>_xlfn.XLOOKUP(L129,Eigenschaften!$B$20:$B$27,Eigenschaften!$H$20:$H$27,"NaN",1)</f>
        <v>12</v>
      </c>
      <c r="N129" s="295" t="str">
        <f>_xlfn.XLOOKUP(T129,Eigenschaften!$C$20:$C$27,Eigenschaften!$B$20:$B$27)</f>
        <v>Charisma</v>
      </c>
      <c r="O129" s="295">
        <f>_xlfn.XLOOKUP(N129,Eigenschaften!$B$20:$B$27,Eigenschaften!$H$20:$H$27,"NaN",1)</f>
        <v>15</v>
      </c>
      <c r="P129" s="295" t="str">
        <f>_xlfn.XLOOKUP(U129,Eigenschaften!$C$20:$C$27,Eigenschaften!$B$20:$B$27)</f>
        <v>Fingerfertigkeit</v>
      </c>
      <c r="Q129" s="295">
        <f>_xlfn.XLOOKUP(P129,Eigenschaften!$B$20:$B$27,Eigenschaften!$H$20:$H$27,"NaN",1)</f>
        <v>10</v>
      </c>
      <c r="R129" s="244"/>
      <c r="S129" s="244" t="str" cm="1">
        <f t="array" ref="S129:U129">_xlfn.TEXTSPLIT(F129,"/",,,,3)</f>
        <v>KL</v>
      </c>
      <c r="T129" s="244" t="str">
        <v>CH</v>
      </c>
      <c r="U129" s="244" t="str">
        <v>FF</v>
      </c>
      <c r="V129" s="244">
        <f t="shared" si="35"/>
        <v>1</v>
      </c>
      <c r="W129" s="244">
        <f t="shared" si="35"/>
        <v>0</v>
      </c>
      <c r="X129" s="244">
        <f t="shared" si="35"/>
        <v>0</v>
      </c>
      <c r="Y129" s="244">
        <f t="shared" si="35"/>
        <v>0</v>
      </c>
      <c r="Z129" s="244">
        <f t="shared" si="35"/>
        <v>0</v>
      </c>
      <c r="AA129" s="244">
        <f t="shared" si="35"/>
        <v>0</v>
      </c>
      <c r="AB129" s="244">
        <f t="shared" si="35"/>
        <v>0</v>
      </c>
      <c r="AC129" s="244">
        <f t="shared" si="35"/>
        <v>0</v>
      </c>
      <c r="AD129" s="244">
        <f t="shared" si="35"/>
        <v>0</v>
      </c>
      <c r="AE129" s="244">
        <f t="shared" si="35"/>
        <v>0</v>
      </c>
      <c r="AF129" s="244">
        <f t="shared" si="36"/>
        <v>0</v>
      </c>
      <c r="AG129" s="244">
        <f t="shared" si="36"/>
        <v>0</v>
      </c>
      <c r="AH129" s="244">
        <f t="shared" si="36"/>
        <v>0</v>
      </c>
      <c r="AI129" s="244">
        <f t="shared" si="36"/>
        <v>1</v>
      </c>
      <c r="AJ129" s="244">
        <f t="shared" si="36"/>
        <v>0</v>
      </c>
      <c r="AK129" s="244">
        <f t="shared" si="36"/>
        <v>0</v>
      </c>
      <c r="AL129" s="244">
        <f t="shared" si="36"/>
        <v>0</v>
      </c>
      <c r="AM129" s="244">
        <f t="shared" si="36"/>
        <v>0</v>
      </c>
      <c r="AN129" s="244">
        <f t="shared" si="36"/>
        <v>0</v>
      </c>
      <c r="AO129" s="244">
        <f t="shared" si="36"/>
        <v>0</v>
      </c>
      <c r="AP129" s="244">
        <f t="shared" si="37"/>
        <v>0</v>
      </c>
      <c r="AQ129" s="244">
        <f t="shared" si="37"/>
        <v>0</v>
      </c>
      <c r="AR129" s="244">
        <f t="shared" si="37"/>
        <v>0</v>
      </c>
      <c r="AS129" s="244">
        <f t="shared" si="37"/>
        <v>0</v>
      </c>
      <c r="AT129" s="244">
        <f t="shared" si="37"/>
        <v>0</v>
      </c>
      <c r="AU129" s="244">
        <f t="shared" si="37"/>
        <v>0</v>
      </c>
      <c r="AV129" s="244">
        <f t="shared" si="37"/>
        <v>0</v>
      </c>
      <c r="AW129" s="244"/>
      <c r="AX129" s="244"/>
      <c r="AY129" s="244"/>
      <c r="AZ129" s="244"/>
      <c r="BA129" s="244"/>
      <c r="BB129" s="244"/>
    </row>
    <row r="130" spans="1:54" ht="15" hidden="1">
      <c r="A130" s="331" t="s">
        <v>684</v>
      </c>
      <c r="B130" s="295" t="str">
        <f t="shared" si="27"/>
        <v>Klugheit: 12 | Intuition: 15 | Charisma: 15</v>
      </c>
      <c r="C130" s="308" t="b">
        <v>0</v>
      </c>
      <c r="D130" s="308" t="b">
        <v>0</v>
      </c>
      <c r="E130" s="308" t="b">
        <f t="shared" si="28"/>
        <v>1</v>
      </c>
      <c r="F130" t="s">
        <v>307</v>
      </c>
      <c r="G130" t="s">
        <v>110</v>
      </c>
      <c r="H130" t="s">
        <v>519</v>
      </c>
      <c r="I130" t="s">
        <v>685</v>
      </c>
      <c r="J130" s="295">
        <f>_xlfn.XLOOKUP(G130,Rechner!$A$17:$A$25,Rechner!$B$17:$B$25)</f>
        <v>4</v>
      </c>
      <c r="K130" s="295" t="str">
        <f>_xlfn.XLOOKUP(J130-SUMIF($V$31:$AV$31,TRUE,V130:AV130)-IF(D130=TRUE,1,0),Rechner!$B$17:$B$25,Rechner!$A$17:$A$25,"A+")</f>
        <v>C</v>
      </c>
      <c r="L130" s="295" t="str">
        <f>_xlfn.XLOOKUP(S130,Eigenschaften!$C$20:$C$27,Eigenschaften!$B$20:$B$27)</f>
        <v>Klugheit</v>
      </c>
      <c r="M130" s="295">
        <f>_xlfn.XLOOKUP(L130,Eigenschaften!$B$20:$B$27,Eigenschaften!$H$20:$H$27,"NaN",1)</f>
        <v>12</v>
      </c>
      <c r="N130" s="295" t="str">
        <f>_xlfn.XLOOKUP(T130,Eigenschaften!$C$20:$C$27,Eigenschaften!$B$20:$B$27)</f>
        <v>Intuition</v>
      </c>
      <c r="O130" s="295">
        <f>_xlfn.XLOOKUP(N130,Eigenschaften!$B$20:$B$27,Eigenschaften!$H$20:$H$27,"NaN",1)</f>
        <v>15</v>
      </c>
      <c r="P130" s="295" t="str">
        <f>_xlfn.XLOOKUP(U130,Eigenschaften!$C$20:$C$27,Eigenschaften!$B$20:$B$27)</f>
        <v>Charisma</v>
      </c>
      <c r="Q130" s="295">
        <f>_xlfn.XLOOKUP(P130,Eigenschaften!$B$20:$B$27,Eigenschaften!$H$20:$H$27,"NaN",1)</f>
        <v>15</v>
      </c>
      <c r="R130" s="244"/>
      <c r="S130" s="244" t="str" cm="1">
        <f t="array" ref="S130:U130">_xlfn.TEXTSPLIT(F130,"/",,,,3)</f>
        <v>KL</v>
      </c>
      <c r="T130" s="244" t="str">
        <v>IN</v>
      </c>
      <c r="U130" s="244" t="str">
        <v>CH</v>
      </c>
      <c r="V130" s="244">
        <f t="shared" si="35"/>
        <v>1</v>
      </c>
      <c r="W130" s="244">
        <f t="shared" si="35"/>
        <v>0</v>
      </c>
      <c r="X130" s="244">
        <f t="shared" si="35"/>
        <v>0</v>
      </c>
      <c r="Y130" s="244">
        <f t="shared" si="35"/>
        <v>0</v>
      </c>
      <c r="Z130" s="244">
        <f t="shared" si="35"/>
        <v>0</v>
      </c>
      <c r="AA130" s="244">
        <f t="shared" si="35"/>
        <v>0</v>
      </c>
      <c r="AB130" s="244">
        <f t="shared" si="35"/>
        <v>0</v>
      </c>
      <c r="AC130" s="244">
        <f t="shared" si="35"/>
        <v>0</v>
      </c>
      <c r="AD130" s="244">
        <f t="shared" si="35"/>
        <v>0</v>
      </c>
      <c r="AE130" s="244">
        <f t="shared" si="35"/>
        <v>0</v>
      </c>
      <c r="AF130" s="244">
        <f t="shared" si="36"/>
        <v>0</v>
      </c>
      <c r="AG130" s="244">
        <f t="shared" si="36"/>
        <v>0</v>
      </c>
      <c r="AH130" s="244">
        <f t="shared" si="36"/>
        <v>0</v>
      </c>
      <c r="AI130" s="244">
        <f t="shared" si="36"/>
        <v>0</v>
      </c>
      <c r="AJ130" s="244">
        <f t="shared" si="36"/>
        <v>1</v>
      </c>
      <c r="AK130" s="244">
        <f t="shared" si="36"/>
        <v>0</v>
      </c>
      <c r="AL130" s="244">
        <f t="shared" si="36"/>
        <v>0</v>
      </c>
      <c r="AM130" s="244">
        <f t="shared" si="36"/>
        <v>0</v>
      </c>
      <c r="AN130" s="244">
        <f t="shared" si="36"/>
        <v>0</v>
      </c>
      <c r="AO130" s="244">
        <f t="shared" si="36"/>
        <v>0</v>
      </c>
      <c r="AP130" s="244">
        <f t="shared" si="37"/>
        <v>0</v>
      </c>
      <c r="AQ130" s="244">
        <f t="shared" si="37"/>
        <v>0</v>
      </c>
      <c r="AR130" s="244">
        <f t="shared" si="37"/>
        <v>0</v>
      </c>
      <c r="AS130" s="244">
        <f t="shared" si="37"/>
        <v>0</v>
      </c>
      <c r="AT130" s="244">
        <f t="shared" si="37"/>
        <v>0</v>
      </c>
      <c r="AU130" s="244">
        <f t="shared" si="37"/>
        <v>0</v>
      </c>
      <c r="AV130" s="244">
        <f t="shared" si="37"/>
        <v>0</v>
      </c>
      <c r="AW130" s="244"/>
      <c r="AX130" s="244"/>
      <c r="AY130" s="244"/>
      <c r="AZ130" s="244"/>
      <c r="BA130" s="244"/>
      <c r="BB130" s="244"/>
    </row>
    <row r="131" spans="1:54" ht="15" hidden="1">
      <c r="A131" s="331" t="s">
        <v>686</v>
      </c>
      <c r="B131" s="295" t="str">
        <f t="shared" si="27"/>
        <v>Mut: 13 | Intuition: 15 | Charisma: 15</v>
      </c>
      <c r="C131" s="308" t="b">
        <v>0</v>
      </c>
      <c r="D131" s="308" t="b">
        <v>0</v>
      </c>
      <c r="E131" s="308" t="b">
        <f t="shared" si="28"/>
        <v>1</v>
      </c>
      <c r="F131" t="s">
        <v>336</v>
      </c>
      <c r="G131" t="s">
        <v>110</v>
      </c>
      <c r="H131" t="s">
        <v>524</v>
      </c>
      <c r="I131" t="s">
        <v>687</v>
      </c>
      <c r="J131" s="295">
        <f>_xlfn.XLOOKUP(G131,Rechner!$A$17:$A$25,Rechner!$B$17:$B$25)</f>
        <v>4</v>
      </c>
      <c r="K131" s="295" t="str">
        <f>_xlfn.XLOOKUP(J131-SUMIF($V$31:$AV$31,TRUE,V131:AV131)-IF(D131=TRUE,1,0),Rechner!$B$17:$B$25,Rechner!$A$17:$A$25,"A+")</f>
        <v>C</v>
      </c>
      <c r="L131" s="295" t="str">
        <f>_xlfn.XLOOKUP(S131,Eigenschaften!$C$20:$C$27,Eigenschaften!$B$20:$B$27)</f>
        <v>Mut</v>
      </c>
      <c r="M131" s="295">
        <f>_xlfn.XLOOKUP(L131,Eigenschaften!$B$20:$B$27,Eigenschaften!$H$20:$H$27,"NaN",1)</f>
        <v>13</v>
      </c>
      <c r="N131" s="295" t="str">
        <f>_xlfn.XLOOKUP(T131,Eigenschaften!$C$20:$C$27,Eigenschaften!$B$20:$B$27)</f>
        <v>Intuition</v>
      </c>
      <c r="O131" s="295">
        <f>_xlfn.XLOOKUP(N131,Eigenschaften!$B$20:$B$27,Eigenschaften!$H$20:$H$27,"NaN",1)</f>
        <v>15</v>
      </c>
      <c r="P131" s="295" t="str">
        <f>_xlfn.XLOOKUP(U131,Eigenschaften!$C$20:$C$27,Eigenschaften!$B$20:$B$27)</f>
        <v>Charisma</v>
      </c>
      <c r="Q131" s="295">
        <f>_xlfn.XLOOKUP(P131,Eigenschaften!$B$20:$B$27,Eigenschaften!$H$20:$H$27,"NaN",1)</f>
        <v>15</v>
      </c>
      <c r="R131" s="244"/>
      <c r="S131" s="244" t="str" cm="1">
        <f t="array" ref="S131:U131">_xlfn.TEXTSPLIT(F131,"/",,,,3)</f>
        <v>MU</v>
      </c>
      <c r="T131" s="244" t="str">
        <v>IN</v>
      </c>
      <c r="U131" s="244" t="str">
        <v>CH</v>
      </c>
      <c r="V131" s="244">
        <f t="shared" si="35"/>
        <v>1</v>
      </c>
      <c r="W131" s="244">
        <f t="shared" si="35"/>
        <v>0</v>
      </c>
      <c r="X131" s="244">
        <f t="shared" si="35"/>
        <v>0</v>
      </c>
      <c r="Y131" s="244">
        <f t="shared" si="35"/>
        <v>0</v>
      </c>
      <c r="Z131" s="244">
        <f t="shared" si="35"/>
        <v>0</v>
      </c>
      <c r="AA131" s="244">
        <f t="shared" si="35"/>
        <v>0</v>
      </c>
      <c r="AB131" s="244">
        <f t="shared" si="35"/>
        <v>0</v>
      </c>
      <c r="AC131" s="244">
        <f t="shared" si="35"/>
        <v>0</v>
      </c>
      <c r="AD131" s="244">
        <f t="shared" si="35"/>
        <v>0</v>
      </c>
      <c r="AE131" s="244">
        <f t="shared" si="35"/>
        <v>0</v>
      </c>
      <c r="AF131" s="244">
        <f t="shared" si="36"/>
        <v>0</v>
      </c>
      <c r="AG131" s="244">
        <f t="shared" si="36"/>
        <v>0</v>
      </c>
      <c r="AH131" s="244">
        <f t="shared" si="36"/>
        <v>0</v>
      </c>
      <c r="AI131" s="244">
        <f t="shared" si="36"/>
        <v>0</v>
      </c>
      <c r="AJ131" s="244">
        <f t="shared" si="36"/>
        <v>0</v>
      </c>
      <c r="AK131" s="244">
        <f t="shared" si="36"/>
        <v>1</v>
      </c>
      <c r="AL131" s="244">
        <f t="shared" si="36"/>
        <v>0</v>
      </c>
      <c r="AM131" s="244">
        <f t="shared" si="36"/>
        <v>0</v>
      </c>
      <c r="AN131" s="244">
        <f t="shared" si="36"/>
        <v>0</v>
      </c>
      <c r="AO131" s="244">
        <f t="shared" si="36"/>
        <v>0</v>
      </c>
      <c r="AP131" s="244">
        <f t="shared" si="37"/>
        <v>0</v>
      </c>
      <c r="AQ131" s="244">
        <f t="shared" si="37"/>
        <v>0</v>
      </c>
      <c r="AR131" s="244">
        <f t="shared" si="37"/>
        <v>0</v>
      </c>
      <c r="AS131" s="244">
        <f t="shared" si="37"/>
        <v>0</v>
      </c>
      <c r="AT131" s="244">
        <f t="shared" si="37"/>
        <v>0</v>
      </c>
      <c r="AU131" s="244">
        <f t="shared" si="37"/>
        <v>0</v>
      </c>
      <c r="AV131" s="244">
        <f t="shared" si="37"/>
        <v>0</v>
      </c>
      <c r="AW131" s="244"/>
      <c r="AX131" s="244"/>
      <c r="AY131" s="244"/>
      <c r="AZ131" s="244"/>
      <c r="BA131" s="244"/>
      <c r="BB131" s="244"/>
    </row>
    <row r="132" spans="1:54" ht="15" hidden="1">
      <c r="A132" s="331" t="s">
        <v>688</v>
      </c>
      <c r="B132" s="295" t="str">
        <f t="shared" si="27"/>
        <v>Mut: 13 | Mut: 13 | Charisma: 15</v>
      </c>
      <c r="C132" s="308" t="b">
        <v>0</v>
      </c>
      <c r="D132" s="308" t="b">
        <v>0</v>
      </c>
      <c r="E132" s="308" t="b">
        <f t="shared" si="28"/>
        <v>1</v>
      </c>
      <c r="F132" t="s">
        <v>527</v>
      </c>
      <c r="G132" t="s">
        <v>113</v>
      </c>
      <c r="H132" t="s">
        <v>374</v>
      </c>
      <c r="I132" t="s">
        <v>689</v>
      </c>
      <c r="J132" s="295">
        <f>_xlfn.XLOOKUP(G132,Rechner!$A$17:$A$25,Rechner!$B$17:$B$25)</f>
        <v>5</v>
      </c>
      <c r="K132" s="295" t="str">
        <f>_xlfn.XLOOKUP(J132-SUMIF($V$31:$AV$31,TRUE,V132:AV132)-IF(D132=TRUE,1,0),Rechner!$B$17:$B$25,Rechner!$A$17:$A$25,"A+")</f>
        <v>D</v>
      </c>
      <c r="L132" s="295" t="str">
        <f>_xlfn.XLOOKUP(S132,Eigenschaften!$C$20:$C$27,Eigenschaften!$B$20:$B$27)</f>
        <v>Mut</v>
      </c>
      <c r="M132" s="295">
        <f>_xlfn.XLOOKUP(L132,Eigenschaften!$B$20:$B$27,Eigenschaften!$H$20:$H$27,"NaN",1)</f>
        <v>13</v>
      </c>
      <c r="N132" s="295" t="str">
        <f>_xlfn.XLOOKUP(T132,Eigenschaften!$C$20:$C$27,Eigenschaften!$B$20:$B$27)</f>
        <v>Mut</v>
      </c>
      <c r="O132" s="295">
        <f>_xlfn.XLOOKUP(N132,Eigenschaften!$B$20:$B$27,Eigenschaften!$H$20:$H$27,"NaN",1)</f>
        <v>13</v>
      </c>
      <c r="P132" s="295" t="str">
        <f>_xlfn.XLOOKUP(U132,Eigenschaften!$C$20:$C$27,Eigenschaften!$B$20:$B$27)</f>
        <v>Charisma</v>
      </c>
      <c r="Q132" s="295">
        <f>_xlfn.XLOOKUP(P132,Eigenschaften!$B$20:$B$27,Eigenschaften!$H$20:$H$27,"NaN",1)</f>
        <v>15</v>
      </c>
      <c r="R132" s="244"/>
      <c r="S132" s="244" t="str" cm="1">
        <f t="array" ref="S132:U132">_xlfn.TEXTSPLIT(F132,"/",,,,3)</f>
        <v>MU</v>
      </c>
      <c r="T132" s="244" t="str">
        <v>MU</v>
      </c>
      <c r="U132" s="244" t="str">
        <v>CH</v>
      </c>
      <c r="V132" s="244">
        <f t="shared" si="35"/>
        <v>0</v>
      </c>
      <c r="W132" s="244">
        <f t="shared" si="35"/>
        <v>0</v>
      </c>
      <c r="X132" s="244">
        <f t="shared" si="35"/>
        <v>0</v>
      </c>
      <c r="Y132" s="244">
        <f t="shared" si="35"/>
        <v>0</v>
      </c>
      <c r="Z132" s="244">
        <f t="shared" si="35"/>
        <v>0</v>
      </c>
      <c r="AA132" s="244">
        <f t="shared" si="35"/>
        <v>0</v>
      </c>
      <c r="AB132" s="244">
        <f t="shared" si="35"/>
        <v>0</v>
      </c>
      <c r="AC132" s="244">
        <f t="shared" si="35"/>
        <v>0</v>
      </c>
      <c r="AD132" s="244">
        <f t="shared" si="35"/>
        <v>0</v>
      </c>
      <c r="AE132" s="244">
        <f t="shared" si="35"/>
        <v>0</v>
      </c>
      <c r="AF132" s="244">
        <f t="shared" si="36"/>
        <v>0</v>
      </c>
      <c r="AG132" s="244">
        <f t="shared" si="36"/>
        <v>0</v>
      </c>
      <c r="AH132" s="244">
        <f t="shared" si="36"/>
        <v>0</v>
      </c>
      <c r="AI132" s="244">
        <f t="shared" si="36"/>
        <v>0</v>
      </c>
      <c r="AJ132" s="244">
        <f t="shared" si="36"/>
        <v>0</v>
      </c>
      <c r="AK132" s="244">
        <f t="shared" si="36"/>
        <v>0</v>
      </c>
      <c r="AL132" s="244">
        <f t="shared" si="36"/>
        <v>1</v>
      </c>
      <c r="AM132" s="244">
        <f t="shared" si="36"/>
        <v>0</v>
      </c>
      <c r="AN132" s="244">
        <f t="shared" si="36"/>
        <v>0</v>
      </c>
      <c r="AO132" s="244">
        <f t="shared" si="36"/>
        <v>0</v>
      </c>
      <c r="AP132" s="244">
        <f t="shared" si="37"/>
        <v>0</v>
      </c>
      <c r="AQ132" s="244">
        <f t="shared" si="37"/>
        <v>0</v>
      </c>
      <c r="AR132" s="244">
        <f t="shared" si="37"/>
        <v>0</v>
      </c>
      <c r="AS132" s="244">
        <f t="shared" si="37"/>
        <v>0</v>
      </c>
      <c r="AT132" s="244">
        <f t="shared" si="37"/>
        <v>0</v>
      </c>
      <c r="AU132" s="244">
        <f t="shared" si="37"/>
        <v>0</v>
      </c>
      <c r="AV132" s="244">
        <f t="shared" si="37"/>
        <v>0</v>
      </c>
      <c r="AW132" s="244"/>
      <c r="AX132" s="244"/>
      <c r="AY132" s="244"/>
      <c r="AZ132" s="244"/>
      <c r="BA132" s="244"/>
      <c r="BB132" s="244"/>
    </row>
    <row r="133" spans="1:54" ht="15" hidden="1">
      <c r="A133" s="331" t="s">
        <v>691</v>
      </c>
      <c r="B133" s="295" t="str">
        <f t="shared" si="27"/>
        <v>Mut: 13 | Charisma: 15 | Körperkraft: 12</v>
      </c>
      <c r="C133" s="308" t="b">
        <v>0</v>
      </c>
      <c r="D133" s="308" t="b">
        <v>0</v>
      </c>
      <c r="E133" s="308" t="b">
        <f t="shared" si="28"/>
        <v>0</v>
      </c>
      <c r="F133" t="s">
        <v>692</v>
      </c>
      <c r="G133" t="s">
        <v>113</v>
      </c>
      <c r="H133" t="s">
        <v>693</v>
      </c>
      <c r="I133" t="s">
        <v>694</v>
      </c>
      <c r="J133" s="295">
        <f>_xlfn.XLOOKUP(G133,Rechner!$A$17:$A$25,Rechner!$B$17:$B$25)</f>
        <v>5</v>
      </c>
      <c r="K133" s="295" t="str">
        <f>_xlfn.XLOOKUP(J133-SUMIF($V$31:$AV$31,TRUE,V133:AV133)-IF(D133=TRUE,1,0),Rechner!$B$17:$B$25,Rechner!$A$17:$A$25,"A+")</f>
        <v>B</v>
      </c>
      <c r="L133" s="295" t="str">
        <f>_xlfn.XLOOKUP(S133,Eigenschaften!$C$20:$C$27,Eigenschaften!$B$20:$B$27)</f>
        <v>Mut</v>
      </c>
      <c r="M133" s="295">
        <f>_xlfn.XLOOKUP(L133,Eigenschaften!$B$20:$B$27,Eigenschaften!$H$20:$H$27,"NaN",1)</f>
        <v>13</v>
      </c>
      <c r="N133" s="295" t="str">
        <f>_xlfn.XLOOKUP(T133,Eigenschaften!$C$20:$C$27,Eigenschaften!$B$20:$B$27)</f>
        <v>Charisma</v>
      </c>
      <c r="O133" s="295">
        <f>_xlfn.XLOOKUP(N133,Eigenschaften!$B$20:$B$27,Eigenschaften!$H$20:$H$27,"NaN",1)</f>
        <v>15</v>
      </c>
      <c r="P133" s="295" t="str">
        <f>_xlfn.XLOOKUP(U133,Eigenschaften!$C$20:$C$27,Eigenschaften!$B$20:$B$27)</f>
        <v>Körperkraft</v>
      </c>
      <c r="Q133" s="295">
        <f>_xlfn.XLOOKUP(P133,Eigenschaften!$B$20:$B$27,Eigenschaften!$H$20:$H$27,"NaN",1)</f>
        <v>12</v>
      </c>
      <c r="R133" s="244"/>
      <c r="S133" s="244" t="str" cm="1">
        <f t="array" ref="S133:U133">_xlfn.TEXTSPLIT(F133,"/",,,,3)</f>
        <v>MU</v>
      </c>
      <c r="T133" s="244" t="str">
        <v>CH</v>
      </c>
      <c r="U133" s="244" t="str">
        <v>KK</v>
      </c>
      <c r="V133" s="244">
        <f t="shared" si="35"/>
        <v>0</v>
      </c>
      <c r="W133" s="244">
        <f t="shared" si="35"/>
        <v>0</v>
      </c>
      <c r="X133" s="244">
        <f t="shared" si="35"/>
        <v>1</v>
      </c>
      <c r="Y133" s="244">
        <f t="shared" si="35"/>
        <v>0</v>
      </c>
      <c r="Z133" s="244">
        <f t="shared" si="35"/>
        <v>0</v>
      </c>
      <c r="AA133" s="244">
        <f t="shared" si="35"/>
        <v>0</v>
      </c>
      <c r="AB133" s="244">
        <f t="shared" si="35"/>
        <v>0</v>
      </c>
      <c r="AC133" s="244">
        <f t="shared" si="35"/>
        <v>0</v>
      </c>
      <c r="AD133" s="244">
        <f t="shared" si="35"/>
        <v>0</v>
      </c>
      <c r="AE133" s="244">
        <f t="shared" si="35"/>
        <v>0</v>
      </c>
      <c r="AF133" s="244">
        <f t="shared" si="36"/>
        <v>1</v>
      </c>
      <c r="AG133" s="244">
        <f t="shared" si="36"/>
        <v>0</v>
      </c>
      <c r="AH133" s="244">
        <f t="shared" si="36"/>
        <v>0</v>
      </c>
      <c r="AI133" s="244">
        <f t="shared" si="36"/>
        <v>0</v>
      </c>
      <c r="AJ133" s="244">
        <f t="shared" si="36"/>
        <v>0</v>
      </c>
      <c r="AK133" s="244">
        <f t="shared" si="36"/>
        <v>0</v>
      </c>
      <c r="AL133" s="244">
        <f t="shared" si="36"/>
        <v>0</v>
      </c>
      <c r="AM133" s="244">
        <f t="shared" si="36"/>
        <v>0</v>
      </c>
      <c r="AN133" s="244">
        <f t="shared" si="36"/>
        <v>0</v>
      </c>
      <c r="AO133" s="244">
        <f t="shared" si="36"/>
        <v>0</v>
      </c>
      <c r="AP133" s="244">
        <f t="shared" si="37"/>
        <v>0</v>
      </c>
      <c r="AQ133" s="244">
        <f t="shared" si="37"/>
        <v>0</v>
      </c>
      <c r="AR133" s="244">
        <f t="shared" si="37"/>
        <v>0</v>
      </c>
      <c r="AS133" s="244">
        <f t="shared" si="37"/>
        <v>0</v>
      </c>
      <c r="AT133" s="244">
        <f t="shared" si="37"/>
        <v>0</v>
      </c>
      <c r="AU133" s="244">
        <f t="shared" si="37"/>
        <v>0</v>
      </c>
      <c r="AV133" s="244">
        <f t="shared" si="37"/>
        <v>0</v>
      </c>
      <c r="AW133" s="244"/>
      <c r="AX133" s="244"/>
      <c r="AY133" s="244"/>
      <c r="AZ133" s="244"/>
      <c r="BA133" s="244"/>
      <c r="BB133" s="244"/>
    </row>
    <row r="134" spans="1:54">
      <c r="A134" s="326" t="s">
        <v>1516</v>
      </c>
      <c r="B134" s="295" t="str">
        <f t="shared" si="27"/>
        <v>Mut: 13 | Mut: 13 | Charisma: 15</v>
      </c>
      <c r="C134" s="308" t="b">
        <v>1</v>
      </c>
      <c r="D134" s="308" t="b">
        <v>0</v>
      </c>
      <c r="E134" s="308" t="b">
        <f t="shared" si="28"/>
        <v>1</v>
      </c>
      <c r="F134" s="324" t="s">
        <v>527</v>
      </c>
      <c r="G134" s="324" t="s">
        <v>125</v>
      </c>
      <c r="H134" s="324" t="s">
        <v>368</v>
      </c>
      <c r="I134" s="324" t="s">
        <v>697</v>
      </c>
      <c r="J134" s="295">
        <f>_xlfn.XLOOKUP(G134,Rechner!$A$17:$A$25,Rechner!$B$17:$B$25)</f>
        <v>3</v>
      </c>
      <c r="K134" s="338" t="str">
        <f>_xlfn.XLOOKUP(J134-SUMIF($V$31:$AV$31,TRUE,V134:AV134)-IF(D134=TRUE,1,0),Rechner!$B$17:$B$25,Rechner!$A$17:$A$25,"A+")</f>
        <v>A</v>
      </c>
      <c r="L134" s="295" t="str">
        <f>_xlfn.XLOOKUP(S134,Eigenschaften!$C$20:$C$27,Eigenschaften!$B$20:$B$27)</f>
        <v>Mut</v>
      </c>
      <c r="M134" s="295">
        <f>_xlfn.XLOOKUP(L134,Eigenschaften!$B$20:$B$27,Eigenschaften!$H$20:$H$27,"NaN",1)</f>
        <v>13</v>
      </c>
      <c r="N134" s="295" t="str">
        <f>_xlfn.XLOOKUP(T134,Eigenschaften!$C$20:$C$27,Eigenschaften!$B$20:$B$27)</f>
        <v>Mut</v>
      </c>
      <c r="O134" s="295">
        <f>_xlfn.XLOOKUP(N134,Eigenschaften!$B$20:$B$27,Eigenschaften!$H$20:$H$27,"NaN",1)</f>
        <v>13</v>
      </c>
      <c r="P134" s="295" t="str">
        <f>_xlfn.XLOOKUP(U134,Eigenschaften!$C$20:$C$27,Eigenschaften!$B$20:$B$27)</f>
        <v>Charisma</v>
      </c>
      <c r="Q134" s="295">
        <f>_xlfn.XLOOKUP(P134,Eigenschaften!$B$20:$B$27,Eigenschaften!$H$20:$H$27,"NaN",1)</f>
        <v>15</v>
      </c>
      <c r="R134" s="244"/>
      <c r="S134" s="244" t="str" cm="1">
        <f t="array" ref="S134:U134">_xlfn.TEXTSPLIT(F134,"/",,,,3)</f>
        <v>MU</v>
      </c>
      <c r="T134" s="244" t="str">
        <v>MU</v>
      </c>
      <c r="U134" s="244" t="str">
        <v>CH</v>
      </c>
      <c r="V134" s="345">
        <f t="shared" si="35"/>
        <v>0</v>
      </c>
      <c r="W134" s="345">
        <f t="shared" si="35"/>
        <v>0</v>
      </c>
      <c r="X134" s="345">
        <f t="shared" si="35"/>
        <v>0</v>
      </c>
      <c r="Y134" s="345">
        <f t="shared" si="35"/>
        <v>0</v>
      </c>
      <c r="Z134" s="345">
        <f t="shared" si="35"/>
        <v>0</v>
      </c>
      <c r="AA134" s="345">
        <f t="shared" si="35"/>
        <v>0</v>
      </c>
      <c r="AB134" s="345">
        <f t="shared" si="35"/>
        <v>0</v>
      </c>
      <c r="AC134" s="345">
        <f t="shared" si="35"/>
        <v>0</v>
      </c>
      <c r="AD134" s="345">
        <f t="shared" si="35"/>
        <v>0</v>
      </c>
      <c r="AE134" s="345">
        <f t="shared" si="35"/>
        <v>0</v>
      </c>
      <c r="AF134" s="345">
        <f t="shared" si="36"/>
        <v>1</v>
      </c>
      <c r="AG134" s="345">
        <f t="shared" si="36"/>
        <v>0</v>
      </c>
      <c r="AH134" s="345">
        <f t="shared" si="36"/>
        <v>0</v>
      </c>
      <c r="AI134" s="345">
        <f t="shared" si="36"/>
        <v>0</v>
      </c>
      <c r="AJ134" s="345">
        <f t="shared" si="36"/>
        <v>0</v>
      </c>
      <c r="AK134" s="345">
        <f t="shared" si="36"/>
        <v>0</v>
      </c>
      <c r="AL134" s="345">
        <f t="shared" si="36"/>
        <v>0</v>
      </c>
      <c r="AM134" s="345">
        <f t="shared" si="36"/>
        <v>0</v>
      </c>
      <c r="AN134" s="345">
        <f t="shared" si="36"/>
        <v>0</v>
      </c>
      <c r="AO134" s="345">
        <f t="shared" si="36"/>
        <v>0</v>
      </c>
      <c r="AP134" s="345">
        <f t="shared" si="37"/>
        <v>0</v>
      </c>
      <c r="AQ134" s="345">
        <f t="shared" si="37"/>
        <v>0</v>
      </c>
      <c r="AR134" s="345">
        <f t="shared" si="37"/>
        <v>0</v>
      </c>
      <c r="AS134" s="345">
        <f t="shared" si="37"/>
        <v>0</v>
      </c>
      <c r="AT134" s="345">
        <f t="shared" si="37"/>
        <v>0</v>
      </c>
      <c r="AU134" s="345">
        <f t="shared" si="37"/>
        <v>0</v>
      </c>
      <c r="AV134" s="345">
        <f t="shared" si="37"/>
        <v>0</v>
      </c>
      <c r="AW134" s="244">
        <v>8</v>
      </c>
      <c r="AX134" s="244" t="s">
        <v>1615</v>
      </c>
      <c r="AY134" s="244" t="s">
        <v>1623</v>
      </c>
      <c r="AZ134" s="244" t="s">
        <v>299</v>
      </c>
      <c r="BA134" s="244" t="s">
        <v>1670</v>
      </c>
      <c r="BB134" s="244"/>
    </row>
    <row r="135" spans="1:54" ht="15">
      <c r="A135" s="331" t="s">
        <v>293</v>
      </c>
      <c r="B135" s="295" t="str">
        <f t="shared" si="27"/>
        <v>Klugheit: 12 | Charisma: 15 | Gewandheit: 14</v>
      </c>
      <c r="C135" s="308" t="b">
        <v>1</v>
      </c>
      <c r="D135" s="308" t="b">
        <v>1</v>
      </c>
      <c r="E135" s="308" t="b">
        <f t="shared" si="28"/>
        <v>1</v>
      </c>
      <c r="F135" t="s">
        <v>576</v>
      </c>
      <c r="G135" t="s">
        <v>110</v>
      </c>
      <c r="H135" t="s">
        <v>509</v>
      </c>
      <c r="I135" t="s">
        <v>674</v>
      </c>
      <c r="J135" s="295">
        <f>_xlfn.XLOOKUP(G135,Rechner!$A$17:$A$25,Rechner!$B$17:$B$25)</f>
        <v>4</v>
      </c>
      <c r="K135" s="338" t="str">
        <f>_xlfn.XLOOKUP(J135-SUMIF($V$31:$AV$31,TRUE,V135:AV135)-IF(D135=TRUE,1,0),Rechner!$B$17:$B$25,Rechner!$A$17:$A$25,"A+")</f>
        <v>A</v>
      </c>
      <c r="L135" s="295" t="str">
        <f>_xlfn.XLOOKUP(S135,Eigenschaften!$C$20:$C$27,Eigenschaften!$B$20:$B$27)</f>
        <v>Klugheit</v>
      </c>
      <c r="M135" s="295">
        <f>_xlfn.XLOOKUP(L135,Eigenschaften!$B$20:$B$27,Eigenschaften!$H$20:$H$27,"NaN",1)</f>
        <v>12</v>
      </c>
      <c r="N135" s="295" t="str">
        <f>_xlfn.XLOOKUP(T135,Eigenschaften!$C$20:$C$27,Eigenschaften!$B$20:$B$27)</f>
        <v>Charisma</v>
      </c>
      <c r="O135" s="295">
        <f>_xlfn.XLOOKUP(N135,Eigenschaften!$B$20:$B$27,Eigenschaften!$H$20:$H$27,"NaN",1)</f>
        <v>15</v>
      </c>
      <c r="P135" s="295" t="str">
        <f>_xlfn.XLOOKUP(U135,Eigenschaften!$C$20:$C$27,Eigenschaften!$B$20:$B$27)</f>
        <v>Gewandheit</v>
      </c>
      <c r="Q135" s="295">
        <f>_xlfn.XLOOKUP(P135,Eigenschaften!$B$20:$B$27,Eigenschaften!$H$20:$H$27,"NaN",1)</f>
        <v>14</v>
      </c>
      <c r="R135" s="244"/>
      <c r="S135" s="244" t="str" cm="1">
        <f t="array" ref="S135:U135">_xlfn.TEXTSPLIT(F135,"/",,,,3)</f>
        <v>KL</v>
      </c>
      <c r="T135" s="244" t="str">
        <v>CH</v>
      </c>
      <c r="U135" s="244" t="str">
        <v>GE</v>
      </c>
      <c r="V135" s="244">
        <f t="shared" si="35"/>
        <v>0</v>
      </c>
      <c r="W135" s="244">
        <f t="shared" si="35"/>
        <v>0</v>
      </c>
      <c r="X135" s="244">
        <f t="shared" si="35"/>
        <v>0</v>
      </c>
      <c r="Y135" s="244">
        <f t="shared" si="35"/>
        <v>0</v>
      </c>
      <c r="Z135" s="244">
        <f t="shared" si="35"/>
        <v>0</v>
      </c>
      <c r="AA135" s="244">
        <f t="shared" si="35"/>
        <v>0</v>
      </c>
      <c r="AB135" s="244">
        <f t="shared" si="35"/>
        <v>0</v>
      </c>
      <c r="AC135" s="244">
        <f t="shared" si="35"/>
        <v>0</v>
      </c>
      <c r="AD135" s="244">
        <f t="shared" si="35"/>
        <v>0</v>
      </c>
      <c r="AE135" s="244">
        <f t="shared" si="35"/>
        <v>0</v>
      </c>
      <c r="AF135" s="244">
        <f t="shared" si="36"/>
        <v>1</v>
      </c>
      <c r="AG135" s="244">
        <f t="shared" si="36"/>
        <v>0</v>
      </c>
      <c r="AH135" s="244">
        <f t="shared" si="36"/>
        <v>0</v>
      </c>
      <c r="AI135" s="244">
        <f t="shared" si="36"/>
        <v>0</v>
      </c>
      <c r="AJ135" s="244">
        <f t="shared" si="36"/>
        <v>0</v>
      </c>
      <c r="AK135" s="244">
        <f t="shared" si="36"/>
        <v>0</v>
      </c>
      <c r="AL135" s="244">
        <f t="shared" si="36"/>
        <v>0</v>
      </c>
      <c r="AM135" s="244">
        <f t="shared" si="36"/>
        <v>1</v>
      </c>
      <c r="AN135" s="244">
        <f t="shared" si="36"/>
        <v>0</v>
      </c>
      <c r="AO135" s="244">
        <f t="shared" si="36"/>
        <v>0</v>
      </c>
      <c r="AP135" s="244">
        <f t="shared" si="37"/>
        <v>0</v>
      </c>
      <c r="AQ135" s="244">
        <f t="shared" si="37"/>
        <v>0</v>
      </c>
      <c r="AR135" s="244">
        <f t="shared" si="37"/>
        <v>0</v>
      </c>
      <c r="AS135" s="244">
        <f t="shared" si="37"/>
        <v>0</v>
      </c>
      <c r="AT135" s="244">
        <f t="shared" si="37"/>
        <v>0</v>
      </c>
      <c r="AU135" s="244">
        <f t="shared" si="37"/>
        <v>0</v>
      </c>
      <c r="AV135" s="244">
        <f t="shared" si="37"/>
        <v>0</v>
      </c>
      <c r="AW135" s="244">
        <v>7</v>
      </c>
      <c r="AX135" s="244" t="s">
        <v>1633</v>
      </c>
      <c r="AY135" s="244" t="s">
        <v>1632</v>
      </c>
      <c r="AZ135" s="244" t="s">
        <v>278</v>
      </c>
      <c r="BA135" s="244" t="s">
        <v>296</v>
      </c>
      <c r="BB135" s="244"/>
    </row>
    <row r="136" spans="1:54" ht="15">
      <c r="A136" s="331" t="s">
        <v>319</v>
      </c>
      <c r="B136" s="295" t="str">
        <f t="shared" si="27"/>
        <v>Mut: 13 | Charisma: 15 | Charisma: 15</v>
      </c>
      <c r="C136" s="308" t="b">
        <v>1</v>
      </c>
      <c r="D136" s="308" t="b">
        <v>0</v>
      </c>
      <c r="E136" s="308" t="b">
        <f t="shared" si="28"/>
        <v>1</v>
      </c>
      <c r="F136" t="s">
        <v>320</v>
      </c>
      <c r="G136" t="s">
        <v>110</v>
      </c>
      <c r="H136" t="s">
        <v>582</v>
      </c>
      <c r="I136" t="s">
        <v>765</v>
      </c>
      <c r="J136" s="295">
        <f>_xlfn.XLOOKUP(G136,Rechner!$A$17:$A$25,Rechner!$B$17:$B$25)</f>
        <v>4</v>
      </c>
      <c r="K136" s="338" t="str">
        <f>_xlfn.XLOOKUP(J136-SUMIF($V$31:$AV$31,TRUE,V136:AV136)-IF(D136=TRUE,1,0),Rechner!$B$17:$B$25,Rechner!$A$17:$A$25,"A+")</f>
        <v>B</v>
      </c>
      <c r="L136" s="295" t="str">
        <f>_xlfn.XLOOKUP(S136,Eigenschaften!$C$20:$C$27,Eigenschaften!$B$20:$B$27)</f>
        <v>Mut</v>
      </c>
      <c r="M136" s="295">
        <f>_xlfn.XLOOKUP(L136,Eigenschaften!$B$20:$B$27,Eigenschaften!$H$20:$H$27,"NaN",1)</f>
        <v>13</v>
      </c>
      <c r="N136" s="295" t="str">
        <f>_xlfn.XLOOKUP(T136,Eigenschaften!$C$20:$C$27,Eigenschaften!$B$20:$B$27)</f>
        <v>Charisma</v>
      </c>
      <c r="O136" s="295">
        <f>_xlfn.XLOOKUP(N136,Eigenschaften!$B$20:$B$27,Eigenschaften!$H$20:$H$27,"NaN",1)</f>
        <v>15</v>
      </c>
      <c r="P136" s="295" t="str">
        <f>_xlfn.XLOOKUP(U136,Eigenschaften!$C$20:$C$27,Eigenschaften!$B$20:$B$27)</f>
        <v>Charisma</v>
      </c>
      <c r="Q136" s="295">
        <f>_xlfn.XLOOKUP(P136,Eigenschaften!$B$20:$B$27,Eigenschaften!$H$20:$H$27,"NaN",1)</f>
        <v>15</v>
      </c>
      <c r="R136" s="244"/>
      <c r="S136" s="244" t="str" cm="1">
        <f t="array" ref="S136:U136">_xlfn.TEXTSPLIT(F136,"/",,,,3)</f>
        <v>MU</v>
      </c>
      <c r="T136" s="244" t="str">
        <v>CH</v>
      </c>
      <c r="U136" s="244" t="str">
        <v>CH</v>
      </c>
      <c r="V136" s="244">
        <f t="shared" ref="V136:AE145" si="38">IF(ISNUMBER(SEARCH(V$32,$H136)),1,0)</f>
        <v>0</v>
      </c>
      <c r="W136" s="244">
        <f t="shared" si="38"/>
        <v>0</v>
      </c>
      <c r="X136" s="244">
        <f t="shared" si="38"/>
        <v>0</v>
      </c>
      <c r="Y136" s="244">
        <f t="shared" si="38"/>
        <v>0</v>
      </c>
      <c r="Z136" s="244">
        <f t="shared" si="38"/>
        <v>0</v>
      </c>
      <c r="AA136" s="244">
        <f t="shared" si="38"/>
        <v>0</v>
      </c>
      <c r="AB136" s="244">
        <f t="shared" si="38"/>
        <v>0</v>
      </c>
      <c r="AC136" s="244">
        <f t="shared" si="38"/>
        <v>0</v>
      </c>
      <c r="AD136" s="244">
        <f t="shared" si="38"/>
        <v>0</v>
      </c>
      <c r="AE136" s="244">
        <f t="shared" si="38"/>
        <v>0</v>
      </c>
      <c r="AF136" s="244">
        <f t="shared" ref="AF136:AO145" si="39">IF(ISNUMBER(SEARCH(AF$32,$H136)),1,0)</f>
        <v>1</v>
      </c>
      <c r="AG136" s="244">
        <f t="shared" si="39"/>
        <v>0</v>
      </c>
      <c r="AH136" s="244">
        <f t="shared" si="39"/>
        <v>0</v>
      </c>
      <c r="AI136" s="244">
        <f t="shared" si="39"/>
        <v>0</v>
      </c>
      <c r="AJ136" s="244">
        <f t="shared" si="39"/>
        <v>0</v>
      </c>
      <c r="AK136" s="244">
        <f t="shared" si="39"/>
        <v>1</v>
      </c>
      <c r="AL136" s="244">
        <f t="shared" si="39"/>
        <v>0</v>
      </c>
      <c r="AM136" s="244">
        <f t="shared" si="39"/>
        <v>0</v>
      </c>
      <c r="AN136" s="244">
        <f t="shared" si="39"/>
        <v>0</v>
      </c>
      <c r="AO136" s="244">
        <f t="shared" si="39"/>
        <v>1</v>
      </c>
      <c r="AP136" s="244">
        <f t="shared" ref="AP136:AV145" si="40">IF(ISNUMBER(SEARCH(AP$32,$H136)),1,0)</f>
        <v>0</v>
      </c>
      <c r="AQ136" s="244">
        <f t="shared" si="40"/>
        <v>0</v>
      </c>
      <c r="AR136" s="244">
        <f t="shared" si="40"/>
        <v>0</v>
      </c>
      <c r="AS136" s="244">
        <f t="shared" si="40"/>
        <v>0</v>
      </c>
      <c r="AT136" s="244">
        <f t="shared" si="40"/>
        <v>0</v>
      </c>
      <c r="AU136" s="244">
        <f t="shared" si="40"/>
        <v>0</v>
      </c>
      <c r="AV136" s="244">
        <f t="shared" si="40"/>
        <v>0</v>
      </c>
      <c r="AW136" s="244">
        <v>7</v>
      </c>
      <c r="AX136" s="244" t="s">
        <v>1609</v>
      </c>
      <c r="AY136" s="244" t="s">
        <v>1647</v>
      </c>
      <c r="AZ136" s="244" t="s">
        <v>321</v>
      </c>
      <c r="BA136" s="244" t="s">
        <v>322</v>
      </c>
      <c r="BB136" s="244"/>
    </row>
    <row r="137" spans="1:54">
      <c r="A137" s="326" t="s">
        <v>342</v>
      </c>
      <c r="B137" s="295" t="str">
        <f t="shared" si="27"/>
        <v>Klugheit: 12 | Klugheit: 12 | Fingerfertigkeit: 10</v>
      </c>
      <c r="C137" s="308" t="b">
        <v>1</v>
      </c>
      <c r="D137" s="308" t="b">
        <v>1</v>
      </c>
      <c r="E137" s="308" t="b">
        <f t="shared" si="28"/>
        <v>1</v>
      </c>
      <c r="F137" s="324" t="s">
        <v>343</v>
      </c>
      <c r="G137" s="324" t="s">
        <v>113</v>
      </c>
      <c r="H137" s="324" t="s">
        <v>1434</v>
      </c>
      <c r="I137" s="324" t="s">
        <v>1435</v>
      </c>
      <c r="J137" s="295">
        <f>_xlfn.XLOOKUP(G137,Rechner!$A$17:$A$25,Rechner!$B$17:$B$25)</f>
        <v>5</v>
      </c>
      <c r="K137" s="338" t="str">
        <f>_xlfn.XLOOKUP(J137-SUMIF($V$31:$AV$31,TRUE,V137:AV137)-IF(D137=TRUE,1,0),Rechner!$B$17:$B$25,Rechner!$A$17:$A$25,"A+")</f>
        <v>B</v>
      </c>
      <c r="L137" s="295" t="str">
        <f>_xlfn.XLOOKUP(S137,Eigenschaften!$C$20:$C$27,Eigenschaften!$B$20:$B$27)</f>
        <v>Klugheit</v>
      </c>
      <c r="M137" s="295">
        <f>_xlfn.XLOOKUP(L137,Eigenschaften!$B$20:$B$27,Eigenschaften!$H$20:$H$27,"NaN",1)</f>
        <v>12</v>
      </c>
      <c r="N137" s="295" t="str">
        <f>_xlfn.XLOOKUP(T137,Eigenschaften!$C$20:$C$27,Eigenschaften!$B$20:$B$27)</f>
        <v>Klugheit</v>
      </c>
      <c r="O137" s="295">
        <f>_xlfn.XLOOKUP(N137,Eigenschaften!$B$20:$B$27,Eigenschaften!$H$20:$H$27,"NaN",1)</f>
        <v>12</v>
      </c>
      <c r="P137" s="295" t="str">
        <f>_xlfn.XLOOKUP(U137,Eigenschaften!$C$20:$C$27,Eigenschaften!$B$20:$B$27)</f>
        <v>Fingerfertigkeit</v>
      </c>
      <c r="Q137" s="295">
        <f>_xlfn.XLOOKUP(P137,Eigenschaften!$B$20:$B$27,Eigenschaften!$H$20:$H$27,"NaN",1)</f>
        <v>10</v>
      </c>
      <c r="R137" s="244"/>
      <c r="S137" s="244" t="str" cm="1">
        <f t="array" ref="S137:U137">_xlfn.TEXTSPLIT(F137,"/",,,,3)</f>
        <v>KL</v>
      </c>
      <c r="T137" s="244" t="str">
        <v>KL</v>
      </c>
      <c r="U137" s="244" t="str">
        <v>FF</v>
      </c>
      <c r="V137" s="345">
        <f t="shared" si="38"/>
        <v>0</v>
      </c>
      <c r="W137" s="345">
        <f t="shared" si="38"/>
        <v>0</v>
      </c>
      <c r="X137" s="345">
        <f t="shared" si="38"/>
        <v>1</v>
      </c>
      <c r="Y137" s="345">
        <f t="shared" si="38"/>
        <v>0</v>
      </c>
      <c r="Z137" s="345">
        <f t="shared" si="38"/>
        <v>0</v>
      </c>
      <c r="AA137" s="345">
        <f t="shared" si="38"/>
        <v>0</v>
      </c>
      <c r="AB137" s="345">
        <f t="shared" si="38"/>
        <v>0</v>
      </c>
      <c r="AC137" s="345">
        <f t="shared" si="38"/>
        <v>0</v>
      </c>
      <c r="AD137" s="345">
        <f t="shared" si="38"/>
        <v>0</v>
      </c>
      <c r="AE137" s="345">
        <f t="shared" si="38"/>
        <v>0</v>
      </c>
      <c r="AF137" s="345">
        <f t="shared" si="39"/>
        <v>0</v>
      </c>
      <c r="AG137" s="345">
        <f t="shared" si="39"/>
        <v>0</v>
      </c>
      <c r="AH137" s="345">
        <f t="shared" si="39"/>
        <v>0</v>
      </c>
      <c r="AI137" s="345">
        <f t="shared" si="39"/>
        <v>0</v>
      </c>
      <c r="AJ137" s="345">
        <f t="shared" si="39"/>
        <v>0</v>
      </c>
      <c r="AK137" s="345">
        <f t="shared" si="39"/>
        <v>0</v>
      </c>
      <c r="AL137" s="345">
        <f t="shared" si="39"/>
        <v>0</v>
      </c>
      <c r="AM137" s="345">
        <f t="shared" si="39"/>
        <v>0</v>
      </c>
      <c r="AN137" s="345">
        <f t="shared" si="39"/>
        <v>0</v>
      </c>
      <c r="AO137" s="345">
        <f t="shared" si="39"/>
        <v>0</v>
      </c>
      <c r="AP137" s="345">
        <f t="shared" si="40"/>
        <v>1</v>
      </c>
      <c r="AQ137" s="345">
        <f t="shared" si="40"/>
        <v>0</v>
      </c>
      <c r="AR137" s="345">
        <f t="shared" si="40"/>
        <v>0</v>
      </c>
      <c r="AS137" s="345">
        <f t="shared" si="40"/>
        <v>0</v>
      </c>
      <c r="AT137" s="345">
        <f t="shared" si="40"/>
        <v>0</v>
      </c>
      <c r="AU137" s="345">
        <f t="shared" si="40"/>
        <v>0</v>
      </c>
      <c r="AV137" s="345">
        <f t="shared" si="40"/>
        <v>0</v>
      </c>
      <c r="AW137" s="244">
        <v>7</v>
      </c>
      <c r="AX137" s="244" t="s">
        <v>279</v>
      </c>
      <c r="AY137" s="244" t="s">
        <v>1656</v>
      </c>
      <c r="AZ137" s="244" t="s">
        <v>325</v>
      </c>
      <c r="BA137" s="244" t="s">
        <v>345</v>
      </c>
      <c r="BB137" s="244"/>
    </row>
    <row r="138" spans="1:54">
      <c r="A138" s="326" t="s">
        <v>349</v>
      </c>
      <c r="B138" s="295" t="str">
        <f t="shared" si="27"/>
        <v>Intuition: 15 | Gewandheit: 14 | Körperkraft: 12</v>
      </c>
      <c r="C138" s="308" t="b">
        <v>1</v>
      </c>
      <c r="D138" s="308" t="b">
        <v>1</v>
      </c>
      <c r="E138" s="308" t="b">
        <f t="shared" si="28"/>
        <v>1</v>
      </c>
      <c r="F138" s="324" t="s">
        <v>324</v>
      </c>
      <c r="G138" s="324" t="s">
        <v>110</v>
      </c>
      <c r="H138" s="324" t="s">
        <v>235</v>
      </c>
      <c r="I138" s="324" t="s">
        <v>1467</v>
      </c>
      <c r="J138" s="295">
        <f>_xlfn.XLOOKUP(G138,Rechner!$A$17:$A$25,Rechner!$B$17:$B$25)</f>
        <v>4</v>
      </c>
      <c r="K138" s="338" t="str">
        <f>_xlfn.XLOOKUP(J138-SUMIF($V$31:$AV$31,TRUE,V138:AV138)-IF(D138=TRUE,1,0),Rechner!$B$17:$B$25,Rechner!$A$17:$A$25,"A+")</f>
        <v>A</v>
      </c>
      <c r="L138" s="295" t="str">
        <f>_xlfn.XLOOKUP(S138,Eigenschaften!$C$20:$C$27,Eigenschaften!$B$20:$B$27)</f>
        <v>Intuition</v>
      </c>
      <c r="M138" s="295">
        <f>_xlfn.XLOOKUP(L138,Eigenschaften!$B$20:$B$27,Eigenschaften!$H$20:$H$27,"NaN",1)</f>
        <v>15</v>
      </c>
      <c r="N138" s="295" t="str">
        <f>_xlfn.XLOOKUP(T138,Eigenschaften!$C$20:$C$27,Eigenschaften!$B$20:$B$27)</f>
        <v>Gewandheit</v>
      </c>
      <c r="O138" s="295">
        <f>_xlfn.XLOOKUP(N138,Eigenschaften!$B$20:$B$27,Eigenschaften!$H$20:$H$27,"NaN",1)</f>
        <v>14</v>
      </c>
      <c r="P138" s="295" t="str">
        <f>_xlfn.XLOOKUP(U138,Eigenschaften!$C$20:$C$27,Eigenschaften!$B$20:$B$27)</f>
        <v>Körperkraft</v>
      </c>
      <c r="Q138" s="295">
        <f>_xlfn.XLOOKUP(P138,Eigenschaften!$B$20:$B$27,Eigenschaften!$H$20:$H$27,"NaN",1)</f>
        <v>12</v>
      </c>
      <c r="R138" s="244"/>
      <c r="S138" s="244" t="str" cm="1">
        <f t="array" ref="S138:U138">_xlfn.TEXTSPLIT(F138,"/",,,,3)</f>
        <v>IN</v>
      </c>
      <c r="T138" s="244" t="str">
        <v>GE</v>
      </c>
      <c r="U138" s="244" t="str">
        <v>KK</v>
      </c>
      <c r="V138" s="345">
        <f t="shared" si="38"/>
        <v>0</v>
      </c>
      <c r="W138" s="345">
        <f t="shared" si="38"/>
        <v>0</v>
      </c>
      <c r="X138" s="345">
        <f t="shared" si="38"/>
        <v>1</v>
      </c>
      <c r="Y138" s="345">
        <f t="shared" si="38"/>
        <v>0</v>
      </c>
      <c r="Z138" s="345">
        <f t="shared" si="38"/>
        <v>0</v>
      </c>
      <c r="AA138" s="345">
        <f t="shared" si="38"/>
        <v>0</v>
      </c>
      <c r="AB138" s="345">
        <f t="shared" si="38"/>
        <v>0</v>
      </c>
      <c r="AC138" s="345">
        <f t="shared" si="38"/>
        <v>0</v>
      </c>
      <c r="AD138" s="345">
        <f t="shared" si="38"/>
        <v>0</v>
      </c>
      <c r="AE138" s="345">
        <f t="shared" si="38"/>
        <v>0</v>
      </c>
      <c r="AF138" s="345">
        <f t="shared" si="39"/>
        <v>0</v>
      </c>
      <c r="AG138" s="345">
        <f t="shared" si="39"/>
        <v>0</v>
      </c>
      <c r="AH138" s="345">
        <f t="shared" si="39"/>
        <v>0</v>
      </c>
      <c r="AI138" s="345">
        <f t="shared" si="39"/>
        <v>0</v>
      </c>
      <c r="AJ138" s="345">
        <f t="shared" si="39"/>
        <v>0</v>
      </c>
      <c r="AK138" s="345">
        <f t="shared" si="39"/>
        <v>0</v>
      </c>
      <c r="AL138" s="345">
        <f t="shared" si="39"/>
        <v>0</v>
      </c>
      <c r="AM138" s="345">
        <f t="shared" si="39"/>
        <v>0</v>
      </c>
      <c r="AN138" s="345">
        <f t="shared" si="39"/>
        <v>0</v>
      </c>
      <c r="AO138" s="345">
        <f t="shared" si="39"/>
        <v>0</v>
      </c>
      <c r="AP138" s="345">
        <f t="shared" si="40"/>
        <v>0</v>
      </c>
      <c r="AQ138" s="345">
        <f t="shared" si="40"/>
        <v>0</v>
      </c>
      <c r="AR138" s="345">
        <f t="shared" si="40"/>
        <v>0</v>
      </c>
      <c r="AS138" s="345">
        <f t="shared" si="40"/>
        <v>0</v>
      </c>
      <c r="AT138" s="345">
        <f t="shared" si="40"/>
        <v>0</v>
      </c>
      <c r="AU138" s="345">
        <f t="shared" si="40"/>
        <v>0</v>
      </c>
      <c r="AV138" s="345">
        <f t="shared" si="40"/>
        <v>0</v>
      </c>
      <c r="AW138" s="244">
        <v>7</v>
      </c>
      <c r="AX138" s="244" t="s">
        <v>1633</v>
      </c>
      <c r="AY138" s="244" t="s">
        <v>1666</v>
      </c>
      <c r="AZ138" s="244" t="s">
        <v>325</v>
      </c>
      <c r="BA138" s="244" t="s">
        <v>1641</v>
      </c>
      <c r="BB138" s="244"/>
    </row>
    <row r="139" spans="1:54" ht="15">
      <c r="A139" s="331" t="s">
        <v>473</v>
      </c>
      <c r="B139" s="295" t="str">
        <f t="shared" si="27"/>
        <v>Klugheit: 12 | Intuition: 15 | Charisma: 15</v>
      </c>
      <c r="C139" s="308" t="b">
        <v>1</v>
      </c>
      <c r="D139" s="308" t="b">
        <v>0</v>
      </c>
      <c r="E139" s="308" t="b">
        <f t="shared" si="28"/>
        <v>1</v>
      </c>
      <c r="F139" t="s">
        <v>307</v>
      </c>
      <c r="G139" t="s">
        <v>110</v>
      </c>
      <c r="H139" t="s">
        <v>426</v>
      </c>
      <c r="I139" t="s">
        <v>474</v>
      </c>
      <c r="J139" s="295">
        <f>_xlfn.XLOOKUP(G139,Rechner!$A$17:$A$25,Rechner!$B$17:$B$25)</f>
        <v>4</v>
      </c>
      <c r="K139" s="338" t="str">
        <f>_xlfn.XLOOKUP(J139-SUMIF($V$31:$AV$31,TRUE,V139:AV139)-IF(D139=TRUE,1,0),Rechner!$B$17:$B$25,Rechner!$A$17:$A$25,"A+")</f>
        <v>C</v>
      </c>
      <c r="L139" s="295" t="str">
        <f>_xlfn.XLOOKUP(S139,Eigenschaften!$C$20:$C$27,Eigenschaften!$B$20:$B$27)</f>
        <v>Klugheit</v>
      </c>
      <c r="M139" s="295">
        <f>_xlfn.XLOOKUP(L139,Eigenschaften!$B$20:$B$27,Eigenschaften!$H$20:$H$27,"NaN",1)</f>
        <v>12</v>
      </c>
      <c r="N139" s="295" t="str">
        <f>_xlfn.XLOOKUP(T139,Eigenschaften!$C$20:$C$27,Eigenschaften!$B$20:$B$27)</f>
        <v>Intuition</v>
      </c>
      <c r="O139" s="295">
        <f>_xlfn.XLOOKUP(N139,Eigenschaften!$B$20:$B$27,Eigenschaften!$H$20:$H$27,"NaN",1)</f>
        <v>15</v>
      </c>
      <c r="P139" s="295" t="str">
        <f>_xlfn.XLOOKUP(U139,Eigenschaften!$C$20:$C$27,Eigenschaften!$B$20:$B$27)</f>
        <v>Charisma</v>
      </c>
      <c r="Q139" s="295">
        <f>_xlfn.XLOOKUP(P139,Eigenschaften!$B$20:$B$27,Eigenschaften!$H$20:$H$27,"NaN",1)</f>
        <v>15</v>
      </c>
      <c r="R139" s="244"/>
      <c r="S139" s="244" t="str" cm="1">
        <f t="array" ref="S139:U139">_xlfn.TEXTSPLIT(F139,"/",,,,3)</f>
        <v>KL</v>
      </c>
      <c r="T139" s="244" t="str">
        <v>IN</v>
      </c>
      <c r="U139" s="244" t="str">
        <v>CH</v>
      </c>
      <c r="V139" s="244">
        <f t="shared" si="38"/>
        <v>0</v>
      </c>
      <c r="W139" s="244">
        <f t="shared" si="38"/>
        <v>0</v>
      </c>
      <c r="X139" s="244">
        <f t="shared" si="38"/>
        <v>0</v>
      </c>
      <c r="Y139" s="244">
        <f t="shared" si="38"/>
        <v>0</v>
      </c>
      <c r="Z139" s="244">
        <f t="shared" si="38"/>
        <v>0</v>
      </c>
      <c r="AA139" s="244">
        <f t="shared" si="38"/>
        <v>0</v>
      </c>
      <c r="AB139" s="244">
        <f t="shared" si="38"/>
        <v>0</v>
      </c>
      <c r="AC139" s="244">
        <f t="shared" si="38"/>
        <v>0</v>
      </c>
      <c r="AD139" s="244">
        <f t="shared" si="38"/>
        <v>0</v>
      </c>
      <c r="AE139" s="244">
        <f t="shared" si="38"/>
        <v>0</v>
      </c>
      <c r="AF139" s="244">
        <f t="shared" si="39"/>
        <v>0</v>
      </c>
      <c r="AG139" s="244">
        <f t="shared" si="39"/>
        <v>1</v>
      </c>
      <c r="AH139" s="244">
        <f t="shared" si="39"/>
        <v>0</v>
      </c>
      <c r="AI139" s="244">
        <f t="shared" si="39"/>
        <v>1</v>
      </c>
      <c r="AJ139" s="244">
        <f t="shared" si="39"/>
        <v>0</v>
      </c>
      <c r="AK139" s="244">
        <f t="shared" si="39"/>
        <v>0</v>
      </c>
      <c r="AL139" s="244">
        <f t="shared" si="39"/>
        <v>0</v>
      </c>
      <c r="AM139" s="244">
        <f t="shared" si="39"/>
        <v>0</v>
      </c>
      <c r="AN139" s="244">
        <f t="shared" si="39"/>
        <v>0</v>
      </c>
      <c r="AO139" s="244">
        <f t="shared" si="39"/>
        <v>0</v>
      </c>
      <c r="AP139" s="244">
        <f t="shared" si="40"/>
        <v>0</v>
      </c>
      <c r="AQ139" s="244">
        <f t="shared" si="40"/>
        <v>0</v>
      </c>
      <c r="AR139" s="244">
        <f t="shared" si="40"/>
        <v>0</v>
      </c>
      <c r="AS139" s="244">
        <f t="shared" si="40"/>
        <v>0</v>
      </c>
      <c r="AT139" s="244">
        <f t="shared" si="40"/>
        <v>0</v>
      </c>
      <c r="AU139" s="244">
        <f t="shared" si="40"/>
        <v>0</v>
      </c>
      <c r="AV139" s="244">
        <f t="shared" si="40"/>
        <v>0</v>
      </c>
      <c r="AW139" s="244">
        <v>6</v>
      </c>
      <c r="AX139" s="244" t="s">
        <v>1628</v>
      </c>
      <c r="AY139" s="244" t="s">
        <v>1629</v>
      </c>
      <c r="AZ139" s="244" t="s">
        <v>325</v>
      </c>
      <c r="BA139" s="244" t="s">
        <v>316</v>
      </c>
      <c r="BB139" s="244"/>
    </row>
    <row r="140" spans="1:54" ht="15" hidden="1">
      <c r="A140" s="331" t="s">
        <v>702</v>
      </c>
      <c r="B140" s="295" t="str">
        <f t="shared" si="27"/>
        <v>Mut: 13 | Intuition: 15 | Charisma: 15</v>
      </c>
      <c r="C140" s="308" t="b">
        <v>0</v>
      </c>
      <c r="D140" s="308" t="b">
        <v>0</v>
      </c>
      <c r="E140" s="308" t="b">
        <f t="shared" si="28"/>
        <v>0</v>
      </c>
      <c r="F140" t="s">
        <v>336</v>
      </c>
      <c r="G140" t="s">
        <v>113</v>
      </c>
      <c r="H140" t="s">
        <v>595</v>
      </c>
      <c r="I140" t="s">
        <v>703</v>
      </c>
      <c r="J140" s="295">
        <f>_xlfn.XLOOKUP(G140,Rechner!$A$17:$A$25,Rechner!$B$17:$B$25)</f>
        <v>5</v>
      </c>
      <c r="K140" s="295" t="str">
        <f>_xlfn.XLOOKUP(J140-SUMIF($V$31:$AV$31,TRUE,V140:AV140)-IF(D140=TRUE,1,0),Rechner!$B$17:$B$25,Rechner!$A$17:$A$25,"A+")</f>
        <v>C</v>
      </c>
      <c r="L140" s="295" t="str">
        <f>_xlfn.XLOOKUP(S140,Eigenschaften!$C$20:$C$27,Eigenschaften!$B$20:$B$27)</f>
        <v>Mut</v>
      </c>
      <c r="M140" s="295">
        <f>_xlfn.XLOOKUP(L140,Eigenschaften!$B$20:$B$27,Eigenschaften!$H$20:$H$27,"NaN",1)</f>
        <v>13</v>
      </c>
      <c r="N140" s="295" t="str">
        <f>_xlfn.XLOOKUP(T140,Eigenschaften!$C$20:$C$27,Eigenschaften!$B$20:$B$27)</f>
        <v>Intuition</v>
      </c>
      <c r="O140" s="295">
        <f>_xlfn.XLOOKUP(N140,Eigenschaften!$B$20:$B$27,Eigenschaften!$H$20:$H$27,"NaN",1)</f>
        <v>15</v>
      </c>
      <c r="P140" s="295" t="str">
        <f>_xlfn.XLOOKUP(U140,Eigenschaften!$C$20:$C$27,Eigenschaften!$B$20:$B$27)</f>
        <v>Charisma</v>
      </c>
      <c r="Q140" s="295">
        <f>_xlfn.XLOOKUP(P140,Eigenschaften!$B$20:$B$27,Eigenschaften!$H$20:$H$27,"NaN",1)</f>
        <v>15</v>
      </c>
      <c r="R140" s="244"/>
      <c r="S140" s="244" t="str" cm="1">
        <f t="array" ref="S140:U140">_xlfn.TEXTSPLIT(F140,"/",,,,3)</f>
        <v>MU</v>
      </c>
      <c r="T140" s="244" t="str">
        <v>IN</v>
      </c>
      <c r="U140" s="244" t="str">
        <v>CH</v>
      </c>
      <c r="V140" s="244">
        <f t="shared" si="38"/>
        <v>0</v>
      </c>
      <c r="W140" s="244">
        <f t="shared" si="38"/>
        <v>0</v>
      </c>
      <c r="X140" s="244">
        <f t="shared" si="38"/>
        <v>0</v>
      </c>
      <c r="Y140" s="244">
        <f t="shared" si="38"/>
        <v>0</v>
      </c>
      <c r="Z140" s="244">
        <f t="shared" si="38"/>
        <v>0</v>
      </c>
      <c r="AA140" s="244">
        <f t="shared" si="38"/>
        <v>0</v>
      </c>
      <c r="AB140" s="244">
        <f t="shared" si="38"/>
        <v>0</v>
      </c>
      <c r="AC140" s="244">
        <f t="shared" si="38"/>
        <v>0</v>
      </c>
      <c r="AD140" s="244">
        <f t="shared" si="38"/>
        <v>0</v>
      </c>
      <c r="AE140" s="244">
        <f t="shared" si="38"/>
        <v>0</v>
      </c>
      <c r="AF140" s="244">
        <f t="shared" si="39"/>
        <v>1</v>
      </c>
      <c r="AG140" s="244">
        <f t="shared" si="39"/>
        <v>0</v>
      </c>
      <c r="AH140" s="244">
        <f t="shared" si="39"/>
        <v>0</v>
      </c>
      <c r="AI140" s="244">
        <f t="shared" si="39"/>
        <v>0</v>
      </c>
      <c r="AJ140" s="244">
        <f t="shared" si="39"/>
        <v>0</v>
      </c>
      <c r="AK140" s="244">
        <f t="shared" si="39"/>
        <v>0</v>
      </c>
      <c r="AL140" s="244">
        <f t="shared" si="39"/>
        <v>0</v>
      </c>
      <c r="AM140" s="244">
        <f t="shared" si="39"/>
        <v>0</v>
      </c>
      <c r="AN140" s="244">
        <f t="shared" si="39"/>
        <v>0</v>
      </c>
      <c r="AO140" s="244">
        <f t="shared" si="39"/>
        <v>0</v>
      </c>
      <c r="AP140" s="244">
        <f t="shared" si="40"/>
        <v>0</v>
      </c>
      <c r="AQ140" s="244">
        <f t="shared" si="40"/>
        <v>0</v>
      </c>
      <c r="AR140" s="244">
        <f t="shared" si="40"/>
        <v>0</v>
      </c>
      <c r="AS140" s="244">
        <f t="shared" si="40"/>
        <v>0</v>
      </c>
      <c r="AT140" s="244">
        <f t="shared" si="40"/>
        <v>0</v>
      </c>
      <c r="AU140" s="244">
        <f t="shared" si="40"/>
        <v>0</v>
      </c>
      <c r="AV140" s="244">
        <f t="shared" si="40"/>
        <v>1</v>
      </c>
      <c r="AW140" s="244"/>
      <c r="AX140" s="244"/>
      <c r="AY140" s="244"/>
      <c r="AZ140" s="244"/>
      <c r="BA140" s="244"/>
      <c r="BB140" s="244"/>
    </row>
    <row r="141" spans="1:54" ht="15" hidden="1">
      <c r="A141" s="331" t="s">
        <v>704</v>
      </c>
      <c r="B141" s="295" t="str">
        <f t="shared" si="27"/>
        <v>Klugheit: 12 | Charisma: 15 | Konstitution: 12</v>
      </c>
      <c r="C141" s="308" t="b">
        <v>0</v>
      </c>
      <c r="D141" s="308" t="b">
        <v>0</v>
      </c>
      <c r="E141" s="308" t="b">
        <f t="shared" si="28"/>
        <v>0</v>
      </c>
      <c r="F141" t="s">
        <v>406</v>
      </c>
      <c r="G141" t="s">
        <v>110</v>
      </c>
      <c r="H141" t="s">
        <v>368</v>
      </c>
      <c r="I141" t="s">
        <v>705</v>
      </c>
      <c r="J141" s="295">
        <f>_xlfn.XLOOKUP(G141,Rechner!$A$17:$A$25,Rechner!$B$17:$B$25)</f>
        <v>4</v>
      </c>
      <c r="K141" s="295" t="str">
        <f>_xlfn.XLOOKUP(J141-SUMIF($V$31:$AV$31,TRUE,V141:AV141)-IF(D141=TRUE,1,0),Rechner!$B$17:$B$25,Rechner!$A$17:$A$25,"A+")</f>
        <v>B</v>
      </c>
      <c r="L141" s="295" t="str">
        <f>_xlfn.XLOOKUP(S141,Eigenschaften!$C$20:$C$27,Eigenschaften!$B$20:$B$27)</f>
        <v>Klugheit</v>
      </c>
      <c r="M141" s="295">
        <f>_xlfn.XLOOKUP(L141,Eigenschaften!$B$20:$B$27,Eigenschaften!$H$20:$H$27,"NaN",1)</f>
        <v>12</v>
      </c>
      <c r="N141" s="295" t="str">
        <f>_xlfn.XLOOKUP(T141,Eigenschaften!$C$20:$C$27,Eigenschaften!$B$20:$B$27)</f>
        <v>Charisma</v>
      </c>
      <c r="O141" s="295">
        <f>_xlfn.XLOOKUP(N141,Eigenschaften!$B$20:$B$27,Eigenschaften!$H$20:$H$27,"NaN",1)</f>
        <v>15</v>
      </c>
      <c r="P141" s="295" t="str">
        <f>_xlfn.XLOOKUP(U141,Eigenschaften!$C$20:$C$27,Eigenschaften!$B$20:$B$27)</f>
        <v>Konstitution</v>
      </c>
      <c r="Q141" s="295">
        <f>_xlfn.XLOOKUP(P141,Eigenschaften!$B$20:$B$27,Eigenschaften!$H$20:$H$27,"NaN",1)</f>
        <v>12</v>
      </c>
      <c r="R141" s="244"/>
      <c r="S141" s="244" t="str" cm="1">
        <f t="array" ref="S141:U141">_xlfn.TEXTSPLIT(F141,"/",,,,3)</f>
        <v>KL</v>
      </c>
      <c r="T141" s="244" t="str">
        <v>CH</v>
      </c>
      <c r="U141" s="244" t="str">
        <v>KO</v>
      </c>
      <c r="V141" s="244">
        <f t="shared" si="38"/>
        <v>0</v>
      </c>
      <c r="W141" s="244">
        <f t="shared" si="38"/>
        <v>0</v>
      </c>
      <c r="X141" s="244">
        <f t="shared" si="38"/>
        <v>0</v>
      </c>
      <c r="Y141" s="244">
        <f t="shared" si="38"/>
        <v>0</v>
      </c>
      <c r="Z141" s="244">
        <f t="shared" si="38"/>
        <v>0</v>
      </c>
      <c r="AA141" s="244">
        <f t="shared" si="38"/>
        <v>0</v>
      </c>
      <c r="AB141" s="244">
        <f t="shared" si="38"/>
        <v>0</v>
      </c>
      <c r="AC141" s="244">
        <f t="shared" si="38"/>
        <v>0</v>
      </c>
      <c r="AD141" s="244">
        <f t="shared" si="38"/>
        <v>0</v>
      </c>
      <c r="AE141" s="244">
        <f t="shared" si="38"/>
        <v>0</v>
      </c>
      <c r="AF141" s="244">
        <f t="shared" si="39"/>
        <v>1</v>
      </c>
      <c r="AG141" s="244">
        <f t="shared" si="39"/>
        <v>0</v>
      </c>
      <c r="AH141" s="244">
        <f t="shared" si="39"/>
        <v>0</v>
      </c>
      <c r="AI141" s="244">
        <f t="shared" si="39"/>
        <v>0</v>
      </c>
      <c r="AJ141" s="244">
        <f t="shared" si="39"/>
        <v>0</v>
      </c>
      <c r="AK141" s="244">
        <f t="shared" si="39"/>
        <v>0</v>
      </c>
      <c r="AL141" s="244">
        <f t="shared" si="39"/>
        <v>0</v>
      </c>
      <c r="AM141" s="244">
        <f t="shared" si="39"/>
        <v>0</v>
      </c>
      <c r="AN141" s="244">
        <f t="shared" si="39"/>
        <v>0</v>
      </c>
      <c r="AO141" s="244">
        <f t="shared" si="39"/>
        <v>0</v>
      </c>
      <c r="AP141" s="244">
        <f t="shared" si="40"/>
        <v>0</v>
      </c>
      <c r="AQ141" s="244">
        <f t="shared" si="40"/>
        <v>0</v>
      </c>
      <c r="AR141" s="244">
        <f t="shared" si="40"/>
        <v>0</v>
      </c>
      <c r="AS141" s="244">
        <f t="shared" si="40"/>
        <v>0</v>
      </c>
      <c r="AT141" s="244">
        <f t="shared" si="40"/>
        <v>0</v>
      </c>
      <c r="AU141" s="244">
        <f t="shared" si="40"/>
        <v>0</v>
      </c>
      <c r="AV141" s="244">
        <f t="shared" si="40"/>
        <v>0</v>
      </c>
      <c r="AW141" s="244"/>
      <c r="AX141" s="244"/>
      <c r="AY141" s="244"/>
      <c r="AZ141" s="244"/>
      <c r="BA141" s="244"/>
      <c r="BB141" s="244"/>
    </row>
    <row r="142" spans="1:54" ht="15" hidden="1">
      <c r="A142" s="331" t="s">
        <v>706</v>
      </c>
      <c r="B142" s="295" t="str">
        <f t="shared" si="27"/>
        <v>Intuition: 15 | Intuition: 15 | Fingerfertigkeit: 10</v>
      </c>
      <c r="C142" s="308" t="b">
        <v>0</v>
      </c>
      <c r="D142" s="308" t="b">
        <v>0</v>
      </c>
      <c r="E142" s="308" t="b">
        <f t="shared" si="28"/>
        <v>0</v>
      </c>
      <c r="F142" t="s">
        <v>707</v>
      </c>
      <c r="G142" t="s">
        <v>110</v>
      </c>
      <c r="H142" t="s">
        <v>382</v>
      </c>
      <c r="I142" t="s">
        <v>565</v>
      </c>
      <c r="J142" s="295">
        <f>_xlfn.XLOOKUP(G142,Rechner!$A$17:$A$25,Rechner!$B$17:$B$25)</f>
        <v>4</v>
      </c>
      <c r="K142" s="295" t="str">
        <f>_xlfn.XLOOKUP(J142-SUMIF($V$31:$AV$31,TRUE,V142:AV142)-IF(D142=TRUE,1,0),Rechner!$B$17:$B$25,Rechner!$A$17:$A$25,"A+")</f>
        <v>C</v>
      </c>
      <c r="L142" s="295" t="str">
        <f>_xlfn.XLOOKUP(S142,Eigenschaften!$C$20:$C$27,Eigenschaften!$B$20:$B$27)</f>
        <v>Intuition</v>
      </c>
      <c r="M142" s="295">
        <f>_xlfn.XLOOKUP(L142,Eigenschaften!$B$20:$B$27,Eigenschaften!$H$20:$H$27,"NaN",1)</f>
        <v>15</v>
      </c>
      <c r="N142" s="295" t="str">
        <f>_xlfn.XLOOKUP(T142,Eigenschaften!$C$20:$C$27,Eigenschaften!$B$20:$B$27)</f>
        <v>Intuition</v>
      </c>
      <c r="O142" s="295">
        <f>_xlfn.XLOOKUP(N142,Eigenschaften!$B$20:$B$27,Eigenschaften!$H$20:$H$27,"NaN",1)</f>
        <v>15</v>
      </c>
      <c r="P142" s="295" t="str">
        <f>_xlfn.XLOOKUP(U142,Eigenschaften!$C$20:$C$27,Eigenschaften!$B$20:$B$27)</f>
        <v>Fingerfertigkeit</v>
      </c>
      <c r="Q142" s="295">
        <f>_xlfn.XLOOKUP(P142,Eigenschaften!$B$20:$B$27,Eigenschaften!$H$20:$H$27,"NaN",1)</f>
        <v>10</v>
      </c>
      <c r="R142" s="244"/>
      <c r="S142" s="244" t="str" cm="1">
        <f t="array" ref="S142:U142">_xlfn.TEXTSPLIT(F142,"/",,,,3)</f>
        <v>IN</v>
      </c>
      <c r="T142" s="244" t="str">
        <v>IN</v>
      </c>
      <c r="U142" s="244" t="str">
        <v>FF</v>
      </c>
      <c r="V142" s="244">
        <f t="shared" si="38"/>
        <v>0</v>
      </c>
      <c r="W142" s="244">
        <f t="shared" si="38"/>
        <v>0</v>
      </c>
      <c r="X142" s="244">
        <f t="shared" si="38"/>
        <v>0</v>
      </c>
      <c r="Y142" s="244">
        <f t="shared" si="38"/>
        <v>0</v>
      </c>
      <c r="Z142" s="244">
        <f t="shared" si="38"/>
        <v>0</v>
      </c>
      <c r="AA142" s="244">
        <f t="shared" si="38"/>
        <v>0</v>
      </c>
      <c r="AB142" s="244">
        <f t="shared" si="38"/>
        <v>0</v>
      </c>
      <c r="AC142" s="244">
        <f t="shared" si="38"/>
        <v>0</v>
      </c>
      <c r="AD142" s="244">
        <f t="shared" si="38"/>
        <v>0</v>
      </c>
      <c r="AE142" s="244">
        <f t="shared" si="38"/>
        <v>0</v>
      </c>
      <c r="AF142" s="244">
        <f t="shared" si="39"/>
        <v>0</v>
      </c>
      <c r="AG142" s="244">
        <f t="shared" si="39"/>
        <v>0</v>
      </c>
      <c r="AH142" s="244">
        <f t="shared" si="39"/>
        <v>0</v>
      </c>
      <c r="AI142" s="244">
        <f t="shared" si="39"/>
        <v>0</v>
      </c>
      <c r="AJ142" s="244">
        <f t="shared" si="39"/>
        <v>0</v>
      </c>
      <c r="AK142" s="244">
        <f t="shared" si="39"/>
        <v>0</v>
      </c>
      <c r="AL142" s="244">
        <f t="shared" si="39"/>
        <v>0</v>
      </c>
      <c r="AM142" s="244">
        <f t="shared" si="39"/>
        <v>0</v>
      </c>
      <c r="AN142" s="244">
        <f t="shared" si="39"/>
        <v>0</v>
      </c>
      <c r="AO142" s="244">
        <f t="shared" si="39"/>
        <v>0</v>
      </c>
      <c r="AP142" s="244">
        <f t="shared" si="40"/>
        <v>0</v>
      </c>
      <c r="AQ142" s="244">
        <f t="shared" si="40"/>
        <v>0</v>
      </c>
      <c r="AR142" s="244">
        <f t="shared" si="40"/>
        <v>0</v>
      </c>
      <c r="AS142" s="244">
        <f t="shared" si="40"/>
        <v>0</v>
      </c>
      <c r="AT142" s="244">
        <f t="shared" si="40"/>
        <v>0</v>
      </c>
      <c r="AU142" s="244">
        <f t="shared" si="40"/>
        <v>1</v>
      </c>
      <c r="AV142" s="244">
        <f t="shared" si="40"/>
        <v>0</v>
      </c>
      <c r="AW142" s="244"/>
      <c r="AX142" s="244"/>
      <c r="AY142" s="244"/>
      <c r="AZ142" s="244"/>
      <c r="BA142" s="244"/>
      <c r="BB142" s="244"/>
    </row>
    <row r="143" spans="1:54" ht="15" hidden="1">
      <c r="A143" s="331" t="s">
        <v>708</v>
      </c>
      <c r="B143" s="295" t="str">
        <f t="shared" si="27"/>
        <v>Mut: 13 | Intuition: 15 | Charisma: 15</v>
      </c>
      <c r="C143" s="308" t="b">
        <v>0</v>
      </c>
      <c r="D143" s="308" t="b">
        <v>0</v>
      </c>
      <c r="E143" s="308" t="b">
        <f t="shared" si="28"/>
        <v>1</v>
      </c>
      <c r="F143" t="s">
        <v>336</v>
      </c>
      <c r="G143" t="s">
        <v>110</v>
      </c>
      <c r="H143" t="s">
        <v>368</v>
      </c>
      <c r="I143" t="s">
        <v>709</v>
      </c>
      <c r="J143" s="295">
        <f>_xlfn.XLOOKUP(G143,Rechner!$A$17:$A$25,Rechner!$B$17:$B$25)</f>
        <v>4</v>
      </c>
      <c r="K143" s="295" t="str">
        <f>_xlfn.XLOOKUP(J143-SUMIF($V$31:$AV$31,TRUE,V143:AV143)-IF(D143=TRUE,1,0),Rechner!$B$17:$B$25,Rechner!$A$17:$A$25,"A+")</f>
        <v>B</v>
      </c>
      <c r="L143" s="295" t="str">
        <f>_xlfn.XLOOKUP(S143,Eigenschaften!$C$20:$C$27,Eigenschaften!$B$20:$B$27)</f>
        <v>Mut</v>
      </c>
      <c r="M143" s="295">
        <f>_xlfn.XLOOKUP(L143,Eigenschaften!$B$20:$B$27,Eigenschaften!$H$20:$H$27,"NaN",1)</f>
        <v>13</v>
      </c>
      <c r="N143" s="295" t="str">
        <f>_xlfn.XLOOKUP(T143,Eigenschaften!$C$20:$C$27,Eigenschaften!$B$20:$B$27)</f>
        <v>Intuition</v>
      </c>
      <c r="O143" s="295">
        <f>_xlfn.XLOOKUP(N143,Eigenschaften!$B$20:$B$27,Eigenschaften!$H$20:$H$27,"NaN",1)</f>
        <v>15</v>
      </c>
      <c r="P143" s="295" t="str">
        <f>_xlfn.XLOOKUP(U143,Eigenschaften!$C$20:$C$27,Eigenschaften!$B$20:$B$27)</f>
        <v>Charisma</v>
      </c>
      <c r="Q143" s="295">
        <f>_xlfn.XLOOKUP(P143,Eigenschaften!$B$20:$B$27,Eigenschaften!$H$20:$H$27,"NaN",1)</f>
        <v>15</v>
      </c>
      <c r="R143" s="244"/>
      <c r="S143" s="244" t="str" cm="1">
        <f t="array" ref="S143:U143">_xlfn.TEXTSPLIT(F143,"/",,,,3)</f>
        <v>MU</v>
      </c>
      <c r="T143" s="244" t="str">
        <v>IN</v>
      </c>
      <c r="U143" s="244" t="str">
        <v>CH</v>
      </c>
      <c r="V143" s="244">
        <f t="shared" si="38"/>
        <v>0</v>
      </c>
      <c r="W143" s="244">
        <f t="shared" si="38"/>
        <v>0</v>
      </c>
      <c r="X143" s="244">
        <f t="shared" si="38"/>
        <v>0</v>
      </c>
      <c r="Y143" s="244">
        <f t="shared" si="38"/>
        <v>0</v>
      </c>
      <c r="Z143" s="244">
        <f t="shared" si="38"/>
        <v>0</v>
      </c>
      <c r="AA143" s="244">
        <f t="shared" si="38"/>
        <v>0</v>
      </c>
      <c r="AB143" s="244">
        <f t="shared" si="38"/>
        <v>0</v>
      </c>
      <c r="AC143" s="244">
        <f t="shared" si="38"/>
        <v>0</v>
      </c>
      <c r="AD143" s="244">
        <f t="shared" si="38"/>
        <v>0</v>
      </c>
      <c r="AE143" s="244">
        <f t="shared" si="38"/>
        <v>0</v>
      </c>
      <c r="AF143" s="244">
        <f t="shared" si="39"/>
        <v>1</v>
      </c>
      <c r="AG143" s="244">
        <f t="shared" si="39"/>
        <v>0</v>
      </c>
      <c r="AH143" s="244">
        <f t="shared" si="39"/>
        <v>0</v>
      </c>
      <c r="AI143" s="244">
        <f t="shared" si="39"/>
        <v>0</v>
      </c>
      <c r="AJ143" s="244">
        <f t="shared" si="39"/>
        <v>0</v>
      </c>
      <c r="AK143" s="244">
        <f t="shared" si="39"/>
        <v>0</v>
      </c>
      <c r="AL143" s="244">
        <f t="shared" si="39"/>
        <v>0</v>
      </c>
      <c r="AM143" s="244">
        <f t="shared" si="39"/>
        <v>0</v>
      </c>
      <c r="AN143" s="244">
        <f t="shared" si="39"/>
        <v>0</v>
      </c>
      <c r="AO143" s="244">
        <f t="shared" si="39"/>
        <v>0</v>
      </c>
      <c r="AP143" s="244">
        <f t="shared" si="40"/>
        <v>0</v>
      </c>
      <c r="AQ143" s="244">
        <f t="shared" si="40"/>
        <v>0</v>
      </c>
      <c r="AR143" s="244">
        <f t="shared" si="40"/>
        <v>0</v>
      </c>
      <c r="AS143" s="244">
        <f t="shared" si="40"/>
        <v>0</v>
      </c>
      <c r="AT143" s="244">
        <f t="shared" si="40"/>
        <v>0</v>
      </c>
      <c r="AU143" s="244">
        <f t="shared" si="40"/>
        <v>0</v>
      </c>
      <c r="AV143" s="244">
        <f t="shared" si="40"/>
        <v>0</v>
      </c>
      <c r="AW143" s="244"/>
      <c r="AX143" s="244"/>
      <c r="AY143" s="244"/>
      <c r="AZ143" s="244"/>
      <c r="BA143" s="244"/>
      <c r="BB143" s="244"/>
    </row>
    <row r="144" spans="1:54" ht="15" hidden="1">
      <c r="A144" s="331" t="s">
        <v>710</v>
      </c>
      <c r="B144" s="295" t="str">
        <f t="shared" si="27"/>
        <v>Klugheit: 12 | Fingerfertigkeit: 10 | Konstitution: 12</v>
      </c>
      <c r="C144" s="308" t="b">
        <v>0</v>
      </c>
      <c r="D144" s="308" t="b">
        <v>0</v>
      </c>
      <c r="E144" s="308" t="b">
        <f t="shared" si="28"/>
        <v>0</v>
      </c>
      <c r="F144" t="s">
        <v>295</v>
      </c>
      <c r="G144" t="s">
        <v>110</v>
      </c>
      <c r="H144" t="s">
        <v>711</v>
      </c>
      <c r="I144" t="s">
        <v>436</v>
      </c>
      <c r="J144" s="295">
        <f>_xlfn.XLOOKUP(G144,Rechner!$A$17:$A$25,Rechner!$B$17:$B$25)</f>
        <v>4</v>
      </c>
      <c r="K144" s="295" t="str">
        <f>_xlfn.XLOOKUP(J144-SUMIF($V$31:$AV$31,TRUE,V144:AV144)-IF(D144=TRUE,1,0),Rechner!$B$17:$B$25,Rechner!$A$17:$A$25,"A+")</f>
        <v>C</v>
      </c>
      <c r="L144" s="295" t="str">
        <f>_xlfn.XLOOKUP(S144,Eigenschaften!$C$20:$C$27,Eigenschaften!$B$20:$B$27)</f>
        <v>Klugheit</v>
      </c>
      <c r="M144" s="295">
        <f>_xlfn.XLOOKUP(L144,Eigenschaften!$B$20:$B$27,Eigenschaften!$H$20:$H$27,"NaN",1)</f>
        <v>12</v>
      </c>
      <c r="N144" s="295" t="str">
        <f>_xlfn.XLOOKUP(T144,Eigenschaften!$C$20:$C$27,Eigenschaften!$B$20:$B$27)</f>
        <v>Fingerfertigkeit</v>
      </c>
      <c r="O144" s="295">
        <f>_xlfn.XLOOKUP(N144,Eigenschaften!$B$20:$B$27,Eigenschaften!$H$20:$H$27,"NaN",1)</f>
        <v>10</v>
      </c>
      <c r="P144" s="295" t="str">
        <f>_xlfn.XLOOKUP(U144,Eigenschaften!$C$20:$C$27,Eigenschaften!$B$20:$B$27)</f>
        <v>Konstitution</v>
      </c>
      <c r="Q144" s="295">
        <f>_xlfn.XLOOKUP(P144,Eigenschaften!$B$20:$B$27,Eigenschaften!$H$20:$H$27,"NaN",1)</f>
        <v>12</v>
      </c>
      <c r="R144" s="244"/>
      <c r="S144" s="244" t="str" cm="1">
        <f t="array" ref="S144:U144">_xlfn.TEXTSPLIT(F144,"/",,,,3)</f>
        <v>KL</v>
      </c>
      <c r="T144" s="244" t="str">
        <v>FF</v>
      </c>
      <c r="U144" s="244" t="str">
        <v>KO</v>
      </c>
      <c r="V144" s="244">
        <f t="shared" si="38"/>
        <v>0</v>
      </c>
      <c r="W144" s="244">
        <f t="shared" si="38"/>
        <v>0</v>
      </c>
      <c r="X144" s="244">
        <f t="shared" si="38"/>
        <v>0</v>
      </c>
      <c r="Y144" s="244">
        <f t="shared" si="38"/>
        <v>1</v>
      </c>
      <c r="Z144" s="244">
        <f t="shared" si="38"/>
        <v>1</v>
      </c>
      <c r="AA144" s="244">
        <f t="shared" si="38"/>
        <v>0</v>
      </c>
      <c r="AB144" s="244">
        <f t="shared" si="38"/>
        <v>0</v>
      </c>
      <c r="AC144" s="244">
        <f t="shared" si="38"/>
        <v>0</v>
      </c>
      <c r="AD144" s="244">
        <f t="shared" si="38"/>
        <v>0</v>
      </c>
      <c r="AE144" s="244">
        <f t="shared" si="38"/>
        <v>0</v>
      </c>
      <c r="AF144" s="244">
        <f t="shared" si="39"/>
        <v>0</v>
      </c>
      <c r="AG144" s="244">
        <f t="shared" si="39"/>
        <v>0</v>
      </c>
      <c r="AH144" s="244">
        <f t="shared" si="39"/>
        <v>0</v>
      </c>
      <c r="AI144" s="244">
        <f t="shared" si="39"/>
        <v>0</v>
      </c>
      <c r="AJ144" s="244">
        <f t="shared" si="39"/>
        <v>0</v>
      </c>
      <c r="AK144" s="244">
        <f t="shared" si="39"/>
        <v>0</v>
      </c>
      <c r="AL144" s="244">
        <f t="shared" si="39"/>
        <v>0</v>
      </c>
      <c r="AM144" s="244">
        <f t="shared" si="39"/>
        <v>0</v>
      </c>
      <c r="AN144" s="244">
        <f t="shared" si="39"/>
        <v>0</v>
      </c>
      <c r="AO144" s="244">
        <f t="shared" si="39"/>
        <v>0</v>
      </c>
      <c r="AP144" s="244">
        <f t="shared" si="40"/>
        <v>0</v>
      </c>
      <c r="AQ144" s="244">
        <f t="shared" si="40"/>
        <v>0</v>
      </c>
      <c r="AR144" s="244">
        <f t="shared" si="40"/>
        <v>1</v>
      </c>
      <c r="AS144" s="244">
        <f t="shared" si="40"/>
        <v>0</v>
      </c>
      <c r="AT144" s="244">
        <f t="shared" si="40"/>
        <v>0</v>
      </c>
      <c r="AU144" s="244">
        <f t="shared" si="40"/>
        <v>0</v>
      </c>
      <c r="AV144" s="244">
        <f t="shared" si="40"/>
        <v>0</v>
      </c>
      <c r="AW144" s="244"/>
      <c r="AX144" s="244"/>
      <c r="AY144" s="244"/>
      <c r="AZ144" s="244"/>
      <c r="BA144" s="244"/>
      <c r="BB144" s="244"/>
    </row>
    <row r="145" spans="1:54" ht="15" hidden="1">
      <c r="A145" s="331" t="s">
        <v>712</v>
      </c>
      <c r="B145" s="295" t="str">
        <f t="shared" si="27"/>
        <v>Mut: 13 | Intuition: 15 | Konstitution: 12</v>
      </c>
      <c r="C145" s="308" t="b">
        <v>0</v>
      </c>
      <c r="D145" s="308" t="b">
        <v>0</v>
      </c>
      <c r="E145" s="308" t="b">
        <f t="shared" si="28"/>
        <v>0</v>
      </c>
      <c r="F145" t="s">
        <v>310</v>
      </c>
      <c r="G145" t="s">
        <v>113</v>
      </c>
      <c r="H145" t="s">
        <v>713</v>
      </c>
      <c r="I145" t="s">
        <v>440</v>
      </c>
      <c r="J145" s="295">
        <f>_xlfn.XLOOKUP(G145,Rechner!$A$17:$A$25,Rechner!$B$17:$B$25)</f>
        <v>5</v>
      </c>
      <c r="K145" s="295" t="str">
        <f>_xlfn.XLOOKUP(J145-SUMIF($V$31:$AV$31,TRUE,V145:AV145)-IF(D145=TRUE,1,0),Rechner!$B$17:$B$25,Rechner!$A$17:$A$25,"A+")</f>
        <v>D</v>
      </c>
      <c r="L145" s="295" t="str">
        <f>_xlfn.XLOOKUP(S145,Eigenschaften!$C$20:$C$27,Eigenschaften!$B$20:$B$27)</f>
        <v>Mut</v>
      </c>
      <c r="M145" s="295">
        <f>_xlfn.XLOOKUP(L145,Eigenschaften!$B$20:$B$27,Eigenschaften!$H$20:$H$27,"NaN",1)</f>
        <v>13</v>
      </c>
      <c r="N145" s="295" t="str">
        <f>_xlfn.XLOOKUP(T145,Eigenschaften!$C$20:$C$27,Eigenschaften!$B$20:$B$27)</f>
        <v>Intuition</v>
      </c>
      <c r="O145" s="295">
        <f>_xlfn.XLOOKUP(N145,Eigenschaften!$B$20:$B$27,Eigenschaften!$H$20:$H$27,"NaN",1)</f>
        <v>15</v>
      </c>
      <c r="P145" s="295" t="str">
        <f>_xlfn.XLOOKUP(U145,Eigenschaften!$C$20:$C$27,Eigenschaften!$B$20:$B$27)</f>
        <v>Konstitution</v>
      </c>
      <c r="Q145" s="295">
        <f>_xlfn.XLOOKUP(P145,Eigenschaften!$B$20:$B$27,Eigenschaften!$H$20:$H$27,"NaN",1)</f>
        <v>12</v>
      </c>
      <c r="R145" s="244"/>
      <c r="S145" s="244" t="str" cm="1">
        <f t="array" ref="S145:U145">_xlfn.TEXTSPLIT(F145,"/",,,,3)</f>
        <v>MU</v>
      </c>
      <c r="T145" s="244" t="str">
        <v>IN</v>
      </c>
      <c r="U145" s="244" t="str">
        <v>KO</v>
      </c>
      <c r="V145" s="244">
        <f t="shared" si="38"/>
        <v>0</v>
      </c>
      <c r="W145" s="244">
        <f t="shared" si="38"/>
        <v>0</v>
      </c>
      <c r="X145" s="244">
        <f t="shared" si="38"/>
        <v>0</v>
      </c>
      <c r="Y145" s="244">
        <f t="shared" si="38"/>
        <v>1</v>
      </c>
      <c r="Z145" s="244">
        <f t="shared" si="38"/>
        <v>1</v>
      </c>
      <c r="AA145" s="244">
        <f t="shared" si="38"/>
        <v>0</v>
      </c>
      <c r="AB145" s="244">
        <f t="shared" si="38"/>
        <v>0</v>
      </c>
      <c r="AC145" s="244">
        <f t="shared" si="38"/>
        <v>0</v>
      </c>
      <c r="AD145" s="244">
        <f t="shared" si="38"/>
        <v>0</v>
      </c>
      <c r="AE145" s="244">
        <f t="shared" si="38"/>
        <v>0</v>
      </c>
      <c r="AF145" s="244">
        <f t="shared" si="39"/>
        <v>0</v>
      </c>
      <c r="AG145" s="244">
        <f t="shared" si="39"/>
        <v>0</v>
      </c>
      <c r="AH145" s="244">
        <f t="shared" si="39"/>
        <v>0</v>
      </c>
      <c r="AI145" s="244">
        <f t="shared" si="39"/>
        <v>0</v>
      </c>
      <c r="AJ145" s="244">
        <f t="shared" si="39"/>
        <v>0</v>
      </c>
      <c r="AK145" s="244">
        <f t="shared" si="39"/>
        <v>0</v>
      </c>
      <c r="AL145" s="244">
        <f t="shared" si="39"/>
        <v>0</v>
      </c>
      <c r="AM145" s="244">
        <f t="shared" si="39"/>
        <v>0</v>
      </c>
      <c r="AN145" s="244">
        <f t="shared" si="39"/>
        <v>0</v>
      </c>
      <c r="AO145" s="244">
        <f t="shared" si="39"/>
        <v>0</v>
      </c>
      <c r="AP145" s="244">
        <f t="shared" si="40"/>
        <v>0</v>
      </c>
      <c r="AQ145" s="244">
        <f t="shared" si="40"/>
        <v>0</v>
      </c>
      <c r="AR145" s="244">
        <f t="shared" si="40"/>
        <v>1</v>
      </c>
      <c r="AS145" s="244">
        <f t="shared" si="40"/>
        <v>1</v>
      </c>
      <c r="AT145" s="244">
        <f t="shared" si="40"/>
        <v>0</v>
      </c>
      <c r="AU145" s="244">
        <f t="shared" si="40"/>
        <v>0</v>
      </c>
      <c r="AV145" s="244">
        <f t="shared" si="40"/>
        <v>0</v>
      </c>
      <c r="AW145" s="244"/>
      <c r="AX145" s="244"/>
      <c r="AY145" s="244"/>
      <c r="AZ145" s="244"/>
      <c r="BA145" s="244"/>
      <c r="BB145" s="244"/>
    </row>
    <row r="146" spans="1:54" ht="15" hidden="1">
      <c r="A146" s="331" t="s">
        <v>715</v>
      </c>
      <c r="B146" s="295" t="str">
        <f t="shared" si="27"/>
        <v>Klugheit: 12 | Fingerfertigkeit: 10 | Konstitution: 12</v>
      </c>
      <c r="C146" s="308" t="b">
        <v>0</v>
      </c>
      <c r="D146" s="308" t="b">
        <v>0</v>
      </c>
      <c r="E146" s="308" t="b">
        <f t="shared" si="28"/>
        <v>0</v>
      </c>
      <c r="F146" t="s">
        <v>295</v>
      </c>
      <c r="G146" t="s">
        <v>110</v>
      </c>
      <c r="H146" t="s">
        <v>716</v>
      </c>
      <c r="I146" t="s">
        <v>717</v>
      </c>
      <c r="J146" s="295">
        <f>_xlfn.XLOOKUP(G146,Rechner!$A$17:$A$25,Rechner!$B$17:$B$25)</f>
        <v>4</v>
      </c>
      <c r="K146" s="295" t="str">
        <f>_xlfn.XLOOKUP(J146-SUMIF($V$31:$AV$31,TRUE,V146:AV146)-IF(D146=TRUE,1,0),Rechner!$B$17:$B$25,Rechner!$A$17:$A$25,"A+")</f>
        <v>C</v>
      </c>
      <c r="L146" s="295" t="str">
        <f>_xlfn.XLOOKUP(S146,Eigenschaften!$C$20:$C$27,Eigenschaften!$B$20:$B$27)</f>
        <v>Klugheit</v>
      </c>
      <c r="M146" s="295">
        <f>_xlfn.XLOOKUP(L146,Eigenschaften!$B$20:$B$27,Eigenschaften!$H$20:$H$27,"NaN",1)</f>
        <v>12</v>
      </c>
      <c r="N146" s="295" t="str">
        <f>_xlfn.XLOOKUP(T146,Eigenschaften!$C$20:$C$27,Eigenschaften!$B$20:$B$27)</f>
        <v>Fingerfertigkeit</v>
      </c>
      <c r="O146" s="295">
        <f>_xlfn.XLOOKUP(N146,Eigenschaften!$B$20:$B$27,Eigenschaften!$H$20:$H$27,"NaN",1)</f>
        <v>10</v>
      </c>
      <c r="P146" s="295" t="str">
        <f>_xlfn.XLOOKUP(U146,Eigenschaften!$C$20:$C$27,Eigenschaften!$B$20:$B$27)</f>
        <v>Konstitution</v>
      </c>
      <c r="Q146" s="295">
        <f>_xlfn.XLOOKUP(P146,Eigenschaften!$B$20:$B$27,Eigenschaften!$H$20:$H$27,"NaN",1)</f>
        <v>12</v>
      </c>
      <c r="R146" s="244"/>
      <c r="S146" s="244" t="str" cm="1">
        <f t="array" ref="S146:U146">_xlfn.TEXTSPLIT(F146,"/",,,,3)</f>
        <v>KL</v>
      </c>
      <c r="T146" s="244" t="str">
        <v>FF</v>
      </c>
      <c r="U146" s="244" t="str">
        <v>KO</v>
      </c>
      <c r="V146" s="244">
        <f t="shared" ref="V146:AE155" si="41">IF(ISNUMBER(SEARCH(V$32,$H146)),1,0)</f>
        <v>0</v>
      </c>
      <c r="W146" s="244">
        <f t="shared" si="41"/>
        <v>0</v>
      </c>
      <c r="X146" s="244">
        <f t="shared" si="41"/>
        <v>0</v>
      </c>
      <c r="Y146" s="244">
        <f t="shared" si="41"/>
        <v>1</v>
      </c>
      <c r="Z146" s="244">
        <f t="shared" si="41"/>
        <v>0</v>
      </c>
      <c r="AA146" s="244">
        <f t="shared" si="41"/>
        <v>1</v>
      </c>
      <c r="AB146" s="244">
        <f t="shared" si="41"/>
        <v>0</v>
      </c>
      <c r="AC146" s="244">
        <f t="shared" si="41"/>
        <v>0</v>
      </c>
      <c r="AD146" s="244">
        <f t="shared" si="41"/>
        <v>0</v>
      </c>
      <c r="AE146" s="244">
        <f t="shared" si="41"/>
        <v>0</v>
      </c>
      <c r="AF146" s="244">
        <f t="shared" ref="AF146:AO155" si="42">IF(ISNUMBER(SEARCH(AF$32,$H146)),1,0)</f>
        <v>0</v>
      </c>
      <c r="AG146" s="244">
        <f t="shared" si="42"/>
        <v>0</v>
      </c>
      <c r="AH146" s="244">
        <f t="shared" si="42"/>
        <v>0</v>
      </c>
      <c r="AI146" s="244">
        <f t="shared" si="42"/>
        <v>0</v>
      </c>
      <c r="AJ146" s="244">
        <f t="shared" si="42"/>
        <v>0</v>
      </c>
      <c r="AK146" s="244">
        <f t="shared" si="42"/>
        <v>0</v>
      </c>
      <c r="AL146" s="244">
        <f t="shared" si="42"/>
        <v>0</v>
      </c>
      <c r="AM146" s="244">
        <f t="shared" si="42"/>
        <v>0</v>
      </c>
      <c r="AN146" s="244">
        <f t="shared" si="42"/>
        <v>0</v>
      </c>
      <c r="AO146" s="244">
        <f t="shared" si="42"/>
        <v>0</v>
      </c>
      <c r="AP146" s="244">
        <f t="shared" ref="AP146:AV155" si="43">IF(ISNUMBER(SEARCH(AP$32,$H146)),1,0)</f>
        <v>0</v>
      </c>
      <c r="AQ146" s="244">
        <f t="shared" si="43"/>
        <v>0</v>
      </c>
      <c r="AR146" s="244">
        <f t="shared" si="43"/>
        <v>1</v>
      </c>
      <c r="AS146" s="244">
        <f t="shared" si="43"/>
        <v>0</v>
      </c>
      <c r="AT146" s="244">
        <f t="shared" si="43"/>
        <v>0</v>
      </c>
      <c r="AU146" s="244">
        <f t="shared" si="43"/>
        <v>0</v>
      </c>
      <c r="AV146" s="244">
        <f t="shared" si="43"/>
        <v>0</v>
      </c>
      <c r="AW146" s="244"/>
      <c r="AX146" s="244"/>
      <c r="AY146" s="244"/>
      <c r="AZ146" s="244"/>
      <c r="BA146" s="244"/>
      <c r="BB146" s="244"/>
    </row>
    <row r="147" spans="1:54" ht="15" hidden="1">
      <c r="A147" s="331" t="s">
        <v>718</v>
      </c>
      <c r="B147" s="295" t="str">
        <f t="shared" si="27"/>
        <v>Mut: 13 | Intuition: 15 | Konstitution: 12</v>
      </c>
      <c r="C147" s="308" t="b">
        <v>0</v>
      </c>
      <c r="D147" s="308" t="b">
        <v>0</v>
      </c>
      <c r="E147" s="308" t="b">
        <f t="shared" si="28"/>
        <v>0</v>
      </c>
      <c r="F147" t="s">
        <v>310</v>
      </c>
      <c r="G147" t="s">
        <v>113</v>
      </c>
      <c r="H147" t="s">
        <v>719</v>
      </c>
      <c r="I147" t="s">
        <v>720</v>
      </c>
      <c r="J147" s="295">
        <f>_xlfn.XLOOKUP(G147,Rechner!$A$17:$A$25,Rechner!$B$17:$B$25)</f>
        <v>5</v>
      </c>
      <c r="K147" s="295" t="str">
        <f>_xlfn.XLOOKUP(J147-SUMIF($V$31:$AV$31,TRUE,V147:AV147)-IF(D147=TRUE,1,0),Rechner!$B$17:$B$25,Rechner!$A$17:$A$25,"A+")</f>
        <v>D</v>
      </c>
      <c r="L147" s="295" t="str">
        <f>_xlfn.XLOOKUP(S147,Eigenschaften!$C$20:$C$27,Eigenschaften!$B$20:$B$27)</f>
        <v>Mut</v>
      </c>
      <c r="M147" s="295">
        <f>_xlfn.XLOOKUP(L147,Eigenschaften!$B$20:$B$27,Eigenschaften!$H$20:$H$27,"NaN",1)</f>
        <v>13</v>
      </c>
      <c r="N147" s="295" t="str">
        <f>_xlfn.XLOOKUP(T147,Eigenschaften!$C$20:$C$27,Eigenschaften!$B$20:$B$27)</f>
        <v>Intuition</v>
      </c>
      <c r="O147" s="295">
        <f>_xlfn.XLOOKUP(N147,Eigenschaften!$B$20:$B$27,Eigenschaften!$H$20:$H$27,"NaN",1)</f>
        <v>15</v>
      </c>
      <c r="P147" s="295" t="str">
        <f>_xlfn.XLOOKUP(U147,Eigenschaften!$C$20:$C$27,Eigenschaften!$B$20:$B$27)</f>
        <v>Konstitution</v>
      </c>
      <c r="Q147" s="295">
        <f>_xlfn.XLOOKUP(P147,Eigenschaften!$B$20:$B$27,Eigenschaften!$H$20:$H$27,"NaN",1)</f>
        <v>12</v>
      </c>
      <c r="R147" s="244"/>
      <c r="S147" s="244" t="str" cm="1">
        <f t="array" ref="S147:U147">_xlfn.TEXTSPLIT(F147,"/",,,,3)</f>
        <v>MU</v>
      </c>
      <c r="T147" s="244" t="str">
        <v>IN</v>
      </c>
      <c r="U147" s="244" t="str">
        <v>KO</v>
      </c>
      <c r="V147" s="244">
        <f t="shared" si="41"/>
        <v>0</v>
      </c>
      <c r="W147" s="244">
        <f t="shared" si="41"/>
        <v>0</v>
      </c>
      <c r="X147" s="244">
        <f t="shared" si="41"/>
        <v>0</v>
      </c>
      <c r="Y147" s="244">
        <f t="shared" si="41"/>
        <v>1</v>
      </c>
      <c r="Z147" s="244">
        <f t="shared" si="41"/>
        <v>0</v>
      </c>
      <c r="AA147" s="244">
        <f t="shared" si="41"/>
        <v>1</v>
      </c>
      <c r="AB147" s="244">
        <f t="shared" si="41"/>
        <v>0</v>
      </c>
      <c r="AC147" s="244">
        <f t="shared" si="41"/>
        <v>0</v>
      </c>
      <c r="AD147" s="244">
        <f t="shared" si="41"/>
        <v>0</v>
      </c>
      <c r="AE147" s="244">
        <f t="shared" si="41"/>
        <v>0</v>
      </c>
      <c r="AF147" s="244">
        <f t="shared" si="42"/>
        <v>0</v>
      </c>
      <c r="AG147" s="244">
        <f t="shared" si="42"/>
        <v>0</v>
      </c>
      <c r="AH147" s="244">
        <f t="shared" si="42"/>
        <v>0</v>
      </c>
      <c r="AI147" s="244">
        <f t="shared" si="42"/>
        <v>0</v>
      </c>
      <c r="AJ147" s="244">
        <f t="shared" si="42"/>
        <v>0</v>
      </c>
      <c r="AK147" s="244">
        <f t="shared" si="42"/>
        <v>0</v>
      </c>
      <c r="AL147" s="244">
        <f t="shared" si="42"/>
        <v>0</v>
      </c>
      <c r="AM147" s="244">
        <f t="shared" si="42"/>
        <v>0</v>
      </c>
      <c r="AN147" s="244">
        <f t="shared" si="42"/>
        <v>0</v>
      </c>
      <c r="AO147" s="244">
        <f t="shared" si="42"/>
        <v>0</v>
      </c>
      <c r="AP147" s="244">
        <f t="shared" si="43"/>
        <v>0</v>
      </c>
      <c r="AQ147" s="244">
        <f t="shared" si="43"/>
        <v>0</v>
      </c>
      <c r="AR147" s="244">
        <f t="shared" si="43"/>
        <v>1</v>
      </c>
      <c r="AS147" s="244">
        <f t="shared" si="43"/>
        <v>1</v>
      </c>
      <c r="AT147" s="244">
        <f t="shared" si="43"/>
        <v>0</v>
      </c>
      <c r="AU147" s="244">
        <f t="shared" si="43"/>
        <v>0</v>
      </c>
      <c r="AV147" s="244">
        <f t="shared" si="43"/>
        <v>0</v>
      </c>
      <c r="AW147" s="244"/>
      <c r="AX147" s="244"/>
      <c r="AY147" s="244"/>
      <c r="AZ147" s="244"/>
      <c r="BA147" s="244"/>
      <c r="BB147" s="244"/>
    </row>
    <row r="148" spans="1:54" ht="15" hidden="1">
      <c r="A148" s="331" t="s">
        <v>721</v>
      </c>
      <c r="B148" s="295" t="str">
        <f t="shared" si="27"/>
        <v>Intuition: 15 | Charisma: 15 | Gewandheit: 14</v>
      </c>
      <c r="C148" s="308" t="b">
        <v>0</v>
      </c>
      <c r="D148" s="308" t="b">
        <v>0</v>
      </c>
      <c r="E148" s="308" t="b">
        <f t="shared" si="28"/>
        <v>0</v>
      </c>
      <c r="F148" t="s">
        <v>495</v>
      </c>
      <c r="G148" t="s">
        <v>113</v>
      </c>
      <c r="H148" t="s">
        <v>509</v>
      </c>
      <c r="I148" t="s">
        <v>722</v>
      </c>
      <c r="J148" s="295">
        <f>_xlfn.XLOOKUP(G148,Rechner!$A$17:$A$25,Rechner!$B$17:$B$25)</f>
        <v>5</v>
      </c>
      <c r="K148" s="295" t="str">
        <f>_xlfn.XLOOKUP(J148-SUMIF($V$31:$AV$31,TRUE,V148:AV148)-IF(D148=TRUE,1,0),Rechner!$B$17:$B$25,Rechner!$A$17:$A$25,"A+")</f>
        <v>C</v>
      </c>
      <c r="L148" s="295" t="str">
        <f>_xlfn.XLOOKUP(S148,Eigenschaften!$C$20:$C$27,Eigenschaften!$B$20:$B$27)</f>
        <v>Intuition</v>
      </c>
      <c r="M148" s="295">
        <f>_xlfn.XLOOKUP(L148,Eigenschaften!$B$20:$B$27,Eigenschaften!$H$20:$H$27,"NaN",1)</f>
        <v>15</v>
      </c>
      <c r="N148" s="295" t="str">
        <f>_xlfn.XLOOKUP(T148,Eigenschaften!$C$20:$C$27,Eigenschaften!$B$20:$B$27)</f>
        <v>Charisma</v>
      </c>
      <c r="O148" s="295">
        <f>_xlfn.XLOOKUP(N148,Eigenschaften!$B$20:$B$27,Eigenschaften!$H$20:$H$27,"NaN",1)</f>
        <v>15</v>
      </c>
      <c r="P148" s="295" t="str">
        <f>_xlfn.XLOOKUP(U148,Eigenschaften!$C$20:$C$27,Eigenschaften!$B$20:$B$27)</f>
        <v>Gewandheit</v>
      </c>
      <c r="Q148" s="295">
        <f>_xlfn.XLOOKUP(P148,Eigenschaften!$B$20:$B$27,Eigenschaften!$H$20:$H$27,"NaN",1)</f>
        <v>14</v>
      </c>
      <c r="R148" s="244"/>
      <c r="S148" s="244" t="str" cm="1">
        <f t="array" ref="S148:U148">_xlfn.TEXTSPLIT(F148,"/",,,,3)</f>
        <v>IN</v>
      </c>
      <c r="T148" s="244" t="str">
        <v>CH</v>
      </c>
      <c r="U148" s="244" t="str">
        <v>GE</v>
      </c>
      <c r="V148" s="244">
        <f t="shared" si="41"/>
        <v>0</v>
      </c>
      <c r="W148" s="244">
        <f t="shared" si="41"/>
        <v>0</v>
      </c>
      <c r="X148" s="244">
        <f t="shared" si="41"/>
        <v>0</v>
      </c>
      <c r="Y148" s="244">
        <f t="shared" si="41"/>
        <v>0</v>
      </c>
      <c r="Z148" s="244">
        <f t="shared" si="41"/>
        <v>0</v>
      </c>
      <c r="AA148" s="244">
        <f t="shared" si="41"/>
        <v>0</v>
      </c>
      <c r="AB148" s="244">
        <f t="shared" si="41"/>
        <v>0</v>
      </c>
      <c r="AC148" s="244">
        <f t="shared" si="41"/>
        <v>0</v>
      </c>
      <c r="AD148" s="244">
        <f t="shared" si="41"/>
        <v>0</v>
      </c>
      <c r="AE148" s="244">
        <f t="shared" si="41"/>
        <v>0</v>
      </c>
      <c r="AF148" s="244">
        <f t="shared" si="42"/>
        <v>1</v>
      </c>
      <c r="AG148" s="244">
        <f t="shared" si="42"/>
        <v>0</v>
      </c>
      <c r="AH148" s="244">
        <f t="shared" si="42"/>
        <v>0</v>
      </c>
      <c r="AI148" s="244">
        <f t="shared" si="42"/>
        <v>0</v>
      </c>
      <c r="AJ148" s="244">
        <f t="shared" si="42"/>
        <v>0</v>
      </c>
      <c r="AK148" s="244">
        <f t="shared" si="42"/>
        <v>0</v>
      </c>
      <c r="AL148" s="244">
        <f t="shared" si="42"/>
        <v>0</v>
      </c>
      <c r="AM148" s="244">
        <f t="shared" si="42"/>
        <v>1</v>
      </c>
      <c r="AN148" s="244">
        <f t="shared" si="42"/>
        <v>0</v>
      </c>
      <c r="AO148" s="244">
        <f t="shared" si="42"/>
        <v>0</v>
      </c>
      <c r="AP148" s="244">
        <f t="shared" si="43"/>
        <v>0</v>
      </c>
      <c r="AQ148" s="244">
        <f t="shared" si="43"/>
        <v>0</v>
      </c>
      <c r="AR148" s="244">
        <f t="shared" si="43"/>
        <v>0</v>
      </c>
      <c r="AS148" s="244">
        <f t="shared" si="43"/>
        <v>0</v>
      </c>
      <c r="AT148" s="244">
        <f t="shared" si="43"/>
        <v>0</v>
      </c>
      <c r="AU148" s="244">
        <f t="shared" si="43"/>
        <v>0</v>
      </c>
      <c r="AV148" s="244">
        <f t="shared" si="43"/>
        <v>0</v>
      </c>
      <c r="AW148" s="244"/>
      <c r="AX148" s="244"/>
      <c r="AY148" s="244"/>
      <c r="AZ148" s="244"/>
      <c r="BA148" s="244"/>
      <c r="BB148" s="244"/>
    </row>
    <row r="149" spans="1:54" ht="15" hidden="1">
      <c r="A149" s="331" t="s">
        <v>723</v>
      </c>
      <c r="B149" s="295" t="str">
        <f t="shared" si="27"/>
        <v>Klugheit: 12 | Intuition: 15 | Charisma: 15</v>
      </c>
      <c r="C149" s="308" t="b">
        <v>0</v>
      </c>
      <c r="D149" s="308" t="b">
        <v>0</v>
      </c>
      <c r="E149" s="308" t="b">
        <f t="shared" si="28"/>
        <v>1</v>
      </c>
      <c r="F149" t="s">
        <v>307</v>
      </c>
      <c r="G149" t="s">
        <v>125</v>
      </c>
      <c r="H149" t="s">
        <v>552</v>
      </c>
      <c r="I149" t="s">
        <v>724</v>
      </c>
      <c r="J149" s="295">
        <f>_xlfn.XLOOKUP(G149,Rechner!$A$17:$A$25,Rechner!$B$17:$B$25)</f>
        <v>3</v>
      </c>
      <c r="K149" s="295" t="str">
        <f>_xlfn.XLOOKUP(J149-SUMIF($V$31:$AV$31,TRUE,V149:AV149)-IF(D149=TRUE,1,0),Rechner!$B$17:$B$25,Rechner!$A$17:$A$25,"A+")</f>
        <v>B</v>
      </c>
      <c r="L149" s="295" t="str">
        <f>_xlfn.XLOOKUP(S149,Eigenschaften!$C$20:$C$27,Eigenschaften!$B$20:$B$27)</f>
        <v>Klugheit</v>
      </c>
      <c r="M149" s="295">
        <f>_xlfn.XLOOKUP(L149,Eigenschaften!$B$20:$B$27,Eigenschaften!$H$20:$H$27,"NaN",1)</f>
        <v>12</v>
      </c>
      <c r="N149" s="295" t="str">
        <f>_xlfn.XLOOKUP(T149,Eigenschaften!$C$20:$C$27,Eigenschaften!$B$20:$B$27)</f>
        <v>Intuition</v>
      </c>
      <c r="O149" s="295">
        <f>_xlfn.XLOOKUP(N149,Eigenschaften!$B$20:$B$27,Eigenschaften!$H$20:$H$27,"NaN",1)</f>
        <v>15</v>
      </c>
      <c r="P149" s="295" t="str">
        <f>_xlfn.XLOOKUP(U149,Eigenschaften!$C$20:$C$27,Eigenschaften!$B$20:$B$27)</f>
        <v>Charisma</v>
      </c>
      <c r="Q149" s="295">
        <f>_xlfn.XLOOKUP(P149,Eigenschaften!$B$20:$B$27,Eigenschaften!$H$20:$H$27,"NaN",1)</f>
        <v>15</v>
      </c>
      <c r="R149" s="244"/>
      <c r="S149" s="244" t="str" cm="1">
        <f t="array" ref="S149:U149">_xlfn.TEXTSPLIT(F149,"/",,,,3)</f>
        <v>KL</v>
      </c>
      <c r="T149" s="244" t="str">
        <v>IN</v>
      </c>
      <c r="U149" s="244" t="str">
        <v>CH</v>
      </c>
      <c r="V149" s="244">
        <f t="shared" si="41"/>
        <v>1</v>
      </c>
      <c r="W149" s="244">
        <f t="shared" si="41"/>
        <v>0</v>
      </c>
      <c r="X149" s="244">
        <f t="shared" si="41"/>
        <v>0</v>
      </c>
      <c r="Y149" s="244">
        <f t="shared" si="41"/>
        <v>0</v>
      </c>
      <c r="Z149" s="244">
        <f t="shared" si="41"/>
        <v>0</v>
      </c>
      <c r="AA149" s="244">
        <f t="shared" si="41"/>
        <v>0</v>
      </c>
      <c r="AB149" s="244">
        <f t="shared" si="41"/>
        <v>0</v>
      </c>
      <c r="AC149" s="244">
        <f t="shared" si="41"/>
        <v>0</v>
      </c>
      <c r="AD149" s="244">
        <f t="shared" si="41"/>
        <v>0</v>
      </c>
      <c r="AE149" s="244">
        <f t="shared" si="41"/>
        <v>0</v>
      </c>
      <c r="AF149" s="244">
        <f t="shared" si="42"/>
        <v>0</v>
      </c>
      <c r="AG149" s="244">
        <f t="shared" si="42"/>
        <v>0</v>
      </c>
      <c r="AH149" s="244">
        <f t="shared" si="42"/>
        <v>0</v>
      </c>
      <c r="AI149" s="244">
        <f t="shared" si="42"/>
        <v>0</v>
      </c>
      <c r="AJ149" s="244">
        <f t="shared" si="42"/>
        <v>0</v>
      </c>
      <c r="AK149" s="244">
        <f t="shared" si="42"/>
        <v>0</v>
      </c>
      <c r="AL149" s="244">
        <f t="shared" si="42"/>
        <v>0</v>
      </c>
      <c r="AM149" s="244">
        <f t="shared" si="42"/>
        <v>1</v>
      </c>
      <c r="AN149" s="244">
        <f t="shared" si="42"/>
        <v>0</v>
      </c>
      <c r="AO149" s="244">
        <f t="shared" si="42"/>
        <v>0</v>
      </c>
      <c r="AP149" s="244">
        <f t="shared" si="43"/>
        <v>0</v>
      </c>
      <c r="AQ149" s="244">
        <f t="shared" si="43"/>
        <v>0</v>
      </c>
      <c r="AR149" s="244">
        <f t="shared" si="43"/>
        <v>0</v>
      </c>
      <c r="AS149" s="244">
        <f t="shared" si="43"/>
        <v>0</v>
      </c>
      <c r="AT149" s="244">
        <f t="shared" si="43"/>
        <v>0</v>
      </c>
      <c r="AU149" s="244">
        <f t="shared" si="43"/>
        <v>0</v>
      </c>
      <c r="AV149" s="244">
        <f t="shared" si="43"/>
        <v>0</v>
      </c>
      <c r="AW149" s="244"/>
      <c r="AX149" s="244"/>
      <c r="AY149" s="244"/>
      <c r="AZ149" s="244"/>
      <c r="BA149" s="244"/>
      <c r="BB149" s="244"/>
    </row>
    <row r="150" spans="1:54" ht="15" hidden="1">
      <c r="A150" s="331" t="s">
        <v>725</v>
      </c>
      <c r="B150" s="295" t="str">
        <f t="shared" si="27"/>
        <v>Mut: 13 | Charisma: 15 | Konstitution: 12</v>
      </c>
      <c r="C150" s="308" t="b">
        <v>0</v>
      </c>
      <c r="D150" s="308" t="b">
        <v>0</v>
      </c>
      <c r="E150" s="308" t="b">
        <f t="shared" si="28"/>
        <v>0</v>
      </c>
      <c r="F150" t="s">
        <v>340</v>
      </c>
      <c r="G150" t="s">
        <v>530</v>
      </c>
      <c r="H150" t="s">
        <v>726</v>
      </c>
      <c r="I150" t="s">
        <v>727</v>
      </c>
      <c r="J150" s="295">
        <f>_xlfn.XLOOKUP(G150,Rechner!$A$17:$A$25,Rechner!$B$17:$B$25)</f>
        <v>7</v>
      </c>
      <c r="K150" s="295" t="str">
        <f>_xlfn.XLOOKUP(J150-SUMIF($V$31:$AV$31,TRUE,V150:AV150)-IF(D150=TRUE,1,0),Rechner!$B$17:$B$25,Rechner!$A$17:$A$25,"A+")</f>
        <v>F</v>
      </c>
      <c r="L150" s="295" t="str">
        <f>_xlfn.XLOOKUP(S150,Eigenschaften!$C$20:$C$27,Eigenschaften!$B$20:$B$27)</f>
        <v>Mut</v>
      </c>
      <c r="M150" s="295">
        <f>_xlfn.XLOOKUP(L150,Eigenschaften!$B$20:$B$27,Eigenschaften!$H$20:$H$27,"NaN",1)</f>
        <v>13</v>
      </c>
      <c r="N150" s="295" t="str">
        <f>_xlfn.XLOOKUP(T150,Eigenschaften!$C$20:$C$27,Eigenschaften!$B$20:$B$27)</f>
        <v>Charisma</v>
      </c>
      <c r="O150" s="295">
        <f>_xlfn.XLOOKUP(N150,Eigenschaften!$B$20:$B$27,Eigenschaften!$H$20:$H$27,"NaN",1)</f>
        <v>15</v>
      </c>
      <c r="P150" s="295" t="str">
        <f>_xlfn.XLOOKUP(U150,Eigenschaften!$C$20:$C$27,Eigenschaften!$B$20:$B$27)</f>
        <v>Konstitution</v>
      </c>
      <c r="Q150" s="295">
        <f>_xlfn.XLOOKUP(P150,Eigenschaften!$B$20:$B$27,Eigenschaften!$H$20:$H$27,"NaN",1)</f>
        <v>12</v>
      </c>
      <c r="R150" s="244"/>
      <c r="S150" s="244" t="str" cm="1">
        <f t="array" ref="S150:U150">_xlfn.TEXTSPLIT(F150,"/",,,,3)</f>
        <v>MU</v>
      </c>
      <c r="T150" s="244" t="str">
        <v>CH</v>
      </c>
      <c r="U150" s="244" t="str">
        <v>KO</v>
      </c>
      <c r="V150" s="244">
        <f t="shared" si="41"/>
        <v>0</v>
      </c>
      <c r="W150" s="244">
        <f t="shared" si="41"/>
        <v>0</v>
      </c>
      <c r="X150" s="244">
        <f t="shared" si="41"/>
        <v>0</v>
      </c>
      <c r="Y150" s="244">
        <f t="shared" si="41"/>
        <v>0</v>
      </c>
      <c r="Z150" s="244">
        <f t="shared" si="41"/>
        <v>0</v>
      </c>
      <c r="AA150" s="244">
        <f t="shared" si="41"/>
        <v>0</v>
      </c>
      <c r="AB150" s="244">
        <f t="shared" si="41"/>
        <v>0</v>
      </c>
      <c r="AC150" s="244">
        <f t="shared" si="41"/>
        <v>0</v>
      </c>
      <c r="AD150" s="244">
        <f t="shared" si="41"/>
        <v>0</v>
      </c>
      <c r="AE150" s="244">
        <f t="shared" si="41"/>
        <v>0</v>
      </c>
      <c r="AF150" s="244">
        <f t="shared" si="42"/>
        <v>0</v>
      </c>
      <c r="AG150" s="244">
        <f t="shared" si="42"/>
        <v>1</v>
      </c>
      <c r="AH150" s="244">
        <f t="shared" si="42"/>
        <v>0</v>
      </c>
      <c r="AI150" s="244">
        <f t="shared" si="42"/>
        <v>0</v>
      </c>
      <c r="AJ150" s="244">
        <f t="shared" si="42"/>
        <v>0</v>
      </c>
      <c r="AK150" s="244">
        <f t="shared" si="42"/>
        <v>0</v>
      </c>
      <c r="AL150" s="244">
        <f t="shared" si="42"/>
        <v>0</v>
      </c>
      <c r="AM150" s="244">
        <f t="shared" si="42"/>
        <v>0</v>
      </c>
      <c r="AN150" s="244">
        <f t="shared" si="42"/>
        <v>0</v>
      </c>
      <c r="AO150" s="244">
        <f t="shared" si="42"/>
        <v>0</v>
      </c>
      <c r="AP150" s="244">
        <f t="shared" si="43"/>
        <v>0</v>
      </c>
      <c r="AQ150" s="244">
        <f t="shared" si="43"/>
        <v>0</v>
      </c>
      <c r="AR150" s="244">
        <f t="shared" si="43"/>
        <v>0</v>
      </c>
      <c r="AS150" s="244">
        <f t="shared" si="43"/>
        <v>0</v>
      </c>
      <c r="AT150" s="244">
        <f t="shared" si="43"/>
        <v>1</v>
      </c>
      <c r="AU150" s="244">
        <f t="shared" si="43"/>
        <v>0</v>
      </c>
      <c r="AV150" s="244">
        <f t="shared" si="43"/>
        <v>0</v>
      </c>
      <c r="AW150" s="244"/>
      <c r="AX150" s="244"/>
      <c r="AY150" s="244"/>
      <c r="AZ150" s="244"/>
      <c r="BA150" s="244"/>
      <c r="BB150" s="244"/>
    </row>
    <row r="151" spans="1:54" ht="15" hidden="1">
      <c r="A151" s="331" t="s">
        <v>728</v>
      </c>
      <c r="B151" s="295" t="str">
        <f t="shared" si="27"/>
        <v>Klugheit: 12 | Charisma: 15 | Charisma: 15</v>
      </c>
      <c r="C151" s="308" t="b">
        <v>0</v>
      </c>
      <c r="D151" s="308" t="b">
        <v>0</v>
      </c>
      <c r="E151" s="308" t="b">
        <f t="shared" si="28"/>
        <v>0</v>
      </c>
      <c r="F151" t="s">
        <v>690</v>
      </c>
      <c r="G151" t="s">
        <v>429</v>
      </c>
      <c r="H151" t="s">
        <v>374</v>
      </c>
      <c r="I151" t="s">
        <v>729</v>
      </c>
      <c r="J151" s="295">
        <f>_xlfn.XLOOKUP(G151,Rechner!$A$17:$A$25,Rechner!$B$17:$B$25)</f>
        <v>6</v>
      </c>
      <c r="K151" s="295" t="str">
        <f>_xlfn.XLOOKUP(J151-SUMIF($V$31:$AV$31,TRUE,V151:AV151)-IF(D151=TRUE,1,0),Rechner!$B$17:$B$25,Rechner!$A$17:$A$25,"A+")</f>
        <v>E</v>
      </c>
      <c r="L151" s="295" t="str">
        <f>_xlfn.XLOOKUP(S151,Eigenschaften!$C$20:$C$27,Eigenschaften!$B$20:$B$27)</f>
        <v>Klugheit</v>
      </c>
      <c r="M151" s="295">
        <f>_xlfn.XLOOKUP(L151,Eigenschaften!$B$20:$B$27,Eigenschaften!$H$20:$H$27,"NaN",1)</f>
        <v>12</v>
      </c>
      <c r="N151" s="295" t="str">
        <f>_xlfn.XLOOKUP(T151,Eigenschaften!$C$20:$C$27,Eigenschaften!$B$20:$B$27)</f>
        <v>Charisma</v>
      </c>
      <c r="O151" s="295">
        <f>_xlfn.XLOOKUP(N151,Eigenschaften!$B$20:$B$27,Eigenschaften!$H$20:$H$27,"NaN",1)</f>
        <v>15</v>
      </c>
      <c r="P151" s="295" t="str">
        <f>_xlfn.XLOOKUP(U151,Eigenschaften!$C$20:$C$27,Eigenschaften!$B$20:$B$27)</f>
        <v>Charisma</v>
      </c>
      <c r="Q151" s="295">
        <f>_xlfn.XLOOKUP(P151,Eigenschaften!$B$20:$B$27,Eigenschaften!$H$20:$H$27,"NaN",1)</f>
        <v>15</v>
      </c>
      <c r="R151" s="244"/>
      <c r="S151" s="244" t="str" cm="1">
        <f t="array" ref="S151:U151">_xlfn.TEXTSPLIT(F151,"/",,,,3)</f>
        <v>KL</v>
      </c>
      <c r="T151" s="244" t="str">
        <v>CH</v>
      </c>
      <c r="U151" s="244" t="str">
        <v>CH</v>
      </c>
      <c r="V151" s="244">
        <f t="shared" si="41"/>
        <v>0</v>
      </c>
      <c r="W151" s="244">
        <f t="shared" si="41"/>
        <v>0</v>
      </c>
      <c r="X151" s="244">
        <f t="shared" si="41"/>
        <v>0</v>
      </c>
      <c r="Y151" s="244">
        <f t="shared" si="41"/>
        <v>0</v>
      </c>
      <c r="Z151" s="244">
        <f t="shared" si="41"/>
        <v>0</v>
      </c>
      <c r="AA151" s="244">
        <f t="shared" si="41"/>
        <v>0</v>
      </c>
      <c r="AB151" s="244">
        <f t="shared" si="41"/>
        <v>0</v>
      </c>
      <c r="AC151" s="244">
        <f t="shared" si="41"/>
        <v>0</v>
      </c>
      <c r="AD151" s="244">
        <f t="shared" si="41"/>
        <v>0</v>
      </c>
      <c r="AE151" s="244">
        <f t="shared" si="41"/>
        <v>0</v>
      </c>
      <c r="AF151" s="244">
        <f t="shared" si="42"/>
        <v>0</v>
      </c>
      <c r="AG151" s="244">
        <f t="shared" si="42"/>
        <v>0</v>
      </c>
      <c r="AH151" s="244">
        <f t="shared" si="42"/>
        <v>0</v>
      </c>
      <c r="AI151" s="244">
        <f t="shared" si="42"/>
        <v>0</v>
      </c>
      <c r="AJ151" s="244">
        <f t="shared" si="42"/>
        <v>0</v>
      </c>
      <c r="AK151" s="244">
        <f t="shared" si="42"/>
        <v>0</v>
      </c>
      <c r="AL151" s="244">
        <f t="shared" si="42"/>
        <v>1</v>
      </c>
      <c r="AM151" s="244">
        <f t="shared" si="42"/>
        <v>0</v>
      </c>
      <c r="AN151" s="244">
        <f t="shared" si="42"/>
        <v>0</v>
      </c>
      <c r="AO151" s="244">
        <f t="shared" si="42"/>
        <v>0</v>
      </c>
      <c r="AP151" s="244">
        <f t="shared" si="43"/>
        <v>0</v>
      </c>
      <c r="AQ151" s="244">
        <f t="shared" si="43"/>
        <v>0</v>
      </c>
      <c r="AR151" s="244">
        <f t="shared" si="43"/>
        <v>0</v>
      </c>
      <c r="AS151" s="244">
        <f t="shared" si="43"/>
        <v>0</v>
      </c>
      <c r="AT151" s="244">
        <f t="shared" si="43"/>
        <v>0</v>
      </c>
      <c r="AU151" s="244">
        <f t="shared" si="43"/>
        <v>0</v>
      </c>
      <c r="AV151" s="244">
        <f t="shared" si="43"/>
        <v>0</v>
      </c>
      <c r="AW151" s="244"/>
      <c r="AX151" s="244"/>
      <c r="AY151" s="244"/>
      <c r="AZ151" s="244"/>
      <c r="BA151" s="244"/>
      <c r="BB151" s="244"/>
    </row>
    <row r="152" spans="1:54" ht="15" hidden="1">
      <c r="A152" s="331" t="s">
        <v>730</v>
      </c>
      <c r="B152" s="295" t="str">
        <f t="shared" si="27"/>
        <v>Klugheit: 12 | Intuition: 15 | Fingerfertigkeit: 10</v>
      </c>
      <c r="C152" s="308" t="b">
        <v>0</v>
      </c>
      <c r="D152" s="308" t="b">
        <v>0</v>
      </c>
      <c r="E152" s="308" t="b">
        <f t="shared" si="28"/>
        <v>0</v>
      </c>
      <c r="F152" t="s">
        <v>277</v>
      </c>
      <c r="G152" t="s">
        <v>113</v>
      </c>
      <c r="H152" t="s">
        <v>375</v>
      </c>
      <c r="I152" t="s">
        <v>731</v>
      </c>
      <c r="J152" s="295">
        <f>_xlfn.XLOOKUP(G152,Rechner!$A$17:$A$25,Rechner!$B$17:$B$25)</f>
        <v>5</v>
      </c>
      <c r="K152" s="295" t="str">
        <f>_xlfn.XLOOKUP(J152-SUMIF($V$31:$AV$31,TRUE,V152:AV152)-IF(D152=TRUE,1,0),Rechner!$B$17:$B$25,Rechner!$A$17:$A$25,"A+")</f>
        <v>D</v>
      </c>
      <c r="L152" s="295" t="str">
        <f>_xlfn.XLOOKUP(S152,Eigenschaften!$C$20:$C$27,Eigenschaften!$B$20:$B$27)</f>
        <v>Klugheit</v>
      </c>
      <c r="M152" s="295">
        <f>_xlfn.XLOOKUP(L152,Eigenschaften!$B$20:$B$27,Eigenschaften!$H$20:$H$27,"NaN",1)</f>
        <v>12</v>
      </c>
      <c r="N152" s="295" t="str">
        <f>_xlfn.XLOOKUP(T152,Eigenschaften!$C$20:$C$27,Eigenschaften!$B$20:$B$27)</f>
        <v>Intuition</v>
      </c>
      <c r="O152" s="295">
        <f>_xlfn.XLOOKUP(N152,Eigenschaften!$B$20:$B$27,Eigenschaften!$H$20:$H$27,"NaN",1)</f>
        <v>15</v>
      </c>
      <c r="P152" s="295" t="str">
        <f>_xlfn.XLOOKUP(U152,Eigenschaften!$C$20:$C$27,Eigenschaften!$B$20:$B$27)</f>
        <v>Fingerfertigkeit</v>
      </c>
      <c r="Q152" s="295">
        <f>_xlfn.XLOOKUP(P152,Eigenschaften!$B$20:$B$27,Eigenschaften!$H$20:$H$27,"NaN",1)</f>
        <v>10</v>
      </c>
      <c r="R152" s="244"/>
      <c r="S152" s="244" t="str" cm="1">
        <f t="array" ref="S152:U152">_xlfn.TEXTSPLIT(F152,"/",,,,3)</f>
        <v>KL</v>
      </c>
      <c r="T152" s="244" t="str">
        <v>IN</v>
      </c>
      <c r="U152" s="244" t="str">
        <v>FF</v>
      </c>
      <c r="V152" s="244">
        <f t="shared" si="41"/>
        <v>0</v>
      </c>
      <c r="W152" s="244">
        <f t="shared" si="41"/>
        <v>0</v>
      </c>
      <c r="X152" s="244">
        <f t="shared" si="41"/>
        <v>0</v>
      </c>
      <c r="Y152" s="244">
        <f t="shared" si="41"/>
        <v>0</v>
      </c>
      <c r="Z152" s="244">
        <f t="shared" si="41"/>
        <v>0</v>
      </c>
      <c r="AA152" s="244">
        <f t="shared" si="41"/>
        <v>0</v>
      </c>
      <c r="AB152" s="244">
        <f t="shared" si="41"/>
        <v>0</v>
      </c>
      <c r="AC152" s="244">
        <f t="shared" si="41"/>
        <v>0</v>
      </c>
      <c r="AD152" s="244">
        <f t="shared" si="41"/>
        <v>0</v>
      </c>
      <c r="AE152" s="244">
        <f t="shared" si="41"/>
        <v>0</v>
      </c>
      <c r="AF152" s="244">
        <f t="shared" si="42"/>
        <v>0</v>
      </c>
      <c r="AG152" s="244">
        <f t="shared" si="42"/>
        <v>0</v>
      </c>
      <c r="AH152" s="244">
        <f t="shared" si="42"/>
        <v>0</v>
      </c>
      <c r="AI152" s="244">
        <f t="shared" si="42"/>
        <v>0</v>
      </c>
      <c r="AJ152" s="244">
        <f t="shared" si="42"/>
        <v>0</v>
      </c>
      <c r="AK152" s="244">
        <f t="shared" si="42"/>
        <v>0</v>
      </c>
      <c r="AL152" s="244">
        <f t="shared" si="42"/>
        <v>0</v>
      </c>
      <c r="AM152" s="244">
        <f t="shared" si="42"/>
        <v>1</v>
      </c>
      <c r="AN152" s="244">
        <f t="shared" si="42"/>
        <v>0</v>
      </c>
      <c r="AO152" s="244">
        <f t="shared" si="42"/>
        <v>0</v>
      </c>
      <c r="AP152" s="244">
        <f t="shared" si="43"/>
        <v>0</v>
      </c>
      <c r="AQ152" s="244">
        <f t="shared" si="43"/>
        <v>0</v>
      </c>
      <c r="AR152" s="244">
        <f t="shared" si="43"/>
        <v>0</v>
      </c>
      <c r="AS152" s="244">
        <f t="shared" si="43"/>
        <v>0</v>
      </c>
      <c r="AT152" s="244">
        <f t="shared" si="43"/>
        <v>0</v>
      </c>
      <c r="AU152" s="244">
        <f t="shared" si="43"/>
        <v>0</v>
      </c>
      <c r="AV152" s="244">
        <f t="shared" si="43"/>
        <v>0</v>
      </c>
      <c r="AW152" s="244"/>
      <c r="AX152" s="244"/>
      <c r="AY152" s="244"/>
      <c r="AZ152" s="244"/>
      <c r="BA152" s="244"/>
      <c r="BB152" s="244"/>
    </row>
    <row r="153" spans="1:54" ht="15" hidden="1">
      <c r="A153" s="331" t="s">
        <v>732</v>
      </c>
      <c r="B153" s="295" t="str">
        <f t="shared" si="27"/>
        <v>Klugheit: 12 | Charisma: 15 | Konstitution: 12</v>
      </c>
      <c r="C153" s="308" t="b">
        <v>0</v>
      </c>
      <c r="D153" s="308" t="b">
        <v>0</v>
      </c>
      <c r="E153" s="308" t="b">
        <f t="shared" si="28"/>
        <v>0</v>
      </c>
      <c r="F153" t="s">
        <v>406</v>
      </c>
      <c r="G153" t="s">
        <v>530</v>
      </c>
      <c r="H153" t="s">
        <v>733</v>
      </c>
      <c r="I153" t="s">
        <v>734</v>
      </c>
      <c r="J153" s="295">
        <f>_xlfn.XLOOKUP(G153,Rechner!$A$17:$A$25,Rechner!$B$17:$B$25)</f>
        <v>7</v>
      </c>
      <c r="K153" s="295" t="str">
        <f>_xlfn.XLOOKUP(J153-SUMIF($V$31:$AV$31,TRUE,V153:AV153)-IF(D153=TRUE,1,0),Rechner!$B$17:$B$25,Rechner!$A$17:$A$25,"A+")</f>
        <v>F</v>
      </c>
      <c r="L153" s="295" t="str">
        <f>_xlfn.XLOOKUP(S153,Eigenschaften!$C$20:$C$27,Eigenschaften!$B$20:$B$27)</f>
        <v>Klugheit</v>
      </c>
      <c r="M153" s="295">
        <f>_xlfn.XLOOKUP(L153,Eigenschaften!$B$20:$B$27,Eigenschaften!$H$20:$H$27,"NaN",1)</f>
        <v>12</v>
      </c>
      <c r="N153" s="295" t="str">
        <f>_xlfn.XLOOKUP(T153,Eigenschaften!$C$20:$C$27,Eigenschaften!$B$20:$B$27)</f>
        <v>Charisma</v>
      </c>
      <c r="O153" s="295">
        <f>_xlfn.XLOOKUP(N153,Eigenschaften!$B$20:$B$27,Eigenschaften!$H$20:$H$27,"NaN",1)</f>
        <v>15</v>
      </c>
      <c r="P153" s="295" t="str">
        <f>_xlfn.XLOOKUP(U153,Eigenschaften!$C$20:$C$27,Eigenschaften!$B$20:$B$27)</f>
        <v>Konstitution</v>
      </c>
      <c r="Q153" s="295">
        <f>_xlfn.XLOOKUP(P153,Eigenschaften!$B$20:$B$27,Eigenschaften!$H$20:$H$27,"NaN",1)</f>
        <v>12</v>
      </c>
      <c r="R153" s="244"/>
      <c r="S153" s="244" t="str" cm="1">
        <f t="array" ref="S153:U153">_xlfn.TEXTSPLIT(F153,"/",,,,3)</f>
        <v>KL</v>
      </c>
      <c r="T153" s="244" t="str">
        <v>CH</v>
      </c>
      <c r="U153" s="244" t="str">
        <v>KO</v>
      </c>
      <c r="V153" s="244">
        <f t="shared" si="41"/>
        <v>0</v>
      </c>
      <c r="W153" s="244">
        <f t="shared" si="41"/>
        <v>0</v>
      </c>
      <c r="X153" s="244">
        <f t="shared" si="41"/>
        <v>0</v>
      </c>
      <c r="Y153" s="244">
        <f t="shared" si="41"/>
        <v>0</v>
      </c>
      <c r="Z153" s="244">
        <f t="shared" si="41"/>
        <v>0</v>
      </c>
      <c r="AA153" s="244">
        <f t="shared" si="41"/>
        <v>0</v>
      </c>
      <c r="AB153" s="244">
        <f t="shared" si="41"/>
        <v>0</v>
      </c>
      <c r="AC153" s="244">
        <f t="shared" si="41"/>
        <v>0</v>
      </c>
      <c r="AD153" s="244">
        <f t="shared" si="41"/>
        <v>0</v>
      </c>
      <c r="AE153" s="244">
        <f t="shared" si="41"/>
        <v>0</v>
      </c>
      <c r="AF153" s="244">
        <f t="shared" si="42"/>
        <v>0</v>
      </c>
      <c r="AG153" s="244">
        <f t="shared" si="42"/>
        <v>0</v>
      </c>
      <c r="AH153" s="244">
        <f t="shared" si="42"/>
        <v>0</v>
      </c>
      <c r="AI153" s="244">
        <f t="shared" si="42"/>
        <v>0</v>
      </c>
      <c r="AJ153" s="244">
        <f t="shared" si="42"/>
        <v>0</v>
      </c>
      <c r="AK153" s="244">
        <f t="shared" si="42"/>
        <v>0</v>
      </c>
      <c r="AL153" s="244">
        <f t="shared" si="42"/>
        <v>0</v>
      </c>
      <c r="AM153" s="244">
        <f t="shared" si="42"/>
        <v>0</v>
      </c>
      <c r="AN153" s="244">
        <f t="shared" si="42"/>
        <v>0</v>
      </c>
      <c r="AO153" s="244">
        <f t="shared" si="42"/>
        <v>0</v>
      </c>
      <c r="AP153" s="244">
        <f t="shared" si="43"/>
        <v>1</v>
      </c>
      <c r="AQ153" s="244">
        <f t="shared" si="43"/>
        <v>0</v>
      </c>
      <c r="AR153" s="244">
        <f t="shared" si="43"/>
        <v>0</v>
      </c>
      <c r="AS153" s="244">
        <f t="shared" si="43"/>
        <v>0</v>
      </c>
      <c r="AT153" s="244">
        <f t="shared" si="43"/>
        <v>1</v>
      </c>
      <c r="AU153" s="244">
        <f t="shared" si="43"/>
        <v>0</v>
      </c>
      <c r="AV153" s="244">
        <f t="shared" si="43"/>
        <v>0</v>
      </c>
      <c r="AW153" s="244"/>
      <c r="AX153" s="244"/>
      <c r="AY153" s="244"/>
      <c r="AZ153" s="244"/>
      <c r="BA153" s="244"/>
      <c r="BB153" s="244"/>
    </row>
    <row r="154" spans="1:54" ht="15" hidden="1">
      <c r="A154" s="331" t="s">
        <v>735</v>
      </c>
      <c r="B154" s="295" t="str">
        <f t="shared" si="27"/>
        <v>Mut: 13 | Intuition: 15 | Fingerfertigkeit: 10</v>
      </c>
      <c r="C154" s="308" t="b">
        <v>0</v>
      </c>
      <c r="D154" s="308" t="b">
        <v>0</v>
      </c>
      <c r="E154" s="308" t="b">
        <f t="shared" si="28"/>
        <v>0</v>
      </c>
      <c r="F154" t="s">
        <v>736</v>
      </c>
      <c r="G154" t="s">
        <v>530</v>
      </c>
      <c r="H154" t="s">
        <v>649</v>
      </c>
      <c r="I154" t="s">
        <v>430</v>
      </c>
      <c r="J154" s="295">
        <f>_xlfn.XLOOKUP(G154,Rechner!$A$17:$A$25,Rechner!$B$17:$B$25)</f>
        <v>7</v>
      </c>
      <c r="K154" s="295" t="str">
        <f>_xlfn.XLOOKUP(J154-SUMIF($V$31:$AV$31,TRUE,V154:AV154)-IF(D154=TRUE,1,0),Rechner!$B$17:$B$25,Rechner!$A$17:$A$25,"A+")</f>
        <v>F</v>
      </c>
      <c r="L154" s="295" t="str">
        <f>_xlfn.XLOOKUP(S154,Eigenschaften!$C$20:$C$27,Eigenschaften!$B$20:$B$27)</f>
        <v>Mut</v>
      </c>
      <c r="M154" s="295">
        <f>_xlfn.XLOOKUP(L154,Eigenschaften!$B$20:$B$27,Eigenschaften!$H$20:$H$27,"NaN",1)</f>
        <v>13</v>
      </c>
      <c r="N154" s="295" t="str">
        <f>_xlfn.XLOOKUP(T154,Eigenschaften!$C$20:$C$27,Eigenschaften!$B$20:$B$27)</f>
        <v>Intuition</v>
      </c>
      <c r="O154" s="295">
        <f>_xlfn.XLOOKUP(N154,Eigenschaften!$B$20:$B$27,Eigenschaften!$H$20:$H$27,"NaN",1)</f>
        <v>15</v>
      </c>
      <c r="P154" s="295" t="str">
        <f>_xlfn.XLOOKUP(U154,Eigenschaften!$C$20:$C$27,Eigenschaften!$B$20:$B$27)</f>
        <v>Fingerfertigkeit</v>
      </c>
      <c r="Q154" s="295">
        <f>_xlfn.XLOOKUP(P154,Eigenschaften!$B$20:$B$27,Eigenschaften!$H$20:$H$27,"NaN",1)</f>
        <v>10</v>
      </c>
      <c r="R154" s="244"/>
      <c r="S154" s="244" t="str" cm="1">
        <f t="array" ref="S154:U154">_xlfn.TEXTSPLIT(F154,"/",,,,3)</f>
        <v>MU</v>
      </c>
      <c r="T154" s="244" t="str">
        <v>IN</v>
      </c>
      <c r="U154" s="244" t="str">
        <v>FF</v>
      </c>
      <c r="V154" s="244">
        <f t="shared" si="41"/>
        <v>1</v>
      </c>
      <c r="W154" s="244">
        <f t="shared" si="41"/>
        <v>0</v>
      </c>
      <c r="X154" s="244">
        <f t="shared" si="41"/>
        <v>0</v>
      </c>
      <c r="Y154" s="244">
        <f t="shared" si="41"/>
        <v>0</v>
      </c>
      <c r="Z154" s="244">
        <f t="shared" si="41"/>
        <v>0</v>
      </c>
      <c r="AA154" s="244">
        <f t="shared" si="41"/>
        <v>0</v>
      </c>
      <c r="AB154" s="244">
        <f t="shared" si="41"/>
        <v>0</v>
      </c>
      <c r="AC154" s="244">
        <f t="shared" si="41"/>
        <v>0</v>
      </c>
      <c r="AD154" s="244">
        <f t="shared" si="41"/>
        <v>0</v>
      </c>
      <c r="AE154" s="244">
        <f t="shared" si="41"/>
        <v>0</v>
      </c>
      <c r="AF154" s="244">
        <f t="shared" si="42"/>
        <v>0</v>
      </c>
      <c r="AG154" s="244">
        <f t="shared" si="42"/>
        <v>0</v>
      </c>
      <c r="AH154" s="244">
        <f t="shared" si="42"/>
        <v>0</v>
      </c>
      <c r="AI154" s="244">
        <f t="shared" si="42"/>
        <v>0</v>
      </c>
      <c r="AJ154" s="244">
        <f t="shared" si="42"/>
        <v>0</v>
      </c>
      <c r="AK154" s="244">
        <f t="shared" si="42"/>
        <v>0</v>
      </c>
      <c r="AL154" s="244">
        <f t="shared" si="42"/>
        <v>0</v>
      </c>
      <c r="AM154" s="244">
        <f t="shared" si="42"/>
        <v>0</v>
      </c>
      <c r="AN154" s="244">
        <f t="shared" si="42"/>
        <v>1</v>
      </c>
      <c r="AO154" s="244">
        <f t="shared" si="42"/>
        <v>0</v>
      </c>
      <c r="AP154" s="244">
        <f t="shared" si="43"/>
        <v>1</v>
      </c>
      <c r="AQ154" s="244">
        <f t="shared" si="43"/>
        <v>0</v>
      </c>
      <c r="AR154" s="244">
        <f t="shared" si="43"/>
        <v>0</v>
      </c>
      <c r="AS154" s="244">
        <f t="shared" si="43"/>
        <v>0</v>
      </c>
      <c r="AT154" s="244">
        <f t="shared" si="43"/>
        <v>0</v>
      </c>
      <c r="AU154" s="244">
        <f t="shared" si="43"/>
        <v>0</v>
      </c>
      <c r="AV154" s="244">
        <f t="shared" si="43"/>
        <v>0</v>
      </c>
      <c r="AW154" s="244"/>
      <c r="AX154" s="244"/>
      <c r="AY154" s="244"/>
      <c r="AZ154" s="244"/>
      <c r="BA154" s="244"/>
      <c r="BB154" s="244"/>
    </row>
    <row r="155" spans="1:54" ht="15" hidden="1">
      <c r="A155" s="331" t="s">
        <v>737</v>
      </c>
      <c r="B155" s="295" t="str">
        <f t="shared" si="27"/>
        <v>Mut: 13 | Mut: 13 | Charisma: 15</v>
      </c>
      <c r="C155" s="308" t="b">
        <v>0</v>
      </c>
      <c r="D155" s="308" t="b">
        <v>0</v>
      </c>
      <c r="E155" s="308" t="b">
        <f t="shared" si="28"/>
        <v>1</v>
      </c>
      <c r="F155" t="s">
        <v>527</v>
      </c>
      <c r="G155" t="s">
        <v>429</v>
      </c>
      <c r="H155" t="s">
        <v>555</v>
      </c>
      <c r="I155" t="s">
        <v>738</v>
      </c>
      <c r="J155" s="295">
        <f>_xlfn.XLOOKUP(G155,Rechner!$A$17:$A$25,Rechner!$B$17:$B$25)</f>
        <v>6</v>
      </c>
      <c r="K155" s="295" t="str">
        <f>_xlfn.XLOOKUP(J155-SUMIF($V$31:$AV$31,TRUE,V155:AV155)-IF(D155=TRUE,1,0),Rechner!$B$17:$B$25,Rechner!$A$17:$A$25,"A+")</f>
        <v>E</v>
      </c>
      <c r="L155" s="295" t="str">
        <f>_xlfn.XLOOKUP(S155,Eigenschaften!$C$20:$C$27,Eigenschaften!$B$20:$B$27)</f>
        <v>Mut</v>
      </c>
      <c r="M155" s="295">
        <f>_xlfn.XLOOKUP(L155,Eigenschaften!$B$20:$B$27,Eigenschaften!$H$20:$H$27,"NaN",1)</f>
        <v>13</v>
      </c>
      <c r="N155" s="295" t="str">
        <f>_xlfn.XLOOKUP(T155,Eigenschaften!$C$20:$C$27,Eigenschaften!$B$20:$B$27)</f>
        <v>Mut</v>
      </c>
      <c r="O155" s="295">
        <f>_xlfn.XLOOKUP(N155,Eigenschaften!$B$20:$B$27,Eigenschaften!$H$20:$H$27,"NaN",1)</f>
        <v>13</v>
      </c>
      <c r="P155" s="295" t="str">
        <f>_xlfn.XLOOKUP(U155,Eigenschaften!$C$20:$C$27,Eigenschaften!$B$20:$B$27)</f>
        <v>Charisma</v>
      </c>
      <c r="Q155" s="295">
        <f>_xlfn.XLOOKUP(P155,Eigenschaften!$B$20:$B$27,Eigenschaften!$H$20:$H$27,"NaN",1)</f>
        <v>15</v>
      </c>
      <c r="R155" s="244"/>
      <c r="S155" s="244" t="str" cm="1">
        <f t="array" ref="S155:U155">_xlfn.TEXTSPLIT(F155,"/",,,,3)</f>
        <v>MU</v>
      </c>
      <c r="T155" s="244" t="str">
        <v>MU</v>
      </c>
      <c r="U155" s="244" t="str">
        <v>CH</v>
      </c>
      <c r="V155" s="244">
        <f t="shared" si="41"/>
        <v>0</v>
      </c>
      <c r="W155" s="244">
        <f t="shared" si="41"/>
        <v>1</v>
      </c>
      <c r="X155" s="244">
        <f t="shared" si="41"/>
        <v>0</v>
      </c>
      <c r="Y155" s="244">
        <f t="shared" si="41"/>
        <v>0</v>
      </c>
      <c r="Z155" s="244">
        <f t="shared" si="41"/>
        <v>0</v>
      </c>
      <c r="AA155" s="244">
        <f t="shared" si="41"/>
        <v>0</v>
      </c>
      <c r="AB155" s="244">
        <f t="shared" si="41"/>
        <v>0</v>
      </c>
      <c r="AC155" s="244">
        <f t="shared" si="41"/>
        <v>0</v>
      </c>
      <c r="AD155" s="244">
        <f t="shared" si="41"/>
        <v>0</v>
      </c>
      <c r="AE155" s="244">
        <f t="shared" si="41"/>
        <v>0</v>
      </c>
      <c r="AF155" s="244">
        <f t="shared" si="42"/>
        <v>0</v>
      </c>
      <c r="AG155" s="244">
        <f t="shared" si="42"/>
        <v>0</v>
      </c>
      <c r="AH155" s="244">
        <f t="shared" si="42"/>
        <v>0</v>
      </c>
      <c r="AI155" s="244">
        <f t="shared" si="42"/>
        <v>0</v>
      </c>
      <c r="AJ155" s="244">
        <f t="shared" si="42"/>
        <v>0</v>
      </c>
      <c r="AK155" s="244">
        <f t="shared" si="42"/>
        <v>0</v>
      </c>
      <c r="AL155" s="244">
        <f t="shared" si="42"/>
        <v>0</v>
      </c>
      <c r="AM155" s="244">
        <f t="shared" si="42"/>
        <v>0</v>
      </c>
      <c r="AN155" s="244">
        <f t="shared" si="42"/>
        <v>0</v>
      </c>
      <c r="AO155" s="244">
        <f t="shared" si="42"/>
        <v>0</v>
      </c>
      <c r="AP155" s="244">
        <f t="shared" si="43"/>
        <v>0</v>
      </c>
      <c r="AQ155" s="244">
        <f t="shared" si="43"/>
        <v>0</v>
      </c>
      <c r="AR155" s="244">
        <f t="shared" si="43"/>
        <v>0</v>
      </c>
      <c r="AS155" s="244">
        <f t="shared" si="43"/>
        <v>0</v>
      </c>
      <c r="AT155" s="244">
        <f t="shared" si="43"/>
        <v>0</v>
      </c>
      <c r="AU155" s="244">
        <f t="shared" si="43"/>
        <v>0</v>
      </c>
      <c r="AV155" s="244">
        <f t="shared" si="43"/>
        <v>0</v>
      </c>
      <c r="AW155" s="244"/>
      <c r="AX155" s="244"/>
      <c r="AY155" s="244"/>
      <c r="AZ155" s="244"/>
      <c r="BA155" s="244"/>
      <c r="BB155" s="244"/>
    </row>
    <row r="156" spans="1:54" ht="15" hidden="1">
      <c r="A156" s="331" t="s">
        <v>739</v>
      </c>
      <c r="B156" s="295" t="str">
        <f t="shared" si="27"/>
        <v>Mut: 13 | Mut: 13 | Charisma: 15</v>
      </c>
      <c r="C156" s="308" t="b">
        <v>0</v>
      </c>
      <c r="D156" s="308" t="b">
        <v>0</v>
      </c>
      <c r="E156" s="308" t="b">
        <f t="shared" si="28"/>
        <v>1</v>
      </c>
      <c r="F156" t="s">
        <v>527</v>
      </c>
      <c r="G156" t="s">
        <v>113</v>
      </c>
      <c r="H156" t="s">
        <v>555</v>
      </c>
      <c r="I156" t="s">
        <v>740</v>
      </c>
      <c r="J156" s="295">
        <f>_xlfn.XLOOKUP(G156,Rechner!$A$17:$A$25,Rechner!$B$17:$B$25)</f>
        <v>5</v>
      </c>
      <c r="K156" s="295" t="str">
        <f>_xlfn.XLOOKUP(J156-SUMIF($V$31:$AV$31,TRUE,V156:AV156)-IF(D156=TRUE,1,0),Rechner!$B$17:$B$25,Rechner!$A$17:$A$25,"A+")</f>
        <v>D</v>
      </c>
      <c r="L156" s="295" t="str">
        <f>_xlfn.XLOOKUP(S156,Eigenschaften!$C$20:$C$27,Eigenschaften!$B$20:$B$27)</f>
        <v>Mut</v>
      </c>
      <c r="M156" s="295">
        <f>_xlfn.XLOOKUP(L156,Eigenschaften!$B$20:$B$27,Eigenschaften!$H$20:$H$27,"NaN",1)</f>
        <v>13</v>
      </c>
      <c r="N156" s="295" t="str">
        <f>_xlfn.XLOOKUP(T156,Eigenschaften!$C$20:$C$27,Eigenschaften!$B$20:$B$27)</f>
        <v>Mut</v>
      </c>
      <c r="O156" s="295">
        <f>_xlfn.XLOOKUP(N156,Eigenschaften!$B$20:$B$27,Eigenschaften!$H$20:$H$27,"NaN",1)</f>
        <v>13</v>
      </c>
      <c r="P156" s="295" t="str">
        <f>_xlfn.XLOOKUP(U156,Eigenschaften!$C$20:$C$27,Eigenschaften!$B$20:$B$27)</f>
        <v>Charisma</v>
      </c>
      <c r="Q156" s="295">
        <f>_xlfn.XLOOKUP(P156,Eigenschaften!$B$20:$B$27,Eigenschaften!$H$20:$H$27,"NaN",1)</f>
        <v>15</v>
      </c>
      <c r="R156" s="244"/>
      <c r="S156" s="244" t="str" cm="1">
        <f t="array" ref="S156:U156">_xlfn.TEXTSPLIT(F156,"/",,,,3)</f>
        <v>MU</v>
      </c>
      <c r="T156" s="244" t="str">
        <v>MU</v>
      </c>
      <c r="U156" s="244" t="str">
        <v>CH</v>
      </c>
      <c r="V156" s="244">
        <f t="shared" ref="V156:AE165" si="44">IF(ISNUMBER(SEARCH(V$32,$H156)),1,0)</f>
        <v>0</v>
      </c>
      <c r="W156" s="244">
        <f t="shared" si="44"/>
        <v>1</v>
      </c>
      <c r="X156" s="244">
        <f t="shared" si="44"/>
        <v>0</v>
      </c>
      <c r="Y156" s="244">
        <f t="shared" si="44"/>
        <v>0</v>
      </c>
      <c r="Z156" s="244">
        <f t="shared" si="44"/>
        <v>0</v>
      </c>
      <c r="AA156" s="244">
        <f t="shared" si="44"/>
        <v>0</v>
      </c>
      <c r="AB156" s="244">
        <f t="shared" si="44"/>
        <v>0</v>
      </c>
      <c r="AC156" s="244">
        <f t="shared" si="44"/>
        <v>0</v>
      </c>
      <c r="AD156" s="244">
        <f t="shared" si="44"/>
        <v>0</v>
      </c>
      <c r="AE156" s="244">
        <f t="shared" si="44"/>
        <v>0</v>
      </c>
      <c r="AF156" s="244">
        <f t="shared" ref="AF156:AO165" si="45">IF(ISNUMBER(SEARCH(AF$32,$H156)),1,0)</f>
        <v>0</v>
      </c>
      <c r="AG156" s="244">
        <f t="shared" si="45"/>
        <v>0</v>
      </c>
      <c r="AH156" s="244">
        <f t="shared" si="45"/>
        <v>0</v>
      </c>
      <c r="AI156" s="244">
        <f t="shared" si="45"/>
        <v>0</v>
      </c>
      <c r="AJ156" s="244">
        <f t="shared" si="45"/>
        <v>0</v>
      </c>
      <c r="AK156" s="244">
        <f t="shared" si="45"/>
        <v>0</v>
      </c>
      <c r="AL156" s="244">
        <f t="shared" si="45"/>
        <v>0</v>
      </c>
      <c r="AM156" s="244">
        <f t="shared" si="45"/>
        <v>0</v>
      </c>
      <c r="AN156" s="244">
        <f t="shared" si="45"/>
        <v>0</v>
      </c>
      <c r="AO156" s="244">
        <f t="shared" si="45"/>
        <v>0</v>
      </c>
      <c r="AP156" s="244">
        <f t="shared" ref="AP156:AV165" si="46">IF(ISNUMBER(SEARCH(AP$32,$H156)),1,0)</f>
        <v>0</v>
      </c>
      <c r="AQ156" s="244">
        <f t="shared" si="46"/>
        <v>0</v>
      </c>
      <c r="AR156" s="244">
        <f t="shared" si="46"/>
        <v>0</v>
      </c>
      <c r="AS156" s="244">
        <f t="shared" si="46"/>
        <v>0</v>
      </c>
      <c r="AT156" s="244">
        <f t="shared" si="46"/>
        <v>0</v>
      </c>
      <c r="AU156" s="244">
        <f t="shared" si="46"/>
        <v>0</v>
      </c>
      <c r="AV156" s="244">
        <f t="shared" si="46"/>
        <v>0</v>
      </c>
      <c r="AW156" s="244"/>
      <c r="AX156" s="244"/>
      <c r="AY156" s="244"/>
      <c r="AZ156" s="244"/>
      <c r="BA156" s="244"/>
      <c r="BB156" s="244"/>
    </row>
    <row r="157" spans="1:54" ht="15" hidden="1">
      <c r="A157" s="331" t="s">
        <v>741</v>
      </c>
      <c r="B157" s="295" t="str">
        <f t="shared" si="27"/>
        <v>Mut: 13 | Mut: 13 | Intuition: 15</v>
      </c>
      <c r="C157" s="308" t="b">
        <v>0</v>
      </c>
      <c r="D157" s="308" t="b">
        <v>0</v>
      </c>
      <c r="E157" s="308" t="b">
        <f t="shared" si="28"/>
        <v>0</v>
      </c>
      <c r="F157" t="s">
        <v>742</v>
      </c>
      <c r="G157" t="s">
        <v>113</v>
      </c>
      <c r="H157" t="s">
        <v>743</v>
      </c>
      <c r="I157" t="s">
        <v>744</v>
      </c>
      <c r="J157" s="295">
        <f>_xlfn.XLOOKUP(G157,Rechner!$A$17:$A$25,Rechner!$B$17:$B$25)</f>
        <v>5</v>
      </c>
      <c r="K157" s="295" t="str">
        <f>_xlfn.XLOOKUP(J157-SUMIF($V$31:$AV$31,TRUE,V157:AV157)-IF(D157=TRUE,1,0),Rechner!$B$17:$B$25,Rechner!$A$17:$A$25,"A+")</f>
        <v>C</v>
      </c>
      <c r="L157" s="295" t="str">
        <f>_xlfn.XLOOKUP(S157,Eigenschaften!$C$20:$C$27,Eigenschaften!$B$20:$B$27)</f>
        <v>Mut</v>
      </c>
      <c r="M157" s="295">
        <f>_xlfn.XLOOKUP(L157,Eigenschaften!$B$20:$B$27,Eigenschaften!$H$20:$H$27,"NaN",1)</f>
        <v>13</v>
      </c>
      <c r="N157" s="295" t="str">
        <f>_xlfn.XLOOKUP(T157,Eigenschaften!$C$20:$C$27,Eigenschaften!$B$20:$B$27)</f>
        <v>Mut</v>
      </c>
      <c r="O157" s="295">
        <f>_xlfn.XLOOKUP(N157,Eigenschaften!$B$20:$B$27,Eigenschaften!$H$20:$H$27,"NaN",1)</f>
        <v>13</v>
      </c>
      <c r="P157" s="295" t="str">
        <f>_xlfn.XLOOKUP(U157,Eigenschaften!$C$20:$C$27,Eigenschaften!$B$20:$B$27)</f>
        <v>Intuition</v>
      </c>
      <c r="Q157" s="295">
        <f>_xlfn.XLOOKUP(P157,Eigenschaften!$B$20:$B$27,Eigenschaften!$H$20:$H$27,"NaN",1)</f>
        <v>15</v>
      </c>
      <c r="R157" s="244"/>
      <c r="S157" s="244" t="str" cm="1">
        <f t="array" ref="S157:U157">_xlfn.TEXTSPLIT(F157,"/",,,,3)</f>
        <v>MU</v>
      </c>
      <c r="T157" s="244" t="str">
        <v>MU</v>
      </c>
      <c r="U157" s="244" t="str">
        <v>IN</v>
      </c>
      <c r="V157" s="244">
        <f t="shared" si="44"/>
        <v>0</v>
      </c>
      <c r="W157" s="244">
        <f t="shared" si="44"/>
        <v>0</v>
      </c>
      <c r="X157" s="244">
        <f t="shared" si="44"/>
        <v>0</v>
      </c>
      <c r="Y157" s="244">
        <f t="shared" si="44"/>
        <v>0</v>
      </c>
      <c r="Z157" s="244">
        <f t="shared" si="44"/>
        <v>0</v>
      </c>
      <c r="AA157" s="244">
        <f t="shared" si="44"/>
        <v>0</v>
      </c>
      <c r="AB157" s="244">
        <f t="shared" si="44"/>
        <v>0</v>
      </c>
      <c r="AC157" s="244">
        <f t="shared" si="44"/>
        <v>0</v>
      </c>
      <c r="AD157" s="244">
        <f t="shared" si="44"/>
        <v>0</v>
      </c>
      <c r="AE157" s="244">
        <f t="shared" si="44"/>
        <v>0</v>
      </c>
      <c r="AF157" s="244">
        <f t="shared" si="45"/>
        <v>1</v>
      </c>
      <c r="AG157" s="244">
        <f t="shared" si="45"/>
        <v>0</v>
      </c>
      <c r="AH157" s="244">
        <f t="shared" si="45"/>
        <v>0</v>
      </c>
      <c r="AI157" s="244">
        <f t="shared" si="45"/>
        <v>0</v>
      </c>
      <c r="AJ157" s="244">
        <f t="shared" si="45"/>
        <v>0</v>
      </c>
      <c r="AK157" s="244">
        <f t="shared" si="45"/>
        <v>0</v>
      </c>
      <c r="AL157" s="244">
        <f t="shared" si="45"/>
        <v>0</v>
      </c>
      <c r="AM157" s="244">
        <f t="shared" si="45"/>
        <v>0</v>
      </c>
      <c r="AN157" s="244">
        <f t="shared" si="45"/>
        <v>0</v>
      </c>
      <c r="AO157" s="244">
        <f t="shared" si="45"/>
        <v>0</v>
      </c>
      <c r="AP157" s="244">
        <f t="shared" si="46"/>
        <v>0</v>
      </c>
      <c r="AQ157" s="244">
        <f t="shared" si="46"/>
        <v>0</v>
      </c>
      <c r="AR157" s="244">
        <f t="shared" si="46"/>
        <v>1</v>
      </c>
      <c r="AS157" s="244">
        <f t="shared" si="46"/>
        <v>0</v>
      </c>
      <c r="AT157" s="244">
        <f t="shared" si="46"/>
        <v>0</v>
      </c>
      <c r="AU157" s="244">
        <f t="shared" si="46"/>
        <v>0</v>
      </c>
      <c r="AV157" s="244">
        <f t="shared" si="46"/>
        <v>0</v>
      </c>
      <c r="AW157" s="244"/>
      <c r="AX157" s="244"/>
      <c r="AY157" s="244"/>
      <c r="AZ157" s="244"/>
      <c r="BA157" s="244"/>
      <c r="BB157" s="244"/>
    </row>
    <row r="158" spans="1:54" ht="15" hidden="1">
      <c r="A158" s="331" t="s">
        <v>745</v>
      </c>
      <c r="B158" s="295" t="str">
        <f t="shared" si="27"/>
        <v>Mut: 13 | Intuition: 15 | Charisma: 15</v>
      </c>
      <c r="C158" s="308" t="b">
        <v>0</v>
      </c>
      <c r="D158" s="308" t="b">
        <v>0</v>
      </c>
      <c r="E158" s="308" t="b">
        <f t="shared" si="28"/>
        <v>0</v>
      </c>
      <c r="F158" t="s">
        <v>336</v>
      </c>
      <c r="G158" t="s">
        <v>125</v>
      </c>
      <c r="H158" t="s">
        <v>368</v>
      </c>
      <c r="I158" t="s">
        <v>746</v>
      </c>
      <c r="J158" s="295">
        <f>_xlfn.XLOOKUP(G158,Rechner!$A$17:$A$25,Rechner!$B$17:$B$25)</f>
        <v>3</v>
      </c>
      <c r="K158" s="295" t="str">
        <f>_xlfn.XLOOKUP(J158-SUMIF($V$31:$AV$31,TRUE,V158:AV158)-IF(D158=TRUE,1,0),Rechner!$B$17:$B$25,Rechner!$A$17:$A$25,"A+")</f>
        <v>A</v>
      </c>
      <c r="L158" s="295" t="str">
        <f>_xlfn.XLOOKUP(S158,Eigenschaften!$C$20:$C$27,Eigenschaften!$B$20:$B$27)</f>
        <v>Mut</v>
      </c>
      <c r="M158" s="295">
        <f>_xlfn.XLOOKUP(L158,Eigenschaften!$B$20:$B$27,Eigenschaften!$H$20:$H$27,"NaN",1)</f>
        <v>13</v>
      </c>
      <c r="N158" s="295" t="str">
        <f>_xlfn.XLOOKUP(T158,Eigenschaften!$C$20:$C$27,Eigenschaften!$B$20:$B$27)</f>
        <v>Intuition</v>
      </c>
      <c r="O158" s="295">
        <f>_xlfn.XLOOKUP(N158,Eigenschaften!$B$20:$B$27,Eigenschaften!$H$20:$H$27,"NaN",1)</f>
        <v>15</v>
      </c>
      <c r="P158" s="295" t="str">
        <f>_xlfn.XLOOKUP(U158,Eigenschaften!$C$20:$C$27,Eigenschaften!$B$20:$B$27)</f>
        <v>Charisma</v>
      </c>
      <c r="Q158" s="295">
        <f>_xlfn.XLOOKUP(P158,Eigenschaften!$B$20:$B$27,Eigenschaften!$H$20:$H$27,"NaN",1)</f>
        <v>15</v>
      </c>
      <c r="R158" s="244"/>
      <c r="S158" s="244" t="str" cm="1">
        <f t="array" ref="S158:U158">_xlfn.TEXTSPLIT(F158,"/",,,,3)</f>
        <v>MU</v>
      </c>
      <c r="T158" s="244" t="str">
        <v>IN</v>
      </c>
      <c r="U158" s="244" t="str">
        <v>CH</v>
      </c>
      <c r="V158" s="244">
        <f t="shared" si="44"/>
        <v>0</v>
      </c>
      <c r="W158" s="244">
        <f t="shared" si="44"/>
        <v>0</v>
      </c>
      <c r="X158" s="244">
        <f t="shared" si="44"/>
        <v>0</v>
      </c>
      <c r="Y158" s="244">
        <f t="shared" si="44"/>
        <v>0</v>
      </c>
      <c r="Z158" s="244">
        <f t="shared" si="44"/>
        <v>0</v>
      </c>
      <c r="AA158" s="244">
        <f t="shared" si="44"/>
        <v>0</v>
      </c>
      <c r="AB158" s="244">
        <f t="shared" si="44"/>
        <v>0</v>
      </c>
      <c r="AC158" s="244">
        <f t="shared" si="44"/>
        <v>0</v>
      </c>
      <c r="AD158" s="244">
        <f t="shared" si="44"/>
        <v>0</v>
      </c>
      <c r="AE158" s="244">
        <f t="shared" si="44"/>
        <v>0</v>
      </c>
      <c r="AF158" s="244">
        <f t="shared" si="45"/>
        <v>1</v>
      </c>
      <c r="AG158" s="244">
        <f t="shared" si="45"/>
        <v>0</v>
      </c>
      <c r="AH158" s="244">
        <f t="shared" si="45"/>
        <v>0</v>
      </c>
      <c r="AI158" s="244">
        <f t="shared" si="45"/>
        <v>0</v>
      </c>
      <c r="AJ158" s="244">
        <f t="shared" si="45"/>
        <v>0</v>
      </c>
      <c r="AK158" s="244">
        <f t="shared" si="45"/>
        <v>0</v>
      </c>
      <c r="AL158" s="244">
        <f t="shared" si="45"/>
        <v>0</v>
      </c>
      <c r="AM158" s="244">
        <f t="shared" si="45"/>
        <v>0</v>
      </c>
      <c r="AN158" s="244">
        <f t="shared" si="45"/>
        <v>0</v>
      </c>
      <c r="AO158" s="244">
        <f t="shared" si="45"/>
        <v>0</v>
      </c>
      <c r="AP158" s="244">
        <f t="shared" si="46"/>
        <v>0</v>
      </c>
      <c r="AQ158" s="244">
        <f t="shared" si="46"/>
        <v>0</v>
      </c>
      <c r="AR158" s="244">
        <f t="shared" si="46"/>
        <v>0</v>
      </c>
      <c r="AS158" s="244">
        <f t="shared" si="46"/>
        <v>0</v>
      </c>
      <c r="AT158" s="244">
        <f t="shared" si="46"/>
        <v>0</v>
      </c>
      <c r="AU158" s="244">
        <f t="shared" si="46"/>
        <v>0</v>
      </c>
      <c r="AV158" s="244">
        <f t="shared" si="46"/>
        <v>0</v>
      </c>
      <c r="AW158" s="244"/>
      <c r="AX158" s="244"/>
      <c r="AY158" s="244"/>
      <c r="AZ158" s="244"/>
      <c r="BA158" s="244"/>
      <c r="BB158" s="244"/>
    </row>
    <row r="159" spans="1:54" ht="15" hidden="1">
      <c r="A159" s="331" t="s">
        <v>747</v>
      </c>
      <c r="B159" s="295" t="str">
        <f t="shared" si="27"/>
        <v>Mut: 13 | Intuition: 15 | Charisma: 15</v>
      </c>
      <c r="C159" s="308" t="b">
        <v>0</v>
      </c>
      <c r="D159" s="308" t="b">
        <v>0</v>
      </c>
      <c r="E159" s="308" t="b">
        <f t="shared" si="28"/>
        <v>0</v>
      </c>
      <c r="F159" t="s">
        <v>336</v>
      </c>
      <c r="G159" t="s">
        <v>110</v>
      </c>
      <c r="H159" t="s">
        <v>586</v>
      </c>
      <c r="I159" t="s">
        <v>748</v>
      </c>
      <c r="J159" s="295">
        <f>_xlfn.XLOOKUP(G159,Rechner!$A$17:$A$25,Rechner!$B$17:$B$25)</f>
        <v>4</v>
      </c>
      <c r="K159" s="295" t="str">
        <f>_xlfn.XLOOKUP(J159-SUMIF($V$31:$AV$31,TRUE,V159:AV159)-IF(D159=TRUE,1,0),Rechner!$B$17:$B$25,Rechner!$A$17:$A$25,"A+")</f>
        <v>A</v>
      </c>
      <c r="L159" s="295" t="str">
        <f>_xlfn.XLOOKUP(S159,Eigenschaften!$C$20:$C$27,Eigenschaften!$B$20:$B$27)</f>
        <v>Mut</v>
      </c>
      <c r="M159" s="295">
        <f>_xlfn.XLOOKUP(L159,Eigenschaften!$B$20:$B$27,Eigenschaften!$H$20:$H$27,"NaN",1)</f>
        <v>13</v>
      </c>
      <c r="N159" s="295" t="str">
        <f>_xlfn.XLOOKUP(T159,Eigenschaften!$C$20:$C$27,Eigenschaften!$B$20:$B$27)</f>
        <v>Intuition</v>
      </c>
      <c r="O159" s="295">
        <f>_xlfn.XLOOKUP(N159,Eigenschaften!$B$20:$B$27,Eigenschaften!$H$20:$H$27,"NaN",1)</f>
        <v>15</v>
      </c>
      <c r="P159" s="295" t="str">
        <f>_xlfn.XLOOKUP(U159,Eigenschaften!$C$20:$C$27,Eigenschaften!$B$20:$B$27)</f>
        <v>Charisma</v>
      </c>
      <c r="Q159" s="295">
        <f>_xlfn.XLOOKUP(P159,Eigenschaften!$B$20:$B$27,Eigenschaften!$H$20:$H$27,"NaN",1)</f>
        <v>15</v>
      </c>
      <c r="R159" s="244"/>
      <c r="S159" s="244" t="str" cm="1">
        <f t="array" ref="S159:U159">_xlfn.TEXTSPLIT(F159,"/",,,,3)</f>
        <v>MU</v>
      </c>
      <c r="T159" s="244" t="str">
        <v>IN</v>
      </c>
      <c r="U159" s="244" t="str">
        <v>CH</v>
      </c>
      <c r="V159" s="244">
        <f t="shared" si="44"/>
        <v>0</v>
      </c>
      <c r="W159" s="244">
        <f t="shared" si="44"/>
        <v>0</v>
      </c>
      <c r="X159" s="244">
        <f t="shared" si="44"/>
        <v>1</v>
      </c>
      <c r="Y159" s="244">
        <f t="shared" si="44"/>
        <v>0</v>
      </c>
      <c r="Z159" s="244">
        <f t="shared" si="44"/>
        <v>0</v>
      </c>
      <c r="AA159" s="244">
        <f t="shared" si="44"/>
        <v>0</v>
      </c>
      <c r="AB159" s="244">
        <f t="shared" si="44"/>
        <v>0</v>
      </c>
      <c r="AC159" s="244">
        <f t="shared" si="44"/>
        <v>0</v>
      </c>
      <c r="AD159" s="244">
        <f t="shared" si="44"/>
        <v>0</v>
      </c>
      <c r="AE159" s="244">
        <f t="shared" si="44"/>
        <v>0</v>
      </c>
      <c r="AF159" s="244">
        <f t="shared" si="45"/>
        <v>1</v>
      </c>
      <c r="AG159" s="244">
        <f t="shared" si="45"/>
        <v>0</v>
      </c>
      <c r="AH159" s="244">
        <f t="shared" si="45"/>
        <v>0</v>
      </c>
      <c r="AI159" s="244">
        <f t="shared" si="45"/>
        <v>0</v>
      </c>
      <c r="AJ159" s="244">
        <f t="shared" si="45"/>
        <v>0</v>
      </c>
      <c r="AK159" s="244">
        <f t="shared" si="45"/>
        <v>0</v>
      </c>
      <c r="AL159" s="244">
        <f t="shared" si="45"/>
        <v>0</v>
      </c>
      <c r="AM159" s="244">
        <f t="shared" si="45"/>
        <v>0</v>
      </c>
      <c r="AN159" s="244">
        <f t="shared" si="45"/>
        <v>0</v>
      </c>
      <c r="AO159" s="244">
        <f t="shared" si="45"/>
        <v>0</v>
      </c>
      <c r="AP159" s="244">
        <f t="shared" si="46"/>
        <v>0</v>
      </c>
      <c r="AQ159" s="244">
        <f t="shared" si="46"/>
        <v>0</v>
      </c>
      <c r="AR159" s="244">
        <f t="shared" si="46"/>
        <v>0</v>
      </c>
      <c r="AS159" s="244">
        <f t="shared" si="46"/>
        <v>0</v>
      </c>
      <c r="AT159" s="244">
        <f t="shared" si="46"/>
        <v>0</v>
      </c>
      <c r="AU159" s="244">
        <f t="shared" si="46"/>
        <v>0</v>
      </c>
      <c r="AV159" s="244">
        <f t="shared" si="46"/>
        <v>0</v>
      </c>
      <c r="AW159" s="244"/>
      <c r="AX159" s="244"/>
      <c r="AY159" s="244"/>
      <c r="AZ159" s="244"/>
      <c r="BA159" s="244"/>
      <c r="BB159" s="244"/>
    </row>
    <row r="160" spans="1:54" ht="15">
      <c r="A160" s="331" t="s">
        <v>696</v>
      </c>
      <c r="B160" s="295" t="str">
        <f t="shared" si="27"/>
        <v>Mut: 13 | Intuition: 15 | Charisma: 15</v>
      </c>
      <c r="C160" s="308" t="b">
        <v>1</v>
      </c>
      <c r="D160" s="308" t="b">
        <v>0</v>
      </c>
      <c r="E160" s="308" t="b">
        <f t="shared" si="28"/>
        <v>1</v>
      </c>
      <c r="F160" t="s">
        <v>336</v>
      </c>
      <c r="G160" t="s">
        <v>110</v>
      </c>
      <c r="H160" t="s">
        <v>379</v>
      </c>
      <c r="I160" t="s">
        <v>697</v>
      </c>
      <c r="J160" s="295">
        <f>_xlfn.XLOOKUP(G160,Rechner!$A$17:$A$25,Rechner!$B$17:$B$25)</f>
        <v>4</v>
      </c>
      <c r="K160" s="338" t="str">
        <f>_xlfn.XLOOKUP(J160-SUMIF($V$31:$AV$31,TRUE,V160:AV160)-IF(D160=TRUE,1,0),Rechner!$B$17:$B$25,Rechner!$A$17:$A$25,"A+")</f>
        <v>C</v>
      </c>
      <c r="L160" s="295" t="str">
        <f>_xlfn.XLOOKUP(S160,Eigenschaften!$C$20:$C$27,Eigenschaften!$B$20:$B$27)</f>
        <v>Mut</v>
      </c>
      <c r="M160" s="295">
        <f>_xlfn.XLOOKUP(L160,Eigenschaften!$B$20:$B$27,Eigenschaften!$H$20:$H$27,"NaN",1)</f>
        <v>13</v>
      </c>
      <c r="N160" s="295" t="str">
        <f>_xlfn.XLOOKUP(T160,Eigenschaften!$C$20:$C$27,Eigenschaften!$B$20:$B$27)</f>
        <v>Intuition</v>
      </c>
      <c r="O160" s="295">
        <f>_xlfn.XLOOKUP(N160,Eigenschaften!$B$20:$B$27,Eigenschaften!$H$20:$H$27,"NaN",1)</f>
        <v>15</v>
      </c>
      <c r="P160" s="295" t="str">
        <f>_xlfn.XLOOKUP(U160,Eigenschaften!$C$20:$C$27,Eigenschaften!$B$20:$B$27)</f>
        <v>Charisma</v>
      </c>
      <c r="Q160" s="295">
        <f>_xlfn.XLOOKUP(P160,Eigenschaften!$B$20:$B$27,Eigenschaften!$H$20:$H$27,"NaN",1)</f>
        <v>15</v>
      </c>
      <c r="R160" s="244"/>
      <c r="S160" s="244" t="str" cm="1">
        <f t="array" ref="S160:U160">_xlfn.TEXTSPLIT(F160,"/",,,,3)</f>
        <v>MU</v>
      </c>
      <c r="T160" s="244" t="str">
        <v>IN</v>
      </c>
      <c r="U160" s="244" t="str">
        <v>CH</v>
      </c>
      <c r="V160" s="244">
        <f t="shared" si="44"/>
        <v>0</v>
      </c>
      <c r="W160" s="244">
        <f t="shared" si="44"/>
        <v>0</v>
      </c>
      <c r="X160" s="244">
        <f t="shared" si="44"/>
        <v>0</v>
      </c>
      <c r="Y160" s="244">
        <f t="shared" si="44"/>
        <v>0</v>
      </c>
      <c r="Z160" s="244">
        <f t="shared" si="44"/>
        <v>0</v>
      </c>
      <c r="AA160" s="244">
        <f t="shared" si="44"/>
        <v>0</v>
      </c>
      <c r="AB160" s="244">
        <f t="shared" si="44"/>
        <v>0</v>
      </c>
      <c r="AC160" s="244">
        <f t="shared" si="44"/>
        <v>0</v>
      </c>
      <c r="AD160" s="244">
        <f t="shared" si="44"/>
        <v>0</v>
      </c>
      <c r="AE160" s="244">
        <f t="shared" si="44"/>
        <v>0</v>
      </c>
      <c r="AF160" s="244">
        <f t="shared" si="45"/>
        <v>0</v>
      </c>
      <c r="AG160" s="244">
        <f t="shared" si="45"/>
        <v>0</v>
      </c>
      <c r="AH160" s="244">
        <f t="shared" si="45"/>
        <v>0</v>
      </c>
      <c r="AI160" s="244">
        <f t="shared" si="45"/>
        <v>0</v>
      </c>
      <c r="AJ160" s="244">
        <f t="shared" si="45"/>
        <v>0</v>
      </c>
      <c r="AK160" s="244">
        <f t="shared" si="45"/>
        <v>0</v>
      </c>
      <c r="AL160" s="244">
        <f t="shared" si="45"/>
        <v>0</v>
      </c>
      <c r="AM160" s="244">
        <f t="shared" si="45"/>
        <v>0</v>
      </c>
      <c r="AN160" s="244">
        <f t="shared" si="45"/>
        <v>0</v>
      </c>
      <c r="AO160" s="244">
        <f t="shared" si="45"/>
        <v>0</v>
      </c>
      <c r="AP160" s="244">
        <f t="shared" si="46"/>
        <v>0</v>
      </c>
      <c r="AQ160" s="244">
        <f t="shared" si="46"/>
        <v>0</v>
      </c>
      <c r="AR160" s="244">
        <f t="shared" si="46"/>
        <v>1</v>
      </c>
      <c r="AS160" s="244">
        <f t="shared" si="46"/>
        <v>0</v>
      </c>
      <c r="AT160" s="244">
        <f t="shared" si="46"/>
        <v>0</v>
      </c>
      <c r="AU160" s="244">
        <f t="shared" si="46"/>
        <v>0</v>
      </c>
      <c r="AV160" s="244">
        <f t="shared" si="46"/>
        <v>0</v>
      </c>
      <c r="AW160" s="244">
        <v>6</v>
      </c>
      <c r="AX160" s="244" t="s">
        <v>1596</v>
      </c>
      <c r="AY160" s="244" t="s">
        <v>1636</v>
      </c>
      <c r="AZ160" s="244" t="s">
        <v>1635</v>
      </c>
      <c r="BA160" s="244" t="s">
        <v>1637</v>
      </c>
      <c r="BB160" s="244"/>
    </row>
    <row r="161" spans="1:54" ht="15" hidden="1">
      <c r="A161" s="331" t="s">
        <v>750</v>
      </c>
      <c r="B161" s="295" t="str">
        <f t="shared" si="27"/>
        <v>Klugheit: 12 | Klugheit: 12 | Charisma: 15</v>
      </c>
      <c r="C161" s="308" t="b">
        <v>0</v>
      </c>
      <c r="D161" s="308" t="b">
        <v>0</v>
      </c>
      <c r="E161" s="308" t="b">
        <f t="shared" si="28"/>
        <v>1</v>
      </c>
      <c r="F161" t="s">
        <v>291</v>
      </c>
      <c r="G161" t="s">
        <v>113</v>
      </c>
      <c r="H161" t="s">
        <v>563</v>
      </c>
      <c r="I161" t="s">
        <v>751</v>
      </c>
      <c r="J161" s="295">
        <f>_xlfn.XLOOKUP(G161,Rechner!$A$17:$A$25,Rechner!$B$17:$B$25)</f>
        <v>5</v>
      </c>
      <c r="K161" s="295" t="str">
        <f>_xlfn.XLOOKUP(J161-SUMIF($V$31:$AV$31,TRUE,V161:AV161)-IF(D161=TRUE,1,0),Rechner!$B$17:$B$25,Rechner!$A$17:$A$25,"A+")</f>
        <v>D</v>
      </c>
      <c r="L161" s="295" t="str">
        <f>_xlfn.XLOOKUP(S161,Eigenschaften!$C$20:$C$27,Eigenschaften!$B$20:$B$27)</f>
        <v>Klugheit</v>
      </c>
      <c r="M161" s="295">
        <f>_xlfn.XLOOKUP(L161,Eigenschaften!$B$20:$B$27,Eigenschaften!$H$20:$H$27,"NaN",1)</f>
        <v>12</v>
      </c>
      <c r="N161" s="295" t="str">
        <f>_xlfn.XLOOKUP(T161,Eigenschaften!$C$20:$C$27,Eigenschaften!$B$20:$B$27)</f>
        <v>Klugheit</v>
      </c>
      <c r="O161" s="295">
        <f>_xlfn.XLOOKUP(N161,Eigenschaften!$B$20:$B$27,Eigenschaften!$H$20:$H$27,"NaN",1)</f>
        <v>12</v>
      </c>
      <c r="P161" s="295" t="str">
        <f>_xlfn.XLOOKUP(U161,Eigenschaften!$C$20:$C$27,Eigenschaften!$B$20:$B$27)</f>
        <v>Charisma</v>
      </c>
      <c r="Q161" s="295">
        <f>_xlfn.XLOOKUP(P161,Eigenschaften!$B$20:$B$27,Eigenschaften!$H$20:$H$27,"NaN",1)</f>
        <v>15</v>
      </c>
      <c r="R161" s="244"/>
      <c r="S161" s="244" t="str" cm="1">
        <f t="array" ref="S161:U161">_xlfn.TEXTSPLIT(F161,"/",,,,3)</f>
        <v>KL</v>
      </c>
      <c r="T161" s="244" t="str">
        <v>KL</v>
      </c>
      <c r="U161" s="244" t="str">
        <v>CH</v>
      </c>
      <c r="V161" s="244">
        <f t="shared" si="44"/>
        <v>0</v>
      </c>
      <c r="W161" s="244">
        <f t="shared" si="44"/>
        <v>0</v>
      </c>
      <c r="X161" s="244">
        <f t="shared" si="44"/>
        <v>0</v>
      </c>
      <c r="Y161" s="244">
        <f t="shared" si="44"/>
        <v>0</v>
      </c>
      <c r="Z161" s="244">
        <f t="shared" si="44"/>
        <v>0</v>
      </c>
      <c r="AA161" s="244">
        <f t="shared" si="44"/>
        <v>0</v>
      </c>
      <c r="AB161" s="244">
        <f t="shared" si="44"/>
        <v>0</v>
      </c>
      <c r="AC161" s="244">
        <f t="shared" si="44"/>
        <v>0</v>
      </c>
      <c r="AD161" s="244">
        <f t="shared" si="44"/>
        <v>0</v>
      </c>
      <c r="AE161" s="244">
        <f t="shared" si="44"/>
        <v>0</v>
      </c>
      <c r="AF161" s="244">
        <f t="shared" si="45"/>
        <v>0</v>
      </c>
      <c r="AG161" s="244">
        <f t="shared" si="45"/>
        <v>1</v>
      </c>
      <c r="AH161" s="244">
        <f t="shared" si="45"/>
        <v>0</v>
      </c>
      <c r="AI161" s="244">
        <f t="shared" si="45"/>
        <v>1</v>
      </c>
      <c r="AJ161" s="244">
        <f t="shared" si="45"/>
        <v>0</v>
      </c>
      <c r="AK161" s="244">
        <f t="shared" si="45"/>
        <v>0</v>
      </c>
      <c r="AL161" s="244">
        <f t="shared" si="45"/>
        <v>0</v>
      </c>
      <c r="AM161" s="244">
        <f t="shared" si="45"/>
        <v>0</v>
      </c>
      <c r="AN161" s="244">
        <f t="shared" si="45"/>
        <v>0</v>
      </c>
      <c r="AO161" s="244">
        <f t="shared" si="45"/>
        <v>0</v>
      </c>
      <c r="AP161" s="244">
        <f t="shared" si="46"/>
        <v>0</v>
      </c>
      <c r="AQ161" s="244">
        <f t="shared" si="46"/>
        <v>0</v>
      </c>
      <c r="AR161" s="244">
        <f t="shared" si="46"/>
        <v>0</v>
      </c>
      <c r="AS161" s="244">
        <f t="shared" si="46"/>
        <v>0</v>
      </c>
      <c r="AT161" s="244">
        <f t="shared" si="46"/>
        <v>0</v>
      </c>
      <c r="AU161" s="244">
        <f t="shared" si="46"/>
        <v>0</v>
      </c>
      <c r="AV161" s="244">
        <f t="shared" si="46"/>
        <v>0</v>
      </c>
      <c r="AW161" s="244"/>
      <c r="AX161" s="244"/>
      <c r="AY161" s="244"/>
      <c r="AZ161" s="244"/>
      <c r="BA161" s="244"/>
      <c r="BB161" s="244"/>
    </row>
    <row r="162" spans="1:54" ht="15" hidden="1">
      <c r="A162" s="331" t="s">
        <v>752</v>
      </c>
      <c r="B162" s="295" t="str">
        <f t="shared" si="27"/>
        <v>Klugheit: 12 | Fingerfertigkeit: 10 | Körperkraft: 12</v>
      </c>
      <c r="C162" s="308" t="b">
        <v>0</v>
      </c>
      <c r="D162" s="308" t="b">
        <v>0</v>
      </c>
      <c r="E162" s="308" t="b">
        <f t="shared" si="28"/>
        <v>1</v>
      </c>
      <c r="F162" t="s">
        <v>302</v>
      </c>
      <c r="G162" t="s">
        <v>128</v>
      </c>
      <c r="H162" t="s">
        <v>380</v>
      </c>
      <c r="I162" t="s">
        <v>753</v>
      </c>
      <c r="J162" s="295">
        <f>_xlfn.XLOOKUP(G162,Rechner!$A$17:$A$25,Rechner!$B$17:$B$25)</f>
        <v>2</v>
      </c>
      <c r="K162" s="295" t="str">
        <f>_xlfn.XLOOKUP(J162-SUMIF($V$31:$AV$31,TRUE,V162:AV162)-IF(D162=TRUE,1,0),Rechner!$B$17:$B$25,Rechner!$A$17:$A$25,"A+")</f>
        <v>A</v>
      </c>
      <c r="L162" s="295" t="str">
        <f>_xlfn.XLOOKUP(S162,Eigenschaften!$C$20:$C$27,Eigenschaften!$B$20:$B$27)</f>
        <v>Klugheit</v>
      </c>
      <c r="M162" s="295">
        <f>_xlfn.XLOOKUP(L162,Eigenschaften!$B$20:$B$27,Eigenschaften!$H$20:$H$27,"NaN",1)</f>
        <v>12</v>
      </c>
      <c r="N162" s="295" t="str">
        <f>_xlfn.XLOOKUP(T162,Eigenschaften!$C$20:$C$27,Eigenschaften!$B$20:$B$27)</f>
        <v>Fingerfertigkeit</v>
      </c>
      <c r="O162" s="295">
        <f>_xlfn.XLOOKUP(N162,Eigenschaften!$B$20:$B$27,Eigenschaften!$H$20:$H$27,"NaN",1)</f>
        <v>10</v>
      </c>
      <c r="P162" s="295" t="str">
        <f>_xlfn.XLOOKUP(U162,Eigenschaften!$C$20:$C$27,Eigenschaften!$B$20:$B$27)</f>
        <v>Körperkraft</v>
      </c>
      <c r="Q162" s="295">
        <f>_xlfn.XLOOKUP(P162,Eigenschaften!$B$20:$B$27,Eigenschaften!$H$20:$H$27,"NaN",1)</f>
        <v>12</v>
      </c>
      <c r="R162" s="244"/>
      <c r="S162" s="244" t="str" cm="1">
        <f t="array" ref="S162:U162">_xlfn.TEXTSPLIT(F162,"/",,,,3)</f>
        <v>KL</v>
      </c>
      <c r="T162" s="244" t="str">
        <v>FF</v>
      </c>
      <c r="U162" s="244" t="str">
        <v>KK</v>
      </c>
      <c r="V162" s="244">
        <f t="shared" si="44"/>
        <v>0</v>
      </c>
      <c r="W162" s="244">
        <f t="shared" si="44"/>
        <v>0</v>
      </c>
      <c r="X162" s="244">
        <f t="shared" si="44"/>
        <v>0</v>
      </c>
      <c r="Y162" s="244">
        <f t="shared" si="44"/>
        <v>0</v>
      </c>
      <c r="Z162" s="244">
        <f t="shared" si="44"/>
        <v>0</v>
      </c>
      <c r="AA162" s="244">
        <f t="shared" si="44"/>
        <v>0</v>
      </c>
      <c r="AB162" s="244">
        <f t="shared" si="44"/>
        <v>0</v>
      </c>
      <c r="AC162" s="244">
        <f t="shared" si="44"/>
        <v>0</v>
      </c>
      <c r="AD162" s="244">
        <f t="shared" si="44"/>
        <v>0</v>
      </c>
      <c r="AE162" s="244">
        <f t="shared" si="44"/>
        <v>0</v>
      </c>
      <c r="AF162" s="244">
        <f t="shared" si="45"/>
        <v>0</v>
      </c>
      <c r="AG162" s="244">
        <f t="shared" si="45"/>
        <v>0</v>
      </c>
      <c r="AH162" s="244">
        <f t="shared" si="45"/>
        <v>0</v>
      </c>
      <c r="AI162" s="244">
        <f t="shared" si="45"/>
        <v>0</v>
      </c>
      <c r="AJ162" s="244">
        <f t="shared" si="45"/>
        <v>0</v>
      </c>
      <c r="AK162" s="244">
        <f t="shared" si="45"/>
        <v>0</v>
      </c>
      <c r="AL162" s="244">
        <f t="shared" si="45"/>
        <v>0</v>
      </c>
      <c r="AM162" s="244">
        <f t="shared" si="45"/>
        <v>0</v>
      </c>
      <c r="AN162" s="244">
        <f t="shared" si="45"/>
        <v>0</v>
      </c>
      <c r="AO162" s="244">
        <f t="shared" si="45"/>
        <v>0</v>
      </c>
      <c r="AP162" s="244">
        <f t="shared" si="46"/>
        <v>0</v>
      </c>
      <c r="AQ162" s="244">
        <f t="shared" si="46"/>
        <v>0</v>
      </c>
      <c r="AR162" s="244">
        <f t="shared" si="46"/>
        <v>0</v>
      </c>
      <c r="AS162" s="244">
        <f t="shared" si="46"/>
        <v>1</v>
      </c>
      <c r="AT162" s="244">
        <f t="shared" si="46"/>
        <v>0</v>
      </c>
      <c r="AU162" s="244">
        <f t="shared" si="46"/>
        <v>0</v>
      </c>
      <c r="AV162" s="244">
        <f t="shared" si="46"/>
        <v>0</v>
      </c>
      <c r="AW162" s="244"/>
      <c r="AX162" s="244"/>
      <c r="AY162" s="244"/>
      <c r="AZ162" s="244"/>
      <c r="BA162" s="244"/>
      <c r="BB162" s="244"/>
    </row>
    <row r="163" spans="1:54" ht="15" hidden="1">
      <c r="A163" s="331" t="s">
        <v>754</v>
      </c>
      <c r="B163" s="295" t="str">
        <f t="shared" si="27"/>
        <v>Intuition: 15 | Charisma: 15 | Fingerfertigkeit: 10</v>
      </c>
      <c r="C163" s="308" t="b">
        <v>0</v>
      </c>
      <c r="D163" s="308" t="b">
        <v>0</v>
      </c>
      <c r="E163" s="308" t="b">
        <f t="shared" si="28"/>
        <v>0</v>
      </c>
      <c r="F163" t="s">
        <v>314</v>
      </c>
      <c r="G163" t="s">
        <v>110</v>
      </c>
      <c r="H163" t="s">
        <v>374</v>
      </c>
      <c r="I163" t="s">
        <v>755</v>
      </c>
      <c r="J163" s="295">
        <f>_xlfn.XLOOKUP(G163,Rechner!$A$17:$A$25,Rechner!$B$17:$B$25)</f>
        <v>4</v>
      </c>
      <c r="K163" s="295" t="str">
        <f>_xlfn.XLOOKUP(J163-SUMIF($V$31:$AV$31,TRUE,V163:AV163)-IF(D163=TRUE,1,0),Rechner!$B$17:$B$25,Rechner!$A$17:$A$25,"A+")</f>
        <v>C</v>
      </c>
      <c r="L163" s="295" t="str">
        <f>_xlfn.XLOOKUP(S163,Eigenschaften!$C$20:$C$27,Eigenschaften!$B$20:$B$27)</f>
        <v>Intuition</v>
      </c>
      <c r="M163" s="295">
        <f>_xlfn.XLOOKUP(L163,Eigenschaften!$B$20:$B$27,Eigenschaften!$H$20:$H$27,"NaN",1)</f>
        <v>15</v>
      </c>
      <c r="N163" s="295" t="str">
        <f>_xlfn.XLOOKUP(T163,Eigenschaften!$C$20:$C$27,Eigenschaften!$B$20:$B$27)</f>
        <v>Charisma</v>
      </c>
      <c r="O163" s="295">
        <f>_xlfn.XLOOKUP(N163,Eigenschaften!$B$20:$B$27,Eigenschaften!$H$20:$H$27,"NaN",1)</f>
        <v>15</v>
      </c>
      <c r="P163" s="295" t="str">
        <f>_xlfn.XLOOKUP(U163,Eigenschaften!$C$20:$C$27,Eigenschaften!$B$20:$B$27)</f>
        <v>Fingerfertigkeit</v>
      </c>
      <c r="Q163" s="295">
        <f>_xlfn.XLOOKUP(P163,Eigenschaften!$B$20:$B$27,Eigenschaften!$H$20:$H$27,"NaN",1)</f>
        <v>10</v>
      </c>
      <c r="R163" s="244"/>
      <c r="S163" s="244" t="str" cm="1">
        <f t="array" ref="S163:U163">_xlfn.TEXTSPLIT(F163,"/",,,,3)</f>
        <v>IN</v>
      </c>
      <c r="T163" s="244" t="str">
        <v>CH</v>
      </c>
      <c r="U163" s="244" t="str">
        <v>FF</v>
      </c>
      <c r="V163" s="244">
        <f t="shared" si="44"/>
        <v>0</v>
      </c>
      <c r="W163" s="244">
        <f t="shared" si="44"/>
        <v>0</v>
      </c>
      <c r="X163" s="244">
        <f t="shared" si="44"/>
        <v>0</v>
      </c>
      <c r="Y163" s="244">
        <f t="shared" si="44"/>
        <v>0</v>
      </c>
      <c r="Z163" s="244">
        <f t="shared" si="44"/>
        <v>0</v>
      </c>
      <c r="AA163" s="244">
        <f t="shared" si="44"/>
        <v>0</v>
      </c>
      <c r="AB163" s="244">
        <f t="shared" si="44"/>
        <v>0</v>
      </c>
      <c r="AC163" s="244">
        <f t="shared" si="44"/>
        <v>0</v>
      </c>
      <c r="AD163" s="244">
        <f t="shared" si="44"/>
        <v>0</v>
      </c>
      <c r="AE163" s="244">
        <f t="shared" si="44"/>
        <v>0</v>
      </c>
      <c r="AF163" s="244">
        <f t="shared" si="45"/>
        <v>0</v>
      </c>
      <c r="AG163" s="244">
        <f t="shared" si="45"/>
        <v>0</v>
      </c>
      <c r="AH163" s="244">
        <f t="shared" si="45"/>
        <v>0</v>
      </c>
      <c r="AI163" s="244">
        <f t="shared" si="45"/>
        <v>0</v>
      </c>
      <c r="AJ163" s="244">
        <f t="shared" si="45"/>
        <v>0</v>
      </c>
      <c r="AK163" s="244">
        <f t="shared" si="45"/>
        <v>0</v>
      </c>
      <c r="AL163" s="244">
        <f t="shared" si="45"/>
        <v>1</v>
      </c>
      <c r="AM163" s="244">
        <f t="shared" si="45"/>
        <v>0</v>
      </c>
      <c r="AN163" s="244">
        <f t="shared" si="45"/>
        <v>0</v>
      </c>
      <c r="AO163" s="244">
        <f t="shared" si="45"/>
        <v>0</v>
      </c>
      <c r="AP163" s="244">
        <f t="shared" si="46"/>
        <v>0</v>
      </c>
      <c r="AQ163" s="244">
        <f t="shared" si="46"/>
        <v>0</v>
      </c>
      <c r="AR163" s="244">
        <f t="shared" si="46"/>
        <v>0</v>
      </c>
      <c r="AS163" s="244">
        <f t="shared" si="46"/>
        <v>0</v>
      </c>
      <c r="AT163" s="244">
        <f t="shared" si="46"/>
        <v>0</v>
      </c>
      <c r="AU163" s="244">
        <f t="shared" si="46"/>
        <v>0</v>
      </c>
      <c r="AV163" s="244">
        <f t="shared" si="46"/>
        <v>0</v>
      </c>
      <c r="AW163" s="244"/>
      <c r="AX163" s="244"/>
      <c r="AY163" s="244"/>
      <c r="AZ163" s="244"/>
      <c r="BA163" s="244"/>
      <c r="BB163" s="244"/>
    </row>
    <row r="164" spans="1:54" ht="15" hidden="1">
      <c r="A164" s="331" t="s">
        <v>756</v>
      </c>
      <c r="B164" s="295" t="str">
        <f t="shared" ref="B164:B227" si="47">L164&amp;": "&amp;M164&amp;" | "&amp;N164&amp;": "&amp;O164&amp;" | "&amp;P164&amp;": "&amp;Q164</f>
        <v>Mut: 13 | Charisma: 15 | Charisma: 15</v>
      </c>
      <c r="C164" s="308" t="b">
        <v>0</v>
      </c>
      <c r="D164" s="308" t="b">
        <v>0</v>
      </c>
      <c r="E164" s="308" t="b">
        <f t="shared" ref="E164:E227" si="48">ISNUMBER(FIND($B$1,I164))</f>
        <v>1</v>
      </c>
      <c r="F164" t="s">
        <v>320</v>
      </c>
      <c r="G164" t="s">
        <v>113</v>
      </c>
      <c r="H164" t="s">
        <v>570</v>
      </c>
      <c r="I164" t="s">
        <v>757</v>
      </c>
      <c r="J164" s="295">
        <f>_xlfn.XLOOKUP(G164,Rechner!$A$17:$A$25,Rechner!$B$17:$B$25)</f>
        <v>5</v>
      </c>
      <c r="K164" s="295" t="str">
        <f>_xlfn.XLOOKUP(J164-SUMIF($V$31:$AV$31,TRUE,V164:AV164)-IF(D164=TRUE,1,0),Rechner!$B$17:$B$25,Rechner!$A$17:$A$25,"A+")</f>
        <v>D</v>
      </c>
      <c r="L164" s="295" t="str">
        <f>_xlfn.XLOOKUP(S164,Eigenschaften!$C$20:$C$27,Eigenschaften!$B$20:$B$27)</f>
        <v>Mut</v>
      </c>
      <c r="M164" s="295">
        <f>_xlfn.XLOOKUP(L164,Eigenschaften!$B$20:$B$27,Eigenschaften!$H$20:$H$27,"NaN",1)</f>
        <v>13</v>
      </c>
      <c r="N164" s="295" t="str">
        <f>_xlfn.XLOOKUP(T164,Eigenschaften!$C$20:$C$27,Eigenschaften!$B$20:$B$27)</f>
        <v>Charisma</v>
      </c>
      <c r="O164" s="295">
        <f>_xlfn.XLOOKUP(N164,Eigenschaften!$B$20:$B$27,Eigenschaften!$H$20:$H$27,"NaN",1)</f>
        <v>15</v>
      </c>
      <c r="P164" s="295" t="str">
        <f>_xlfn.XLOOKUP(U164,Eigenschaften!$C$20:$C$27,Eigenschaften!$B$20:$B$27)</f>
        <v>Charisma</v>
      </c>
      <c r="Q164" s="295">
        <f>_xlfn.XLOOKUP(P164,Eigenschaften!$B$20:$B$27,Eigenschaften!$H$20:$H$27,"NaN",1)</f>
        <v>15</v>
      </c>
      <c r="R164" s="244"/>
      <c r="S164" s="244" t="str" cm="1">
        <f t="array" ref="S164:U164">_xlfn.TEXTSPLIT(F164,"/",,,,3)</f>
        <v>MU</v>
      </c>
      <c r="T164" s="244" t="str">
        <v>CH</v>
      </c>
      <c r="U164" s="244" t="str">
        <v>CH</v>
      </c>
      <c r="V164" s="244">
        <f t="shared" si="44"/>
        <v>0</v>
      </c>
      <c r="W164" s="244">
        <f t="shared" si="44"/>
        <v>0</v>
      </c>
      <c r="X164" s="244">
        <f t="shared" si="44"/>
        <v>0</v>
      </c>
      <c r="Y164" s="244">
        <f t="shared" si="44"/>
        <v>0</v>
      </c>
      <c r="Z164" s="244">
        <f t="shared" si="44"/>
        <v>0</v>
      </c>
      <c r="AA164" s="244">
        <f t="shared" si="44"/>
        <v>0</v>
      </c>
      <c r="AB164" s="244">
        <f t="shared" si="44"/>
        <v>0</v>
      </c>
      <c r="AC164" s="244">
        <f t="shared" si="44"/>
        <v>0</v>
      </c>
      <c r="AD164" s="244">
        <f t="shared" si="44"/>
        <v>0</v>
      </c>
      <c r="AE164" s="244">
        <f t="shared" si="44"/>
        <v>0</v>
      </c>
      <c r="AF164" s="244">
        <f t="shared" si="45"/>
        <v>0</v>
      </c>
      <c r="AG164" s="244">
        <f t="shared" si="45"/>
        <v>0</v>
      </c>
      <c r="AH164" s="244">
        <f t="shared" si="45"/>
        <v>0</v>
      </c>
      <c r="AI164" s="244">
        <f t="shared" si="45"/>
        <v>0</v>
      </c>
      <c r="AJ164" s="244">
        <f t="shared" si="45"/>
        <v>1</v>
      </c>
      <c r="AK164" s="244">
        <f t="shared" si="45"/>
        <v>0</v>
      </c>
      <c r="AL164" s="244">
        <f t="shared" si="45"/>
        <v>0</v>
      </c>
      <c r="AM164" s="244">
        <f t="shared" si="45"/>
        <v>0</v>
      </c>
      <c r="AN164" s="244">
        <f t="shared" si="45"/>
        <v>0</v>
      </c>
      <c r="AO164" s="244">
        <f t="shared" si="45"/>
        <v>1</v>
      </c>
      <c r="AP164" s="244">
        <f t="shared" si="46"/>
        <v>0</v>
      </c>
      <c r="AQ164" s="244">
        <f t="shared" si="46"/>
        <v>0</v>
      </c>
      <c r="AR164" s="244">
        <f t="shared" si="46"/>
        <v>0</v>
      </c>
      <c r="AS164" s="244">
        <f t="shared" si="46"/>
        <v>0</v>
      </c>
      <c r="AT164" s="244">
        <f t="shared" si="46"/>
        <v>0</v>
      </c>
      <c r="AU164" s="244">
        <f t="shared" si="46"/>
        <v>0</v>
      </c>
      <c r="AV164" s="244">
        <f t="shared" si="46"/>
        <v>0</v>
      </c>
      <c r="AW164" s="244"/>
      <c r="AX164" s="244"/>
      <c r="AY164" s="244"/>
      <c r="AZ164" s="244"/>
      <c r="BA164" s="244"/>
      <c r="BB164" s="244"/>
    </row>
    <row r="165" spans="1:54" ht="15" hidden="1">
      <c r="A165" s="331" t="s">
        <v>758</v>
      </c>
      <c r="B165" s="295" t="str">
        <f t="shared" si="47"/>
        <v>Intuition: 15 | Intuition: 15 | Charisma: 15</v>
      </c>
      <c r="C165" s="308" t="b">
        <v>0</v>
      </c>
      <c r="D165" s="308" t="b">
        <v>0</v>
      </c>
      <c r="E165" s="308" t="b">
        <f t="shared" si="48"/>
        <v>0</v>
      </c>
      <c r="F165" t="s">
        <v>298</v>
      </c>
      <c r="G165" t="s">
        <v>110</v>
      </c>
      <c r="H165" t="s">
        <v>373</v>
      </c>
      <c r="I165" t="s">
        <v>755</v>
      </c>
      <c r="J165" s="295">
        <f>_xlfn.XLOOKUP(G165,Rechner!$A$17:$A$25,Rechner!$B$17:$B$25)</f>
        <v>4</v>
      </c>
      <c r="K165" s="295" t="str">
        <f>_xlfn.XLOOKUP(J165-SUMIF($V$31:$AV$31,TRUE,V165:AV165)-IF(D165=TRUE,1,0),Rechner!$B$17:$B$25,Rechner!$A$17:$A$25,"A+")</f>
        <v>C</v>
      </c>
      <c r="L165" s="295" t="str">
        <f>_xlfn.XLOOKUP(S165,Eigenschaften!$C$20:$C$27,Eigenschaften!$B$20:$B$27)</f>
        <v>Intuition</v>
      </c>
      <c r="M165" s="295">
        <f>_xlfn.XLOOKUP(L165,Eigenschaften!$B$20:$B$27,Eigenschaften!$H$20:$H$27,"NaN",1)</f>
        <v>15</v>
      </c>
      <c r="N165" s="295" t="str">
        <f>_xlfn.XLOOKUP(T165,Eigenschaften!$C$20:$C$27,Eigenschaften!$B$20:$B$27)</f>
        <v>Intuition</v>
      </c>
      <c r="O165" s="295">
        <f>_xlfn.XLOOKUP(N165,Eigenschaften!$B$20:$B$27,Eigenschaften!$H$20:$H$27,"NaN",1)</f>
        <v>15</v>
      </c>
      <c r="P165" s="295" t="str">
        <f>_xlfn.XLOOKUP(U165,Eigenschaften!$C$20:$C$27,Eigenschaften!$B$20:$B$27)</f>
        <v>Charisma</v>
      </c>
      <c r="Q165" s="295">
        <f>_xlfn.XLOOKUP(P165,Eigenschaften!$B$20:$B$27,Eigenschaften!$H$20:$H$27,"NaN",1)</f>
        <v>15</v>
      </c>
      <c r="R165" s="244"/>
      <c r="S165" s="244" t="str" cm="1">
        <f t="array" ref="S165:U165">_xlfn.TEXTSPLIT(F165,"/",,,,3)</f>
        <v>IN</v>
      </c>
      <c r="T165" s="244" t="str">
        <v>IN</v>
      </c>
      <c r="U165" s="244" t="str">
        <v>CH</v>
      </c>
      <c r="V165" s="244">
        <f t="shared" si="44"/>
        <v>0</v>
      </c>
      <c r="W165" s="244">
        <f t="shared" si="44"/>
        <v>0</v>
      </c>
      <c r="X165" s="244">
        <f t="shared" si="44"/>
        <v>0</v>
      </c>
      <c r="Y165" s="244">
        <f t="shared" si="44"/>
        <v>0</v>
      </c>
      <c r="Z165" s="244">
        <f t="shared" si="44"/>
        <v>0</v>
      </c>
      <c r="AA165" s="244">
        <f t="shared" si="44"/>
        <v>0</v>
      </c>
      <c r="AB165" s="244">
        <f t="shared" si="44"/>
        <v>0</v>
      </c>
      <c r="AC165" s="244">
        <f t="shared" si="44"/>
        <v>0</v>
      </c>
      <c r="AD165" s="244">
        <f t="shared" si="44"/>
        <v>0</v>
      </c>
      <c r="AE165" s="244">
        <f t="shared" si="44"/>
        <v>0</v>
      </c>
      <c r="AF165" s="244">
        <f t="shared" si="45"/>
        <v>0</v>
      </c>
      <c r="AG165" s="244">
        <f t="shared" si="45"/>
        <v>0</v>
      </c>
      <c r="AH165" s="244">
        <f t="shared" si="45"/>
        <v>0</v>
      </c>
      <c r="AI165" s="244">
        <f t="shared" si="45"/>
        <v>0</v>
      </c>
      <c r="AJ165" s="244">
        <f t="shared" si="45"/>
        <v>0</v>
      </c>
      <c r="AK165" s="244">
        <f t="shared" si="45"/>
        <v>1</v>
      </c>
      <c r="AL165" s="244">
        <f t="shared" si="45"/>
        <v>0</v>
      </c>
      <c r="AM165" s="244">
        <f t="shared" si="45"/>
        <v>0</v>
      </c>
      <c r="AN165" s="244">
        <f t="shared" si="45"/>
        <v>0</v>
      </c>
      <c r="AO165" s="244">
        <f t="shared" si="45"/>
        <v>0</v>
      </c>
      <c r="AP165" s="244">
        <f t="shared" si="46"/>
        <v>0</v>
      </c>
      <c r="AQ165" s="244">
        <f t="shared" si="46"/>
        <v>0</v>
      </c>
      <c r="AR165" s="244">
        <f t="shared" si="46"/>
        <v>0</v>
      </c>
      <c r="AS165" s="244">
        <f t="shared" si="46"/>
        <v>0</v>
      </c>
      <c r="AT165" s="244">
        <f t="shared" si="46"/>
        <v>0</v>
      </c>
      <c r="AU165" s="244">
        <f t="shared" si="46"/>
        <v>0</v>
      </c>
      <c r="AV165" s="244">
        <f t="shared" si="46"/>
        <v>0</v>
      </c>
      <c r="AW165" s="244"/>
      <c r="AX165" s="244"/>
      <c r="AY165" s="244"/>
      <c r="AZ165" s="244"/>
      <c r="BA165" s="244"/>
      <c r="BB165" s="244"/>
    </row>
    <row r="166" spans="1:54" ht="15" hidden="1">
      <c r="A166" s="331" t="s">
        <v>759</v>
      </c>
      <c r="B166" s="295" t="str">
        <f t="shared" si="47"/>
        <v>Mut: 13 | Klugheit: 12 | Intuition: 15</v>
      </c>
      <c r="C166" s="308" t="b">
        <v>0</v>
      </c>
      <c r="D166" s="308" t="b">
        <v>0</v>
      </c>
      <c r="E166" s="308" t="b">
        <f t="shared" si="48"/>
        <v>1</v>
      </c>
      <c r="F166" t="s">
        <v>573</v>
      </c>
      <c r="G166" t="s">
        <v>429</v>
      </c>
      <c r="H166" t="s">
        <v>574</v>
      </c>
      <c r="I166" t="s">
        <v>760</v>
      </c>
      <c r="J166" s="295">
        <f>_xlfn.XLOOKUP(G166,Rechner!$A$17:$A$25,Rechner!$B$17:$B$25)</f>
        <v>6</v>
      </c>
      <c r="K166" s="295" t="str">
        <f>_xlfn.XLOOKUP(J166-SUMIF($V$31:$AV$31,TRUE,V166:AV166)-IF(D166=TRUE,1,0),Rechner!$B$17:$B$25,Rechner!$A$17:$A$25,"A+")</f>
        <v>E</v>
      </c>
      <c r="L166" s="295" t="str">
        <f>_xlfn.XLOOKUP(S166,Eigenschaften!$C$20:$C$27,Eigenschaften!$B$20:$B$27)</f>
        <v>Mut</v>
      </c>
      <c r="M166" s="295">
        <f>_xlfn.XLOOKUP(L166,Eigenschaften!$B$20:$B$27,Eigenschaften!$H$20:$H$27,"NaN",1)</f>
        <v>13</v>
      </c>
      <c r="N166" s="295" t="str">
        <f>_xlfn.XLOOKUP(T166,Eigenschaften!$C$20:$C$27,Eigenschaften!$B$20:$B$27)</f>
        <v>Klugheit</v>
      </c>
      <c r="O166" s="295">
        <f>_xlfn.XLOOKUP(N166,Eigenschaften!$B$20:$B$27,Eigenschaften!$H$20:$H$27,"NaN",1)</f>
        <v>12</v>
      </c>
      <c r="P166" s="295" t="str">
        <f>_xlfn.XLOOKUP(U166,Eigenschaften!$C$20:$C$27,Eigenschaften!$B$20:$B$27)</f>
        <v>Intuition</v>
      </c>
      <c r="Q166" s="295">
        <f>_xlfn.XLOOKUP(P166,Eigenschaften!$B$20:$B$27,Eigenschaften!$H$20:$H$27,"NaN",1)</f>
        <v>15</v>
      </c>
      <c r="R166" s="244"/>
      <c r="S166" s="244" t="str" cm="1">
        <f t="array" ref="S166:U166">_xlfn.TEXTSPLIT(F166,"/",,,,3)</f>
        <v>MU</v>
      </c>
      <c r="T166" s="244" t="str">
        <v>KL</v>
      </c>
      <c r="U166" s="244" t="str">
        <v>IN</v>
      </c>
      <c r="V166" s="244">
        <f t="shared" ref="V166:AE175" si="49">IF(ISNUMBER(SEARCH(V$32,$H166)),1,0)</f>
        <v>0</v>
      </c>
      <c r="W166" s="244">
        <f t="shared" si="49"/>
        <v>0</v>
      </c>
      <c r="X166" s="244">
        <f t="shared" si="49"/>
        <v>0</v>
      </c>
      <c r="Y166" s="244">
        <f t="shared" si="49"/>
        <v>0</v>
      </c>
      <c r="Z166" s="244">
        <f t="shared" si="49"/>
        <v>0</v>
      </c>
      <c r="AA166" s="244">
        <f t="shared" si="49"/>
        <v>0</v>
      </c>
      <c r="AB166" s="244">
        <f t="shared" si="49"/>
        <v>0</v>
      </c>
      <c r="AC166" s="244">
        <f t="shared" si="49"/>
        <v>0</v>
      </c>
      <c r="AD166" s="244">
        <f t="shared" si="49"/>
        <v>0</v>
      </c>
      <c r="AE166" s="244">
        <f t="shared" si="49"/>
        <v>0</v>
      </c>
      <c r="AF166" s="244">
        <f t="shared" ref="AF166:AO175" si="50">IF(ISNUMBER(SEARCH(AF$32,$H166)),1,0)</f>
        <v>0</v>
      </c>
      <c r="AG166" s="244">
        <f t="shared" si="50"/>
        <v>0</v>
      </c>
      <c r="AH166" s="244">
        <f t="shared" si="50"/>
        <v>0</v>
      </c>
      <c r="AI166" s="244">
        <f t="shared" si="50"/>
        <v>0</v>
      </c>
      <c r="AJ166" s="244">
        <f t="shared" si="50"/>
        <v>0</v>
      </c>
      <c r="AK166" s="244">
        <f t="shared" si="50"/>
        <v>0</v>
      </c>
      <c r="AL166" s="244">
        <f t="shared" si="50"/>
        <v>0</v>
      </c>
      <c r="AM166" s="244">
        <f t="shared" si="50"/>
        <v>0</v>
      </c>
      <c r="AN166" s="244">
        <f t="shared" si="50"/>
        <v>0</v>
      </c>
      <c r="AO166" s="244">
        <f t="shared" si="50"/>
        <v>1</v>
      </c>
      <c r="AP166" s="244">
        <f t="shared" ref="AP166:AV175" si="51">IF(ISNUMBER(SEARCH(AP$32,$H166)),1,0)</f>
        <v>0</v>
      </c>
      <c r="AQ166" s="244">
        <f t="shared" si="51"/>
        <v>0</v>
      </c>
      <c r="AR166" s="244">
        <f t="shared" si="51"/>
        <v>0</v>
      </c>
      <c r="AS166" s="244">
        <f t="shared" si="51"/>
        <v>0</v>
      </c>
      <c r="AT166" s="244">
        <f t="shared" si="51"/>
        <v>0</v>
      </c>
      <c r="AU166" s="244">
        <f t="shared" si="51"/>
        <v>0</v>
      </c>
      <c r="AV166" s="244">
        <f t="shared" si="51"/>
        <v>1</v>
      </c>
      <c r="AW166" s="244"/>
      <c r="AX166" s="244"/>
      <c r="AY166" s="244"/>
      <c r="AZ166" s="244"/>
      <c r="BA166" s="244"/>
      <c r="BB166" s="244"/>
    </row>
    <row r="167" spans="1:54" ht="15" hidden="1">
      <c r="A167" s="331" t="s">
        <v>761</v>
      </c>
      <c r="B167" s="295" t="str">
        <f t="shared" si="47"/>
        <v>Mut: 13 | Mut: 13 | Charisma: 15</v>
      </c>
      <c r="C167" s="308" t="b">
        <v>0</v>
      </c>
      <c r="D167" s="308" t="b">
        <v>0</v>
      </c>
      <c r="E167" s="308" t="b">
        <f t="shared" si="48"/>
        <v>1</v>
      </c>
      <c r="F167" t="s">
        <v>527</v>
      </c>
      <c r="G167" t="s">
        <v>110</v>
      </c>
      <c r="H167" t="s">
        <v>578</v>
      </c>
      <c r="I167" t="s">
        <v>762</v>
      </c>
      <c r="J167" s="295">
        <f>_xlfn.XLOOKUP(G167,Rechner!$A$17:$A$25,Rechner!$B$17:$B$25)</f>
        <v>4</v>
      </c>
      <c r="K167" s="295" t="str">
        <f>_xlfn.XLOOKUP(J167-SUMIF($V$31:$AV$31,TRUE,V167:AV167)-IF(D167=TRUE,1,0),Rechner!$B$17:$B$25,Rechner!$A$17:$A$25,"A+")</f>
        <v>C</v>
      </c>
      <c r="L167" s="295" t="str">
        <f>_xlfn.XLOOKUP(S167,Eigenschaften!$C$20:$C$27,Eigenschaften!$B$20:$B$27)</f>
        <v>Mut</v>
      </c>
      <c r="M167" s="295">
        <f>_xlfn.XLOOKUP(L167,Eigenschaften!$B$20:$B$27,Eigenschaften!$H$20:$H$27,"NaN",1)</f>
        <v>13</v>
      </c>
      <c r="N167" s="295" t="str">
        <f>_xlfn.XLOOKUP(T167,Eigenschaften!$C$20:$C$27,Eigenschaften!$B$20:$B$27)</f>
        <v>Mut</v>
      </c>
      <c r="O167" s="295">
        <f>_xlfn.XLOOKUP(N167,Eigenschaften!$B$20:$B$27,Eigenschaften!$H$20:$H$27,"NaN",1)</f>
        <v>13</v>
      </c>
      <c r="P167" s="295" t="str">
        <f>_xlfn.XLOOKUP(U167,Eigenschaften!$C$20:$C$27,Eigenschaften!$B$20:$B$27)</f>
        <v>Charisma</v>
      </c>
      <c r="Q167" s="295">
        <f>_xlfn.XLOOKUP(P167,Eigenschaften!$B$20:$B$27,Eigenschaften!$H$20:$H$27,"NaN",1)</f>
        <v>15</v>
      </c>
      <c r="R167" s="244"/>
      <c r="S167" s="244" t="str" cm="1">
        <f t="array" ref="S167:U167">_xlfn.TEXTSPLIT(F167,"/",,,,3)</f>
        <v>MU</v>
      </c>
      <c r="T167" s="244" t="str">
        <v>MU</v>
      </c>
      <c r="U167" s="244" t="str">
        <v>CH</v>
      </c>
      <c r="V167" s="244">
        <f t="shared" si="49"/>
        <v>0</v>
      </c>
      <c r="W167" s="244">
        <f t="shared" si="49"/>
        <v>0</v>
      </c>
      <c r="X167" s="244">
        <f t="shared" si="49"/>
        <v>0</v>
      </c>
      <c r="Y167" s="244">
        <f t="shared" si="49"/>
        <v>0</v>
      </c>
      <c r="Z167" s="244">
        <f t="shared" si="49"/>
        <v>0</v>
      </c>
      <c r="AA167" s="244">
        <f t="shared" si="49"/>
        <v>0</v>
      </c>
      <c r="AB167" s="244">
        <f t="shared" si="49"/>
        <v>0</v>
      </c>
      <c r="AC167" s="244">
        <f t="shared" si="49"/>
        <v>0</v>
      </c>
      <c r="AD167" s="244">
        <f t="shared" si="49"/>
        <v>0</v>
      </c>
      <c r="AE167" s="244">
        <f t="shared" si="49"/>
        <v>0</v>
      </c>
      <c r="AF167" s="244">
        <f t="shared" si="50"/>
        <v>0</v>
      </c>
      <c r="AG167" s="244">
        <f t="shared" si="50"/>
        <v>0</v>
      </c>
      <c r="AH167" s="244">
        <f t="shared" si="50"/>
        <v>0</v>
      </c>
      <c r="AI167" s="244">
        <f t="shared" si="50"/>
        <v>0</v>
      </c>
      <c r="AJ167" s="244">
        <f t="shared" si="50"/>
        <v>0</v>
      </c>
      <c r="AK167" s="244">
        <f t="shared" si="50"/>
        <v>1</v>
      </c>
      <c r="AL167" s="244">
        <f t="shared" si="50"/>
        <v>0</v>
      </c>
      <c r="AM167" s="244">
        <f t="shared" si="50"/>
        <v>0</v>
      </c>
      <c r="AN167" s="244">
        <f t="shared" si="50"/>
        <v>0</v>
      </c>
      <c r="AO167" s="244">
        <f t="shared" si="50"/>
        <v>0</v>
      </c>
      <c r="AP167" s="244">
        <f t="shared" si="51"/>
        <v>0</v>
      </c>
      <c r="AQ167" s="244">
        <f t="shared" si="51"/>
        <v>0</v>
      </c>
      <c r="AR167" s="244">
        <f t="shared" si="51"/>
        <v>0</v>
      </c>
      <c r="AS167" s="244">
        <f t="shared" si="51"/>
        <v>0</v>
      </c>
      <c r="AT167" s="244">
        <f t="shared" si="51"/>
        <v>0</v>
      </c>
      <c r="AU167" s="244">
        <f t="shared" si="51"/>
        <v>0</v>
      </c>
      <c r="AV167" s="244">
        <f t="shared" si="51"/>
        <v>0</v>
      </c>
      <c r="AW167" s="244"/>
      <c r="AX167" s="244"/>
      <c r="AY167" s="244"/>
      <c r="AZ167" s="244"/>
      <c r="BA167" s="244"/>
      <c r="BB167" s="244"/>
    </row>
    <row r="168" spans="1:54" ht="15" hidden="1">
      <c r="A168" s="331" t="s">
        <v>763</v>
      </c>
      <c r="B168" s="295" t="str">
        <f t="shared" si="47"/>
        <v>Klugheit: 12 | Konstitution: 12 | Körperkraft: 12</v>
      </c>
      <c r="C168" s="308" t="b">
        <v>0</v>
      </c>
      <c r="D168" s="308" t="b">
        <v>0</v>
      </c>
      <c r="E168" s="308" t="b">
        <f t="shared" si="48"/>
        <v>0</v>
      </c>
      <c r="F168" t="s">
        <v>540</v>
      </c>
      <c r="G168" t="s">
        <v>113</v>
      </c>
      <c r="H168" t="s">
        <v>396</v>
      </c>
      <c r="I168" t="s">
        <v>764</v>
      </c>
      <c r="J168" s="295">
        <f>_xlfn.XLOOKUP(G168,Rechner!$A$17:$A$25,Rechner!$B$17:$B$25)</f>
        <v>5</v>
      </c>
      <c r="K168" s="295" t="str">
        <f>_xlfn.XLOOKUP(J168-SUMIF($V$31:$AV$31,TRUE,V168:AV168)-IF(D168=TRUE,1,0),Rechner!$B$17:$B$25,Rechner!$A$17:$A$25,"A+")</f>
        <v>D</v>
      </c>
      <c r="L168" s="295" t="str">
        <f>_xlfn.XLOOKUP(S168,Eigenschaften!$C$20:$C$27,Eigenschaften!$B$20:$B$27)</f>
        <v>Klugheit</v>
      </c>
      <c r="M168" s="295">
        <f>_xlfn.XLOOKUP(L168,Eigenschaften!$B$20:$B$27,Eigenschaften!$H$20:$H$27,"NaN",1)</f>
        <v>12</v>
      </c>
      <c r="N168" s="295" t="str">
        <f>_xlfn.XLOOKUP(T168,Eigenschaften!$C$20:$C$27,Eigenschaften!$B$20:$B$27)</f>
        <v>Konstitution</v>
      </c>
      <c r="O168" s="295">
        <f>_xlfn.XLOOKUP(N168,Eigenschaften!$B$20:$B$27,Eigenschaften!$H$20:$H$27,"NaN",1)</f>
        <v>12</v>
      </c>
      <c r="P168" s="295" t="str">
        <f>_xlfn.XLOOKUP(U168,Eigenschaften!$C$20:$C$27,Eigenschaften!$B$20:$B$27)</f>
        <v>Körperkraft</v>
      </c>
      <c r="Q168" s="295">
        <f>_xlfn.XLOOKUP(P168,Eigenschaften!$B$20:$B$27,Eigenschaften!$H$20:$H$27,"NaN",1)</f>
        <v>12</v>
      </c>
      <c r="R168" s="244"/>
      <c r="S168" s="244" t="str" cm="1">
        <f t="array" ref="S168:U168">_xlfn.TEXTSPLIT(F168,"/",,,,3)</f>
        <v>KL</v>
      </c>
      <c r="T168" s="244" t="str">
        <v>KO</v>
      </c>
      <c r="U168" s="244" t="str">
        <v>KK</v>
      </c>
      <c r="V168" s="244">
        <f t="shared" si="49"/>
        <v>0</v>
      </c>
      <c r="W168" s="244">
        <f t="shared" si="49"/>
        <v>0</v>
      </c>
      <c r="X168" s="244">
        <f t="shared" si="49"/>
        <v>0</v>
      </c>
      <c r="Y168" s="244">
        <f t="shared" si="49"/>
        <v>1</v>
      </c>
      <c r="Z168" s="244">
        <f t="shared" si="49"/>
        <v>0</v>
      </c>
      <c r="AA168" s="244">
        <f t="shared" si="49"/>
        <v>0</v>
      </c>
      <c r="AB168" s="244">
        <f t="shared" si="49"/>
        <v>1</v>
      </c>
      <c r="AC168" s="244">
        <f t="shared" si="49"/>
        <v>0</v>
      </c>
      <c r="AD168" s="244">
        <f t="shared" si="49"/>
        <v>0</v>
      </c>
      <c r="AE168" s="244">
        <f t="shared" si="49"/>
        <v>0</v>
      </c>
      <c r="AF168" s="244">
        <f t="shared" si="50"/>
        <v>0</v>
      </c>
      <c r="AG168" s="244">
        <f t="shared" si="50"/>
        <v>0</v>
      </c>
      <c r="AH168" s="244">
        <f t="shared" si="50"/>
        <v>0</v>
      </c>
      <c r="AI168" s="244">
        <f t="shared" si="50"/>
        <v>0</v>
      </c>
      <c r="AJ168" s="244">
        <f t="shared" si="50"/>
        <v>0</v>
      </c>
      <c r="AK168" s="244">
        <f t="shared" si="50"/>
        <v>0</v>
      </c>
      <c r="AL168" s="244">
        <f t="shared" si="50"/>
        <v>0</v>
      </c>
      <c r="AM168" s="244">
        <f t="shared" si="50"/>
        <v>0</v>
      </c>
      <c r="AN168" s="244">
        <f t="shared" si="50"/>
        <v>0</v>
      </c>
      <c r="AO168" s="244">
        <f t="shared" si="50"/>
        <v>0</v>
      </c>
      <c r="AP168" s="244">
        <f t="shared" si="51"/>
        <v>0</v>
      </c>
      <c r="AQ168" s="244">
        <f t="shared" si="51"/>
        <v>1</v>
      </c>
      <c r="AR168" s="244">
        <f t="shared" si="51"/>
        <v>0</v>
      </c>
      <c r="AS168" s="244">
        <f t="shared" si="51"/>
        <v>0</v>
      </c>
      <c r="AT168" s="244">
        <f t="shared" si="51"/>
        <v>0</v>
      </c>
      <c r="AU168" s="244">
        <f t="shared" si="51"/>
        <v>0</v>
      </c>
      <c r="AV168" s="244">
        <f t="shared" si="51"/>
        <v>0</v>
      </c>
      <c r="AW168" s="244"/>
      <c r="AX168" s="244"/>
      <c r="AY168" s="244"/>
      <c r="AZ168" s="244"/>
      <c r="BA168" s="244"/>
      <c r="BB168" s="244"/>
    </row>
    <row r="169" spans="1:54" ht="15">
      <c r="A169" s="331" t="s">
        <v>313</v>
      </c>
      <c r="B169" s="295" t="str">
        <f t="shared" si="47"/>
        <v>Intuition: 15 | Charisma: 15 | Fingerfertigkeit: 10</v>
      </c>
      <c r="C169" s="308" t="b">
        <v>1</v>
      </c>
      <c r="D169" s="308" t="b">
        <v>0</v>
      </c>
      <c r="E169" s="308" t="b">
        <f t="shared" si="48"/>
        <v>1</v>
      </c>
      <c r="F169" t="s">
        <v>314</v>
      </c>
      <c r="G169" t="s">
        <v>110</v>
      </c>
      <c r="H169" t="s">
        <v>371</v>
      </c>
      <c r="I169" t="s">
        <v>701</v>
      </c>
      <c r="J169" s="295">
        <f>_xlfn.XLOOKUP(G169,Rechner!$A$17:$A$25,Rechner!$B$17:$B$25)</f>
        <v>4</v>
      </c>
      <c r="K169" s="338" t="str">
        <f>_xlfn.XLOOKUP(J169-SUMIF($V$31:$AV$31,TRUE,V169:AV169)-IF(D169=TRUE,1,0),Rechner!$B$17:$B$25,Rechner!$A$17:$A$25,"A+")</f>
        <v>C</v>
      </c>
      <c r="L169" s="295" t="str">
        <f>_xlfn.XLOOKUP(S169,Eigenschaften!$C$20:$C$27,Eigenschaften!$B$20:$B$27)</f>
        <v>Intuition</v>
      </c>
      <c r="M169" s="295">
        <f>_xlfn.XLOOKUP(L169,Eigenschaften!$B$20:$B$27,Eigenschaften!$H$20:$H$27,"NaN",1)</f>
        <v>15</v>
      </c>
      <c r="N169" s="295" t="str">
        <f>_xlfn.XLOOKUP(T169,Eigenschaften!$C$20:$C$27,Eigenschaften!$B$20:$B$27)</f>
        <v>Charisma</v>
      </c>
      <c r="O169" s="295">
        <f>_xlfn.XLOOKUP(N169,Eigenschaften!$B$20:$B$27,Eigenschaften!$H$20:$H$27,"NaN",1)</f>
        <v>15</v>
      </c>
      <c r="P169" s="295" t="str">
        <f>_xlfn.XLOOKUP(U169,Eigenschaften!$C$20:$C$27,Eigenschaften!$B$20:$B$27)</f>
        <v>Fingerfertigkeit</v>
      </c>
      <c r="Q169" s="295">
        <f>_xlfn.XLOOKUP(P169,Eigenschaften!$B$20:$B$27,Eigenschaften!$H$20:$H$27,"NaN",1)</f>
        <v>10</v>
      </c>
      <c r="R169" s="244"/>
      <c r="S169" s="244" t="str" cm="1">
        <f t="array" ref="S169:U169">_xlfn.TEXTSPLIT(F169,"/",,,,3)</f>
        <v>IN</v>
      </c>
      <c r="T169" s="244" t="str">
        <v>CH</v>
      </c>
      <c r="U169" s="244" t="str">
        <v>FF</v>
      </c>
      <c r="V169" s="244">
        <f t="shared" si="49"/>
        <v>0</v>
      </c>
      <c r="W169" s="244">
        <f t="shared" si="49"/>
        <v>0</v>
      </c>
      <c r="X169" s="244">
        <f t="shared" si="49"/>
        <v>0</v>
      </c>
      <c r="Y169" s="244">
        <f t="shared" si="49"/>
        <v>0</v>
      </c>
      <c r="Z169" s="244">
        <f t="shared" si="49"/>
        <v>0</v>
      </c>
      <c r="AA169" s="244">
        <f t="shared" si="49"/>
        <v>0</v>
      </c>
      <c r="AB169" s="244">
        <f t="shared" si="49"/>
        <v>0</v>
      </c>
      <c r="AC169" s="244">
        <f t="shared" si="49"/>
        <v>0</v>
      </c>
      <c r="AD169" s="244">
        <f t="shared" si="49"/>
        <v>0</v>
      </c>
      <c r="AE169" s="244">
        <f t="shared" si="49"/>
        <v>0</v>
      </c>
      <c r="AF169" s="244">
        <f t="shared" si="50"/>
        <v>0</v>
      </c>
      <c r="AG169" s="244">
        <f t="shared" si="50"/>
        <v>0</v>
      </c>
      <c r="AH169" s="244">
        <f t="shared" si="50"/>
        <v>0</v>
      </c>
      <c r="AI169" s="244">
        <f t="shared" si="50"/>
        <v>1</v>
      </c>
      <c r="AJ169" s="244">
        <f t="shared" si="50"/>
        <v>0</v>
      </c>
      <c r="AK169" s="244">
        <f t="shared" si="50"/>
        <v>0</v>
      </c>
      <c r="AL169" s="244">
        <f t="shared" si="50"/>
        <v>0</v>
      </c>
      <c r="AM169" s="244">
        <f t="shared" si="50"/>
        <v>0</v>
      </c>
      <c r="AN169" s="244">
        <f t="shared" si="50"/>
        <v>0</v>
      </c>
      <c r="AO169" s="244">
        <f t="shared" si="50"/>
        <v>0</v>
      </c>
      <c r="AP169" s="244">
        <f t="shared" si="51"/>
        <v>0</v>
      </c>
      <c r="AQ169" s="244">
        <f t="shared" si="51"/>
        <v>0</v>
      </c>
      <c r="AR169" s="244">
        <f t="shared" si="51"/>
        <v>0</v>
      </c>
      <c r="AS169" s="244">
        <f t="shared" si="51"/>
        <v>0</v>
      </c>
      <c r="AT169" s="244">
        <f t="shared" si="51"/>
        <v>0</v>
      </c>
      <c r="AU169" s="244">
        <f t="shared" si="51"/>
        <v>0</v>
      </c>
      <c r="AV169" s="244">
        <f t="shared" si="51"/>
        <v>0</v>
      </c>
      <c r="AW169" s="244">
        <v>6</v>
      </c>
      <c r="AX169" s="244" t="s">
        <v>1645</v>
      </c>
      <c r="AY169" s="244" t="s">
        <v>1636</v>
      </c>
      <c r="AZ169" s="244" t="s">
        <v>283</v>
      </c>
      <c r="BA169" s="244" t="s">
        <v>316</v>
      </c>
      <c r="BB169" s="244"/>
    </row>
    <row r="170" spans="1:54" ht="15">
      <c r="A170" s="331" t="s">
        <v>301</v>
      </c>
      <c r="B170" s="295" t="str">
        <f t="shared" si="47"/>
        <v>Klugheit: 12 | Fingerfertigkeit: 10 | Körperkraft: 12</v>
      </c>
      <c r="C170" s="308" t="b">
        <v>1</v>
      </c>
      <c r="D170" s="308" t="b">
        <v>1</v>
      </c>
      <c r="E170" s="308" t="b">
        <f t="shared" si="48"/>
        <v>1</v>
      </c>
      <c r="F170" t="s">
        <v>302</v>
      </c>
      <c r="G170" t="s">
        <v>125</v>
      </c>
      <c r="H170" t="s">
        <v>380</v>
      </c>
      <c r="I170" t="s">
        <v>698</v>
      </c>
      <c r="J170" s="295">
        <f>_xlfn.XLOOKUP(G170,Rechner!$A$17:$A$25,Rechner!$B$17:$B$25)</f>
        <v>3</v>
      </c>
      <c r="K170" s="338" t="str">
        <f>_xlfn.XLOOKUP(J170-SUMIF($V$31:$AV$31,TRUE,V170:AV170)-IF(D170=TRUE,1,0),Rechner!$B$17:$B$25,Rechner!$A$17:$A$25,"A+")</f>
        <v>A</v>
      </c>
      <c r="L170" s="295" t="str">
        <f>_xlfn.XLOOKUP(S170,Eigenschaften!$C$20:$C$27,Eigenschaften!$B$20:$B$27)</f>
        <v>Klugheit</v>
      </c>
      <c r="M170" s="295">
        <f>_xlfn.XLOOKUP(L170,Eigenschaften!$B$20:$B$27,Eigenschaften!$H$20:$H$27,"NaN",1)</f>
        <v>12</v>
      </c>
      <c r="N170" s="295" t="str">
        <f>_xlfn.XLOOKUP(T170,Eigenschaften!$C$20:$C$27,Eigenschaften!$B$20:$B$27)</f>
        <v>Fingerfertigkeit</v>
      </c>
      <c r="O170" s="295">
        <f>_xlfn.XLOOKUP(N170,Eigenschaften!$B$20:$B$27,Eigenschaften!$H$20:$H$27,"NaN",1)</f>
        <v>10</v>
      </c>
      <c r="P170" s="295" t="str">
        <f>_xlfn.XLOOKUP(U170,Eigenschaften!$C$20:$C$27,Eigenschaften!$B$20:$B$27)</f>
        <v>Körperkraft</v>
      </c>
      <c r="Q170" s="295">
        <f>_xlfn.XLOOKUP(P170,Eigenschaften!$B$20:$B$27,Eigenschaften!$H$20:$H$27,"NaN",1)</f>
        <v>12</v>
      </c>
      <c r="R170" s="244"/>
      <c r="S170" s="244" t="str" cm="1">
        <f t="array" ref="S170:U170">_xlfn.TEXTSPLIT(F170,"/",,,,3)</f>
        <v>KL</v>
      </c>
      <c r="T170" s="244" t="str">
        <v>FF</v>
      </c>
      <c r="U170" s="244" t="str">
        <v>KK</v>
      </c>
      <c r="V170" s="244">
        <f t="shared" si="49"/>
        <v>0</v>
      </c>
      <c r="W170" s="244">
        <f t="shared" si="49"/>
        <v>0</v>
      </c>
      <c r="X170" s="244">
        <f t="shared" si="49"/>
        <v>0</v>
      </c>
      <c r="Y170" s="244">
        <f t="shared" si="49"/>
        <v>0</v>
      </c>
      <c r="Z170" s="244">
        <f t="shared" si="49"/>
        <v>0</v>
      </c>
      <c r="AA170" s="244">
        <f t="shared" si="49"/>
        <v>0</v>
      </c>
      <c r="AB170" s="244">
        <f t="shared" si="49"/>
        <v>0</v>
      </c>
      <c r="AC170" s="244">
        <f t="shared" si="49"/>
        <v>0</v>
      </c>
      <c r="AD170" s="244">
        <f t="shared" si="49"/>
        <v>0</v>
      </c>
      <c r="AE170" s="244">
        <f t="shared" si="49"/>
        <v>0</v>
      </c>
      <c r="AF170" s="244">
        <f t="shared" si="50"/>
        <v>0</v>
      </c>
      <c r="AG170" s="244">
        <f t="shared" si="50"/>
        <v>0</v>
      </c>
      <c r="AH170" s="244">
        <f t="shared" si="50"/>
        <v>0</v>
      </c>
      <c r="AI170" s="244">
        <f t="shared" si="50"/>
        <v>0</v>
      </c>
      <c r="AJ170" s="244">
        <f t="shared" si="50"/>
        <v>0</v>
      </c>
      <c r="AK170" s="244">
        <f t="shared" si="50"/>
        <v>0</v>
      </c>
      <c r="AL170" s="244">
        <f t="shared" si="50"/>
        <v>0</v>
      </c>
      <c r="AM170" s="244">
        <f t="shared" si="50"/>
        <v>0</v>
      </c>
      <c r="AN170" s="244">
        <f t="shared" si="50"/>
        <v>0</v>
      </c>
      <c r="AO170" s="244">
        <f t="shared" si="50"/>
        <v>0</v>
      </c>
      <c r="AP170" s="244">
        <f t="shared" si="51"/>
        <v>0</v>
      </c>
      <c r="AQ170" s="244">
        <f t="shared" si="51"/>
        <v>0</v>
      </c>
      <c r="AR170" s="244">
        <f t="shared" si="51"/>
        <v>0</v>
      </c>
      <c r="AS170" s="244">
        <f t="shared" si="51"/>
        <v>1</v>
      </c>
      <c r="AT170" s="244">
        <f t="shared" si="51"/>
        <v>0</v>
      </c>
      <c r="AU170" s="244">
        <f t="shared" si="51"/>
        <v>0</v>
      </c>
      <c r="AV170" s="244">
        <f t="shared" si="51"/>
        <v>0</v>
      </c>
      <c r="AW170" s="244">
        <v>5</v>
      </c>
      <c r="AX170" s="244" t="s">
        <v>279</v>
      </c>
      <c r="AY170" s="244" t="s">
        <v>1640</v>
      </c>
      <c r="AZ170" s="244" t="s">
        <v>304</v>
      </c>
      <c r="BA170" s="244" t="s">
        <v>1641</v>
      </c>
      <c r="BB170" s="244"/>
    </row>
    <row r="171" spans="1:54" ht="15" hidden="1">
      <c r="A171" s="331" t="s">
        <v>767</v>
      </c>
      <c r="B171" s="295" t="str">
        <f t="shared" si="47"/>
        <v>Mut: 13 | Intuition: 15 | Fingerfertigkeit: 10</v>
      </c>
      <c r="C171" s="308" t="b">
        <v>0</v>
      </c>
      <c r="D171" s="308" t="b">
        <v>0</v>
      </c>
      <c r="E171" s="308" t="b">
        <f t="shared" si="48"/>
        <v>0</v>
      </c>
      <c r="F171" t="s">
        <v>736</v>
      </c>
      <c r="G171" t="s">
        <v>113</v>
      </c>
      <c r="H171" t="s">
        <v>379</v>
      </c>
      <c r="I171" t="s">
        <v>463</v>
      </c>
      <c r="J171" s="295">
        <f>_xlfn.XLOOKUP(G171,Rechner!$A$17:$A$25,Rechner!$B$17:$B$25)</f>
        <v>5</v>
      </c>
      <c r="K171" s="295" t="str">
        <f>_xlfn.XLOOKUP(J171-SUMIF($V$31:$AV$31,TRUE,V171:AV171)-IF(D171=TRUE,1,0),Rechner!$B$17:$B$25,Rechner!$A$17:$A$25,"A+")</f>
        <v>D</v>
      </c>
      <c r="L171" s="295" t="str">
        <f>_xlfn.XLOOKUP(S171,Eigenschaften!$C$20:$C$27,Eigenschaften!$B$20:$B$27)</f>
        <v>Mut</v>
      </c>
      <c r="M171" s="295">
        <f>_xlfn.XLOOKUP(L171,Eigenschaften!$B$20:$B$27,Eigenschaften!$H$20:$H$27,"NaN",1)</f>
        <v>13</v>
      </c>
      <c r="N171" s="295" t="str">
        <f>_xlfn.XLOOKUP(T171,Eigenschaften!$C$20:$C$27,Eigenschaften!$B$20:$B$27)</f>
        <v>Intuition</v>
      </c>
      <c r="O171" s="295">
        <f>_xlfn.XLOOKUP(N171,Eigenschaften!$B$20:$B$27,Eigenschaften!$H$20:$H$27,"NaN",1)</f>
        <v>15</v>
      </c>
      <c r="P171" s="295" t="str">
        <f>_xlfn.XLOOKUP(U171,Eigenschaften!$C$20:$C$27,Eigenschaften!$B$20:$B$27)</f>
        <v>Fingerfertigkeit</v>
      </c>
      <c r="Q171" s="295">
        <f>_xlfn.XLOOKUP(P171,Eigenschaften!$B$20:$B$27,Eigenschaften!$H$20:$H$27,"NaN",1)</f>
        <v>10</v>
      </c>
      <c r="R171" s="244"/>
      <c r="S171" s="244" t="str" cm="1">
        <f t="array" ref="S171:U171">_xlfn.TEXTSPLIT(F171,"/",,,,3)</f>
        <v>MU</v>
      </c>
      <c r="T171" s="244" t="str">
        <v>IN</v>
      </c>
      <c r="U171" s="244" t="str">
        <v>FF</v>
      </c>
      <c r="V171" s="244">
        <f t="shared" si="49"/>
        <v>0</v>
      </c>
      <c r="W171" s="244">
        <f t="shared" si="49"/>
        <v>0</v>
      </c>
      <c r="X171" s="244">
        <f t="shared" si="49"/>
        <v>0</v>
      </c>
      <c r="Y171" s="244">
        <f t="shared" si="49"/>
        <v>0</v>
      </c>
      <c r="Z171" s="244">
        <f t="shared" si="49"/>
        <v>0</v>
      </c>
      <c r="AA171" s="244">
        <f t="shared" si="49"/>
        <v>0</v>
      </c>
      <c r="AB171" s="244">
        <f t="shared" si="49"/>
        <v>0</v>
      </c>
      <c r="AC171" s="244">
        <f t="shared" si="49"/>
        <v>0</v>
      </c>
      <c r="AD171" s="244">
        <f t="shared" si="49"/>
        <v>0</v>
      </c>
      <c r="AE171" s="244">
        <f t="shared" si="49"/>
        <v>0</v>
      </c>
      <c r="AF171" s="244">
        <f t="shared" si="50"/>
        <v>0</v>
      </c>
      <c r="AG171" s="244">
        <f t="shared" si="50"/>
        <v>0</v>
      </c>
      <c r="AH171" s="244">
        <f t="shared" si="50"/>
        <v>0</v>
      </c>
      <c r="AI171" s="244">
        <f t="shared" si="50"/>
        <v>0</v>
      </c>
      <c r="AJ171" s="244">
        <f t="shared" si="50"/>
        <v>0</v>
      </c>
      <c r="AK171" s="244">
        <f t="shared" si="50"/>
        <v>0</v>
      </c>
      <c r="AL171" s="244">
        <f t="shared" si="50"/>
        <v>0</v>
      </c>
      <c r="AM171" s="244">
        <f t="shared" si="50"/>
        <v>0</v>
      </c>
      <c r="AN171" s="244">
        <f t="shared" si="50"/>
        <v>0</v>
      </c>
      <c r="AO171" s="244">
        <f t="shared" si="50"/>
        <v>0</v>
      </c>
      <c r="AP171" s="244">
        <f t="shared" si="51"/>
        <v>0</v>
      </c>
      <c r="AQ171" s="244">
        <f t="shared" si="51"/>
        <v>0</v>
      </c>
      <c r="AR171" s="244">
        <f t="shared" si="51"/>
        <v>1</v>
      </c>
      <c r="AS171" s="244">
        <f t="shared" si="51"/>
        <v>0</v>
      </c>
      <c r="AT171" s="244">
        <f t="shared" si="51"/>
        <v>0</v>
      </c>
      <c r="AU171" s="244">
        <f t="shared" si="51"/>
        <v>0</v>
      </c>
      <c r="AV171" s="244">
        <f t="shared" si="51"/>
        <v>0</v>
      </c>
      <c r="AW171" s="244"/>
      <c r="AX171" s="244"/>
      <c r="AY171" s="244"/>
      <c r="AZ171" s="244"/>
      <c r="BA171" s="244"/>
      <c r="BB171" s="244"/>
    </row>
    <row r="172" spans="1:54" ht="15" hidden="1">
      <c r="A172" s="331" t="s">
        <v>768</v>
      </c>
      <c r="B172" s="295" t="str">
        <f t="shared" si="47"/>
        <v>Mut: 13 | Intuition: 15 | Charisma: 15</v>
      </c>
      <c r="C172" s="308" t="b">
        <v>0</v>
      </c>
      <c r="D172" s="308" t="b">
        <v>0</v>
      </c>
      <c r="E172" s="308" t="b">
        <f t="shared" si="48"/>
        <v>0</v>
      </c>
      <c r="F172" t="s">
        <v>336</v>
      </c>
      <c r="G172" t="s">
        <v>125</v>
      </c>
      <c r="H172" t="s">
        <v>368</v>
      </c>
      <c r="I172" t="s">
        <v>769</v>
      </c>
      <c r="J172" s="295">
        <f>_xlfn.XLOOKUP(G172,Rechner!$A$17:$A$25,Rechner!$B$17:$B$25)</f>
        <v>3</v>
      </c>
      <c r="K172" s="295" t="str">
        <f>_xlfn.XLOOKUP(J172-SUMIF($V$31:$AV$31,TRUE,V172:AV172)-IF(D172=TRUE,1,0),Rechner!$B$17:$B$25,Rechner!$A$17:$A$25,"A+")</f>
        <v>A</v>
      </c>
      <c r="L172" s="295" t="str">
        <f>_xlfn.XLOOKUP(S172,Eigenschaften!$C$20:$C$27,Eigenschaften!$B$20:$B$27)</f>
        <v>Mut</v>
      </c>
      <c r="M172" s="295">
        <f>_xlfn.XLOOKUP(L172,Eigenschaften!$B$20:$B$27,Eigenschaften!$H$20:$H$27,"NaN",1)</f>
        <v>13</v>
      </c>
      <c r="N172" s="295" t="str">
        <f>_xlfn.XLOOKUP(T172,Eigenschaften!$C$20:$C$27,Eigenschaften!$B$20:$B$27)</f>
        <v>Intuition</v>
      </c>
      <c r="O172" s="295">
        <f>_xlfn.XLOOKUP(N172,Eigenschaften!$B$20:$B$27,Eigenschaften!$H$20:$H$27,"NaN",1)</f>
        <v>15</v>
      </c>
      <c r="P172" s="295" t="str">
        <f>_xlfn.XLOOKUP(U172,Eigenschaften!$C$20:$C$27,Eigenschaften!$B$20:$B$27)</f>
        <v>Charisma</v>
      </c>
      <c r="Q172" s="295">
        <f>_xlfn.XLOOKUP(P172,Eigenschaften!$B$20:$B$27,Eigenschaften!$H$20:$H$27,"NaN",1)</f>
        <v>15</v>
      </c>
      <c r="R172" s="244"/>
      <c r="S172" s="244" t="str" cm="1">
        <f t="array" ref="S172:U172">_xlfn.TEXTSPLIT(F172,"/",,,,3)</f>
        <v>MU</v>
      </c>
      <c r="T172" s="244" t="str">
        <v>IN</v>
      </c>
      <c r="U172" s="244" t="str">
        <v>CH</v>
      </c>
      <c r="V172" s="244">
        <f t="shared" si="49"/>
        <v>0</v>
      </c>
      <c r="W172" s="244">
        <f t="shared" si="49"/>
        <v>0</v>
      </c>
      <c r="X172" s="244">
        <f t="shared" si="49"/>
        <v>0</v>
      </c>
      <c r="Y172" s="244">
        <f t="shared" si="49"/>
        <v>0</v>
      </c>
      <c r="Z172" s="244">
        <f t="shared" si="49"/>
        <v>0</v>
      </c>
      <c r="AA172" s="244">
        <f t="shared" si="49"/>
        <v>0</v>
      </c>
      <c r="AB172" s="244">
        <f t="shared" si="49"/>
        <v>0</v>
      </c>
      <c r="AC172" s="244">
        <f t="shared" si="49"/>
        <v>0</v>
      </c>
      <c r="AD172" s="244">
        <f t="shared" si="49"/>
        <v>0</v>
      </c>
      <c r="AE172" s="244">
        <f t="shared" si="49"/>
        <v>0</v>
      </c>
      <c r="AF172" s="244">
        <f t="shared" si="50"/>
        <v>1</v>
      </c>
      <c r="AG172" s="244">
        <f t="shared" si="50"/>
        <v>0</v>
      </c>
      <c r="AH172" s="244">
        <f t="shared" si="50"/>
        <v>0</v>
      </c>
      <c r="AI172" s="244">
        <f t="shared" si="50"/>
        <v>0</v>
      </c>
      <c r="AJ172" s="244">
        <f t="shared" si="50"/>
        <v>0</v>
      </c>
      <c r="AK172" s="244">
        <f t="shared" si="50"/>
        <v>0</v>
      </c>
      <c r="AL172" s="244">
        <f t="shared" si="50"/>
        <v>0</v>
      </c>
      <c r="AM172" s="244">
        <f t="shared" si="50"/>
        <v>0</v>
      </c>
      <c r="AN172" s="244">
        <f t="shared" si="50"/>
        <v>0</v>
      </c>
      <c r="AO172" s="244">
        <f t="shared" si="50"/>
        <v>0</v>
      </c>
      <c r="AP172" s="244">
        <f t="shared" si="51"/>
        <v>0</v>
      </c>
      <c r="AQ172" s="244">
        <f t="shared" si="51"/>
        <v>0</v>
      </c>
      <c r="AR172" s="244">
        <f t="shared" si="51"/>
        <v>0</v>
      </c>
      <c r="AS172" s="244">
        <f t="shared" si="51"/>
        <v>0</v>
      </c>
      <c r="AT172" s="244">
        <f t="shared" si="51"/>
        <v>0</v>
      </c>
      <c r="AU172" s="244">
        <f t="shared" si="51"/>
        <v>0</v>
      </c>
      <c r="AV172" s="244">
        <f t="shared" si="51"/>
        <v>0</v>
      </c>
      <c r="AW172" s="244"/>
      <c r="AX172" s="244"/>
      <c r="AY172" s="244"/>
      <c r="AZ172" s="244"/>
      <c r="BA172" s="244"/>
      <c r="BB172" s="244"/>
    </row>
    <row r="173" spans="1:54" ht="15" hidden="1">
      <c r="A173" s="331" t="s">
        <v>770</v>
      </c>
      <c r="B173" s="295" t="str">
        <f t="shared" si="47"/>
        <v>Intuition: 15 | Charisma: 15 | Charisma: 15</v>
      </c>
      <c r="C173" s="308" t="b">
        <v>0</v>
      </c>
      <c r="D173" s="308" t="b">
        <v>0</v>
      </c>
      <c r="E173" s="308" t="b">
        <f t="shared" si="48"/>
        <v>0</v>
      </c>
      <c r="F173" t="s">
        <v>481</v>
      </c>
      <c r="G173" t="s">
        <v>110</v>
      </c>
      <c r="H173" t="s">
        <v>771</v>
      </c>
      <c r="I173" t="s">
        <v>460</v>
      </c>
      <c r="J173" s="295">
        <f>_xlfn.XLOOKUP(G173,Rechner!$A$17:$A$25,Rechner!$B$17:$B$25)</f>
        <v>4</v>
      </c>
      <c r="K173" s="295" t="str">
        <f>_xlfn.XLOOKUP(J173-SUMIF($V$31:$AV$31,TRUE,V173:AV173)-IF(D173=TRUE,1,0),Rechner!$B$17:$B$25,Rechner!$A$17:$A$25,"A+")</f>
        <v>B</v>
      </c>
      <c r="L173" s="295" t="str">
        <f>_xlfn.XLOOKUP(S173,Eigenschaften!$C$20:$C$27,Eigenschaften!$B$20:$B$27)</f>
        <v>Intuition</v>
      </c>
      <c r="M173" s="295">
        <f>_xlfn.XLOOKUP(L173,Eigenschaften!$B$20:$B$27,Eigenschaften!$H$20:$H$27,"NaN",1)</f>
        <v>15</v>
      </c>
      <c r="N173" s="295" t="str">
        <f>_xlfn.XLOOKUP(T173,Eigenschaften!$C$20:$C$27,Eigenschaften!$B$20:$B$27)</f>
        <v>Charisma</v>
      </c>
      <c r="O173" s="295">
        <f>_xlfn.XLOOKUP(N173,Eigenschaften!$B$20:$B$27,Eigenschaften!$H$20:$H$27,"NaN",1)</f>
        <v>15</v>
      </c>
      <c r="P173" s="295" t="str">
        <f>_xlfn.XLOOKUP(U173,Eigenschaften!$C$20:$C$27,Eigenschaften!$B$20:$B$27)</f>
        <v>Charisma</v>
      </c>
      <c r="Q173" s="295">
        <f>_xlfn.XLOOKUP(P173,Eigenschaften!$B$20:$B$27,Eigenschaften!$H$20:$H$27,"NaN",1)</f>
        <v>15</v>
      </c>
      <c r="R173" s="244"/>
      <c r="S173" s="244" t="str" cm="1">
        <f t="array" ref="S173:U173">_xlfn.TEXTSPLIT(F173,"/",,,,3)</f>
        <v>IN</v>
      </c>
      <c r="T173" s="244" t="str">
        <v>CH</v>
      </c>
      <c r="U173" s="244" t="str">
        <v>CH</v>
      </c>
      <c r="V173" s="244">
        <f t="shared" si="49"/>
        <v>0</v>
      </c>
      <c r="W173" s="244">
        <f t="shared" si="49"/>
        <v>0</v>
      </c>
      <c r="X173" s="244">
        <f t="shared" si="49"/>
        <v>0</v>
      </c>
      <c r="Y173" s="244">
        <f t="shared" si="49"/>
        <v>0</v>
      </c>
      <c r="Z173" s="244">
        <f t="shared" si="49"/>
        <v>0</v>
      </c>
      <c r="AA173" s="244">
        <f t="shared" si="49"/>
        <v>0</v>
      </c>
      <c r="AB173" s="244">
        <f t="shared" si="49"/>
        <v>0</v>
      </c>
      <c r="AC173" s="244">
        <f t="shared" si="49"/>
        <v>0</v>
      </c>
      <c r="AD173" s="244">
        <f t="shared" si="49"/>
        <v>0</v>
      </c>
      <c r="AE173" s="244">
        <f t="shared" si="49"/>
        <v>0</v>
      </c>
      <c r="AF173" s="244">
        <f t="shared" si="50"/>
        <v>1</v>
      </c>
      <c r="AG173" s="244">
        <f t="shared" si="50"/>
        <v>0</v>
      </c>
      <c r="AH173" s="244">
        <f t="shared" si="50"/>
        <v>0</v>
      </c>
      <c r="AI173" s="244">
        <f t="shared" si="50"/>
        <v>1</v>
      </c>
      <c r="AJ173" s="244">
        <f t="shared" si="50"/>
        <v>0</v>
      </c>
      <c r="AK173" s="244">
        <f t="shared" si="50"/>
        <v>0</v>
      </c>
      <c r="AL173" s="244">
        <f t="shared" si="50"/>
        <v>0</v>
      </c>
      <c r="AM173" s="244">
        <f t="shared" si="50"/>
        <v>0</v>
      </c>
      <c r="AN173" s="244">
        <f t="shared" si="50"/>
        <v>0</v>
      </c>
      <c r="AO173" s="244">
        <f t="shared" si="50"/>
        <v>0</v>
      </c>
      <c r="AP173" s="244">
        <f t="shared" si="51"/>
        <v>0</v>
      </c>
      <c r="AQ173" s="244">
        <f t="shared" si="51"/>
        <v>0</v>
      </c>
      <c r="AR173" s="244">
        <f t="shared" si="51"/>
        <v>0</v>
      </c>
      <c r="AS173" s="244">
        <f t="shared" si="51"/>
        <v>0</v>
      </c>
      <c r="AT173" s="244">
        <f t="shared" si="51"/>
        <v>0</v>
      </c>
      <c r="AU173" s="244">
        <f t="shared" si="51"/>
        <v>0</v>
      </c>
      <c r="AV173" s="244">
        <f t="shared" si="51"/>
        <v>0</v>
      </c>
      <c r="AW173" s="244"/>
      <c r="AX173" s="244"/>
      <c r="AY173" s="244"/>
      <c r="AZ173" s="244"/>
      <c r="BA173" s="244"/>
      <c r="BB173" s="244"/>
    </row>
    <row r="174" spans="1:54" ht="15" hidden="1">
      <c r="A174" s="331" t="s">
        <v>772</v>
      </c>
      <c r="B174" s="295" t="str">
        <f t="shared" si="47"/>
        <v>Charisma: 15 | Charisma: 15 | Fingerfertigkeit: 10</v>
      </c>
      <c r="C174" s="308" t="b">
        <v>0</v>
      </c>
      <c r="D174" s="308" t="b">
        <v>0</v>
      </c>
      <c r="E174" s="308" t="b">
        <f t="shared" si="48"/>
        <v>0</v>
      </c>
      <c r="F174" t="s">
        <v>773</v>
      </c>
      <c r="G174" t="s">
        <v>110</v>
      </c>
      <c r="H174" t="s">
        <v>368</v>
      </c>
      <c r="I174" t="s">
        <v>755</v>
      </c>
      <c r="J174" s="295">
        <f>_xlfn.XLOOKUP(G174,Rechner!$A$17:$A$25,Rechner!$B$17:$B$25)</f>
        <v>4</v>
      </c>
      <c r="K174" s="295" t="str">
        <f>_xlfn.XLOOKUP(J174-SUMIF($V$31:$AV$31,TRUE,V174:AV174)-IF(D174=TRUE,1,0),Rechner!$B$17:$B$25,Rechner!$A$17:$A$25,"A+")</f>
        <v>B</v>
      </c>
      <c r="L174" s="295" t="str">
        <f>_xlfn.XLOOKUP(S174,Eigenschaften!$C$20:$C$27,Eigenschaften!$B$20:$B$27)</f>
        <v>Charisma</v>
      </c>
      <c r="M174" s="295">
        <f>_xlfn.XLOOKUP(L174,Eigenschaften!$B$20:$B$27,Eigenschaften!$H$20:$H$27,"NaN",1)</f>
        <v>15</v>
      </c>
      <c r="N174" s="295" t="str">
        <f>_xlfn.XLOOKUP(T174,Eigenschaften!$C$20:$C$27,Eigenschaften!$B$20:$B$27)</f>
        <v>Charisma</v>
      </c>
      <c r="O174" s="295">
        <f>_xlfn.XLOOKUP(N174,Eigenschaften!$B$20:$B$27,Eigenschaften!$H$20:$H$27,"NaN",1)</f>
        <v>15</v>
      </c>
      <c r="P174" s="295" t="str">
        <f>_xlfn.XLOOKUP(U174,Eigenschaften!$C$20:$C$27,Eigenschaften!$B$20:$B$27)</f>
        <v>Fingerfertigkeit</v>
      </c>
      <c r="Q174" s="295">
        <f>_xlfn.XLOOKUP(P174,Eigenschaften!$B$20:$B$27,Eigenschaften!$H$20:$H$27,"NaN",1)</f>
        <v>10</v>
      </c>
      <c r="R174" s="244"/>
      <c r="S174" s="244" t="str" cm="1">
        <f t="array" ref="S174:U174">_xlfn.TEXTSPLIT(F174,"/",,,,3)</f>
        <v>CH</v>
      </c>
      <c r="T174" s="244" t="str">
        <v>CH</v>
      </c>
      <c r="U174" s="244" t="str">
        <v>FF</v>
      </c>
      <c r="V174" s="244">
        <f t="shared" si="49"/>
        <v>0</v>
      </c>
      <c r="W174" s="244">
        <f t="shared" si="49"/>
        <v>0</v>
      </c>
      <c r="X174" s="244">
        <f t="shared" si="49"/>
        <v>0</v>
      </c>
      <c r="Y174" s="244">
        <f t="shared" si="49"/>
        <v>0</v>
      </c>
      <c r="Z174" s="244">
        <f t="shared" si="49"/>
        <v>0</v>
      </c>
      <c r="AA174" s="244">
        <f t="shared" si="49"/>
        <v>0</v>
      </c>
      <c r="AB174" s="244">
        <f t="shared" si="49"/>
        <v>0</v>
      </c>
      <c r="AC174" s="244">
        <f t="shared" si="49"/>
        <v>0</v>
      </c>
      <c r="AD174" s="244">
        <f t="shared" si="49"/>
        <v>0</v>
      </c>
      <c r="AE174" s="244">
        <f t="shared" si="49"/>
        <v>0</v>
      </c>
      <c r="AF174" s="244">
        <f t="shared" si="50"/>
        <v>1</v>
      </c>
      <c r="AG174" s="244">
        <f t="shared" si="50"/>
        <v>0</v>
      </c>
      <c r="AH174" s="244">
        <f t="shared" si="50"/>
        <v>0</v>
      </c>
      <c r="AI174" s="244">
        <f t="shared" si="50"/>
        <v>0</v>
      </c>
      <c r="AJ174" s="244">
        <f t="shared" si="50"/>
        <v>0</v>
      </c>
      <c r="AK174" s="244">
        <f t="shared" si="50"/>
        <v>0</v>
      </c>
      <c r="AL174" s="244">
        <f t="shared" si="50"/>
        <v>0</v>
      </c>
      <c r="AM174" s="244">
        <f t="shared" si="50"/>
        <v>0</v>
      </c>
      <c r="AN174" s="244">
        <f t="shared" si="50"/>
        <v>0</v>
      </c>
      <c r="AO174" s="244">
        <f t="shared" si="50"/>
        <v>0</v>
      </c>
      <c r="AP174" s="244">
        <f t="shared" si="51"/>
        <v>0</v>
      </c>
      <c r="AQ174" s="244">
        <f t="shared" si="51"/>
        <v>0</v>
      </c>
      <c r="AR174" s="244">
        <f t="shared" si="51"/>
        <v>0</v>
      </c>
      <c r="AS174" s="244">
        <f t="shared" si="51"/>
        <v>0</v>
      </c>
      <c r="AT174" s="244">
        <f t="shared" si="51"/>
        <v>0</v>
      </c>
      <c r="AU174" s="244">
        <f t="shared" si="51"/>
        <v>0</v>
      </c>
      <c r="AV174" s="244">
        <f t="shared" si="51"/>
        <v>0</v>
      </c>
      <c r="AW174" s="244"/>
      <c r="AX174" s="244"/>
      <c r="AY174" s="244"/>
      <c r="AZ174" s="244"/>
      <c r="BA174" s="244"/>
      <c r="BB174" s="244"/>
    </row>
    <row r="175" spans="1:54" ht="15" hidden="1">
      <c r="A175" s="331" t="s">
        <v>774</v>
      </c>
      <c r="B175" s="295" t="str">
        <f t="shared" si="47"/>
        <v>Charisma: 15 | Gewandheit: 14 | Körperkraft: 12</v>
      </c>
      <c r="C175" s="308" t="b">
        <v>0</v>
      </c>
      <c r="D175" s="308" t="b">
        <v>0</v>
      </c>
      <c r="E175" s="308" t="b">
        <f t="shared" si="48"/>
        <v>0</v>
      </c>
      <c r="F175" t="s">
        <v>332</v>
      </c>
      <c r="G175" t="s">
        <v>113</v>
      </c>
      <c r="H175" t="s">
        <v>775</v>
      </c>
      <c r="I175" t="s">
        <v>776</v>
      </c>
      <c r="J175" s="295">
        <f>_xlfn.XLOOKUP(G175,Rechner!$A$17:$A$25,Rechner!$B$17:$B$25)</f>
        <v>5</v>
      </c>
      <c r="K175" s="295" t="str">
        <f>_xlfn.XLOOKUP(J175-SUMIF($V$31:$AV$31,TRUE,V175:AV175)-IF(D175=TRUE,1,0),Rechner!$B$17:$B$25,Rechner!$A$17:$A$25,"A+")</f>
        <v>D</v>
      </c>
      <c r="L175" s="295" t="str">
        <f>_xlfn.XLOOKUP(S175,Eigenschaften!$C$20:$C$27,Eigenschaften!$B$20:$B$27)</f>
        <v>Charisma</v>
      </c>
      <c r="M175" s="295">
        <f>_xlfn.XLOOKUP(L175,Eigenschaften!$B$20:$B$27,Eigenschaften!$H$20:$H$27,"NaN",1)</f>
        <v>15</v>
      </c>
      <c r="N175" s="295" t="str">
        <f>_xlfn.XLOOKUP(T175,Eigenschaften!$C$20:$C$27,Eigenschaften!$B$20:$B$27)</f>
        <v>Gewandheit</v>
      </c>
      <c r="O175" s="295">
        <f>_xlfn.XLOOKUP(N175,Eigenschaften!$B$20:$B$27,Eigenschaften!$H$20:$H$27,"NaN",1)</f>
        <v>14</v>
      </c>
      <c r="P175" s="295" t="str">
        <f>_xlfn.XLOOKUP(U175,Eigenschaften!$C$20:$C$27,Eigenschaften!$B$20:$B$27)</f>
        <v>Körperkraft</v>
      </c>
      <c r="Q175" s="295">
        <f>_xlfn.XLOOKUP(P175,Eigenschaften!$B$20:$B$27,Eigenschaften!$H$20:$H$27,"NaN",1)</f>
        <v>12</v>
      </c>
      <c r="R175" s="244"/>
      <c r="S175" s="244" t="str" cm="1">
        <f t="array" ref="S175:U175">_xlfn.TEXTSPLIT(F175,"/",,,,3)</f>
        <v>CH</v>
      </c>
      <c r="T175" s="244" t="str">
        <v>GE</v>
      </c>
      <c r="U175" s="244" t="str">
        <v>KK</v>
      </c>
      <c r="V175" s="244">
        <f t="shared" si="49"/>
        <v>0</v>
      </c>
      <c r="W175" s="244">
        <f t="shared" si="49"/>
        <v>0</v>
      </c>
      <c r="X175" s="244">
        <f t="shared" si="49"/>
        <v>0</v>
      </c>
      <c r="Y175" s="244">
        <f t="shared" si="49"/>
        <v>0</v>
      </c>
      <c r="Z175" s="244">
        <f t="shared" si="49"/>
        <v>0</v>
      </c>
      <c r="AA175" s="244">
        <f t="shared" si="49"/>
        <v>0</v>
      </c>
      <c r="AB175" s="244">
        <f t="shared" si="49"/>
        <v>0</v>
      </c>
      <c r="AC175" s="244">
        <f t="shared" si="49"/>
        <v>0</v>
      </c>
      <c r="AD175" s="244">
        <f t="shared" si="49"/>
        <v>0</v>
      </c>
      <c r="AE175" s="244">
        <f t="shared" si="49"/>
        <v>0</v>
      </c>
      <c r="AF175" s="244">
        <f t="shared" si="50"/>
        <v>0</v>
      </c>
      <c r="AG175" s="244">
        <f t="shared" si="50"/>
        <v>1</v>
      </c>
      <c r="AH175" s="244">
        <f t="shared" si="50"/>
        <v>0</v>
      </c>
      <c r="AI175" s="244">
        <f t="shared" si="50"/>
        <v>0</v>
      </c>
      <c r="AJ175" s="244">
        <f t="shared" si="50"/>
        <v>0</v>
      </c>
      <c r="AK175" s="244">
        <f t="shared" si="50"/>
        <v>0</v>
      </c>
      <c r="AL175" s="244">
        <f t="shared" si="50"/>
        <v>0</v>
      </c>
      <c r="AM175" s="244">
        <f t="shared" si="50"/>
        <v>0</v>
      </c>
      <c r="AN175" s="244">
        <f t="shared" si="50"/>
        <v>0</v>
      </c>
      <c r="AO175" s="244">
        <f t="shared" si="50"/>
        <v>0</v>
      </c>
      <c r="AP175" s="244">
        <f t="shared" si="51"/>
        <v>0</v>
      </c>
      <c r="AQ175" s="244">
        <f t="shared" si="51"/>
        <v>1</v>
      </c>
      <c r="AR175" s="244">
        <f t="shared" si="51"/>
        <v>0</v>
      </c>
      <c r="AS175" s="244">
        <f t="shared" si="51"/>
        <v>0</v>
      </c>
      <c r="AT175" s="244">
        <f t="shared" si="51"/>
        <v>0</v>
      </c>
      <c r="AU175" s="244">
        <f t="shared" si="51"/>
        <v>0</v>
      </c>
      <c r="AV175" s="244">
        <f t="shared" si="51"/>
        <v>0</v>
      </c>
      <c r="AW175" s="244"/>
      <c r="AX175" s="244"/>
      <c r="AY175" s="244"/>
      <c r="AZ175" s="244"/>
      <c r="BA175" s="244"/>
      <c r="BB175" s="244"/>
    </row>
    <row r="176" spans="1:54" ht="15" hidden="1">
      <c r="A176" s="331" t="s">
        <v>777</v>
      </c>
      <c r="B176" s="295" t="str">
        <f t="shared" si="47"/>
        <v>Intuition: 15 | Charisma: 15 | Konstitution: 12</v>
      </c>
      <c r="C176" s="308" t="b">
        <v>0</v>
      </c>
      <c r="D176" s="308" t="b">
        <v>0</v>
      </c>
      <c r="E176" s="308" t="b">
        <f t="shared" si="48"/>
        <v>0</v>
      </c>
      <c r="F176" t="s">
        <v>521</v>
      </c>
      <c r="G176" t="s">
        <v>429</v>
      </c>
      <c r="H176" t="s">
        <v>778</v>
      </c>
      <c r="I176" t="s">
        <v>779</v>
      </c>
      <c r="J176" s="295">
        <f>_xlfn.XLOOKUP(G176,Rechner!$A$17:$A$25,Rechner!$B$17:$B$25)</f>
        <v>6</v>
      </c>
      <c r="K176" s="295" t="str">
        <f>_xlfn.XLOOKUP(J176-SUMIF($V$31:$AV$31,TRUE,V176:AV176)-IF(D176=TRUE,1,0),Rechner!$B$17:$B$25,Rechner!$A$17:$A$25,"A+")</f>
        <v>E</v>
      </c>
      <c r="L176" s="295" t="str">
        <f>_xlfn.XLOOKUP(S176,Eigenschaften!$C$20:$C$27,Eigenschaften!$B$20:$B$27)</f>
        <v>Intuition</v>
      </c>
      <c r="M176" s="295">
        <f>_xlfn.XLOOKUP(L176,Eigenschaften!$B$20:$B$27,Eigenschaften!$H$20:$H$27,"NaN",1)</f>
        <v>15</v>
      </c>
      <c r="N176" s="295" t="str">
        <f>_xlfn.XLOOKUP(T176,Eigenschaften!$C$20:$C$27,Eigenschaften!$B$20:$B$27)</f>
        <v>Charisma</v>
      </c>
      <c r="O176" s="295">
        <f>_xlfn.XLOOKUP(N176,Eigenschaften!$B$20:$B$27,Eigenschaften!$H$20:$H$27,"NaN",1)</f>
        <v>15</v>
      </c>
      <c r="P176" s="295" t="str">
        <f>_xlfn.XLOOKUP(U176,Eigenschaften!$C$20:$C$27,Eigenschaften!$B$20:$B$27)</f>
        <v>Konstitution</v>
      </c>
      <c r="Q176" s="295">
        <f>_xlfn.XLOOKUP(P176,Eigenschaften!$B$20:$B$27,Eigenschaften!$H$20:$H$27,"NaN",1)</f>
        <v>12</v>
      </c>
      <c r="R176" s="244"/>
      <c r="S176" s="244" t="str" cm="1">
        <f t="array" ref="S176:U176">_xlfn.TEXTSPLIT(F176,"/",,,,3)</f>
        <v>IN</v>
      </c>
      <c r="T176" s="244" t="str">
        <v>CH</v>
      </c>
      <c r="U176" s="244" t="str">
        <v>KO</v>
      </c>
      <c r="V176" s="244">
        <f t="shared" ref="V176:AE185" si="52">IF(ISNUMBER(SEARCH(V$32,$H176)),1,0)</f>
        <v>0</v>
      </c>
      <c r="W176" s="244">
        <f t="shared" si="52"/>
        <v>0</v>
      </c>
      <c r="X176" s="244">
        <f t="shared" si="52"/>
        <v>0</v>
      </c>
      <c r="Y176" s="244">
        <f t="shared" si="52"/>
        <v>0</v>
      </c>
      <c r="Z176" s="244">
        <f t="shared" si="52"/>
        <v>0</v>
      </c>
      <c r="AA176" s="244">
        <f t="shared" si="52"/>
        <v>0</v>
      </c>
      <c r="AB176" s="244">
        <f t="shared" si="52"/>
        <v>0</v>
      </c>
      <c r="AC176" s="244">
        <f t="shared" si="52"/>
        <v>0</v>
      </c>
      <c r="AD176" s="244">
        <f t="shared" si="52"/>
        <v>0</v>
      </c>
      <c r="AE176" s="244">
        <f t="shared" si="52"/>
        <v>0</v>
      </c>
      <c r="AF176" s="244">
        <f t="shared" ref="AF176:AO185" si="53">IF(ISNUMBER(SEARCH(AF$32,$H176)),1,0)</f>
        <v>0</v>
      </c>
      <c r="AG176" s="244">
        <f t="shared" si="53"/>
        <v>1</v>
      </c>
      <c r="AH176" s="244">
        <f t="shared" si="53"/>
        <v>0</v>
      </c>
      <c r="AI176" s="244">
        <f t="shared" si="53"/>
        <v>0</v>
      </c>
      <c r="AJ176" s="244">
        <f t="shared" si="53"/>
        <v>0</v>
      </c>
      <c r="AK176" s="244">
        <f t="shared" si="53"/>
        <v>0</v>
      </c>
      <c r="AL176" s="244">
        <f t="shared" si="53"/>
        <v>0</v>
      </c>
      <c r="AM176" s="244">
        <f t="shared" si="53"/>
        <v>0</v>
      </c>
      <c r="AN176" s="244">
        <f t="shared" si="53"/>
        <v>0</v>
      </c>
      <c r="AO176" s="244">
        <f t="shared" si="53"/>
        <v>0</v>
      </c>
      <c r="AP176" s="244">
        <f t="shared" ref="AP176:AV185" si="54">IF(ISNUMBER(SEARCH(AP$32,$H176)),1,0)</f>
        <v>0</v>
      </c>
      <c r="AQ176" s="244">
        <f t="shared" si="54"/>
        <v>0</v>
      </c>
      <c r="AR176" s="244">
        <f t="shared" si="54"/>
        <v>0</v>
      </c>
      <c r="AS176" s="244">
        <f t="shared" si="54"/>
        <v>0</v>
      </c>
      <c r="AT176" s="244">
        <f t="shared" si="54"/>
        <v>1</v>
      </c>
      <c r="AU176" s="244">
        <f t="shared" si="54"/>
        <v>0</v>
      </c>
      <c r="AV176" s="244">
        <f t="shared" si="54"/>
        <v>0</v>
      </c>
      <c r="AW176" s="244"/>
      <c r="AX176" s="244"/>
      <c r="AY176" s="244"/>
      <c r="AZ176" s="244"/>
      <c r="BA176" s="244"/>
      <c r="BB176" s="244"/>
    </row>
    <row r="177" spans="1:54" ht="15" hidden="1">
      <c r="A177" s="331" t="s">
        <v>780</v>
      </c>
      <c r="B177" s="295" t="str">
        <f t="shared" si="47"/>
        <v>Mut: 13 | Intuition: 15 | Gewandheit: 14</v>
      </c>
      <c r="C177" s="308" t="b">
        <v>0</v>
      </c>
      <c r="D177" s="308" t="b">
        <v>0</v>
      </c>
      <c r="E177" s="308" t="b">
        <f t="shared" si="48"/>
        <v>0</v>
      </c>
      <c r="F177" t="s">
        <v>402</v>
      </c>
      <c r="G177" t="s">
        <v>113</v>
      </c>
      <c r="H177" t="s">
        <v>714</v>
      </c>
      <c r="I177" t="s">
        <v>781</v>
      </c>
      <c r="J177" s="295">
        <f>_xlfn.XLOOKUP(G177,Rechner!$A$17:$A$25,Rechner!$B$17:$B$25)</f>
        <v>5</v>
      </c>
      <c r="K177" s="295" t="str">
        <f>_xlfn.XLOOKUP(J177-SUMIF($V$31:$AV$31,TRUE,V177:AV177)-IF(D177=TRUE,1,0),Rechner!$B$17:$B$25,Rechner!$A$17:$A$25,"A+")</f>
        <v>D</v>
      </c>
      <c r="L177" s="295" t="str">
        <f>_xlfn.XLOOKUP(S177,Eigenschaften!$C$20:$C$27,Eigenschaften!$B$20:$B$27)</f>
        <v>Mut</v>
      </c>
      <c r="M177" s="295">
        <f>_xlfn.XLOOKUP(L177,Eigenschaften!$B$20:$B$27,Eigenschaften!$H$20:$H$27,"NaN",1)</f>
        <v>13</v>
      </c>
      <c r="N177" s="295" t="str">
        <f>_xlfn.XLOOKUP(T177,Eigenschaften!$C$20:$C$27,Eigenschaften!$B$20:$B$27)</f>
        <v>Intuition</v>
      </c>
      <c r="O177" s="295">
        <f>_xlfn.XLOOKUP(N177,Eigenschaften!$B$20:$B$27,Eigenschaften!$H$20:$H$27,"NaN",1)</f>
        <v>15</v>
      </c>
      <c r="P177" s="295" t="str">
        <f>_xlfn.XLOOKUP(U177,Eigenschaften!$C$20:$C$27,Eigenschaften!$B$20:$B$27)</f>
        <v>Gewandheit</v>
      </c>
      <c r="Q177" s="295">
        <f>_xlfn.XLOOKUP(P177,Eigenschaften!$B$20:$B$27,Eigenschaften!$H$20:$H$27,"NaN",1)</f>
        <v>14</v>
      </c>
      <c r="R177" s="244"/>
      <c r="S177" s="244" t="str" cm="1">
        <f t="array" ref="S177:U177">_xlfn.TEXTSPLIT(F177,"/",,,,3)</f>
        <v>MU</v>
      </c>
      <c r="T177" s="244" t="str">
        <v>IN</v>
      </c>
      <c r="U177" s="244" t="str">
        <v>GE</v>
      </c>
      <c r="V177" s="244">
        <f t="shared" si="52"/>
        <v>0</v>
      </c>
      <c r="W177" s="244">
        <f t="shared" si="52"/>
        <v>0</v>
      </c>
      <c r="X177" s="244">
        <f t="shared" si="52"/>
        <v>0</v>
      </c>
      <c r="Y177" s="244">
        <f t="shared" si="52"/>
        <v>1</v>
      </c>
      <c r="Z177" s="244">
        <f t="shared" si="52"/>
        <v>1</v>
      </c>
      <c r="AA177" s="244">
        <f t="shared" si="52"/>
        <v>0</v>
      </c>
      <c r="AB177" s="244">
        <f t="shared" si="52"/>
        <v>0</v>
      </c>
      <c r="AC177" s="244">
        <f t="shared" si="52"/>
        <v>0</v>
      </c>
      <c r="AD177" s="244">
        <f t="shared" si="52"/>
        <v>0</v>
      </c>
      <c r="AE177" s="244">
        <f t="shared" si="52"/>
        <v>0</v>
      </c>
      <c r="AF177" s="244">
        <f t="shared" si="53"/>
        <v>0</v>
      </c>
      <c r="AG177" s="244">
        <f t="shared" si="53"/>
        <v>1</v>
      </c>
      <c r="AH177" s="244">
        <f t="shared" si="53"/>
        <v>0</v>
      </c>
      <c r="AI177" s="244">
        <f t="shared" si="53"/>
        <v>0</v>
      </c>
      <c r="AJ177" s="244">
        <f t="shared" si="53"/>
        <v>0</v>
      </c>
      <c r="AK177" s="244">
        <f t="shared" si="53"/>
        <v>0</v>
      </c>
      <c r="AL177" s="244">
        <f t="shared" si="53"/>
        <v>0</v>
      </c>
      <c r="AM177" s="244">
        <f t="shared" si="53"/>
        <v>0</v>
      </c>
      <c r="AN177" s="244">
        <f t="shared" si="53"/>
        <v>0</v>
      </c>
      <c r="AO177" s="244">
        <f t="shared" si="53"/>
        <v>0</v>
      </c>
      <c r="AP177" s="244">
        <f t="shared" si="54"/>
        <v>0</v>
      </c>
      <c r="AQ177" s="244">
        <f t="shared" si="54"/>
        <v>0</v>
      </c>
      <c r="AR177" s="244">
        <f t="shared" si="54"/>
        <v>0</v>
      </c>
      <c r="AS177" s="244">
        <f t="shared" si="54"/>
        <v>0</v>
      </c>
      <c r="AT177" s="244">
        <f t="shared" si="54"/>
        <v>0</v>
      </c>
      <c r="AU177" s="244">
        <f t="shared" si="54"/>
        <v>0</v>
      </c>
      <c r="AV177" s="244">
        <f t="shared" si="54"/>
        <v>0</v>
      </c>
      <c r="AW177" s="244"/>
      <c r="AX177" s="244"/>
      <c r="AY177" s="244"/>
      <c r="AZ177" s="244"/>
      <c r="BA177" s="244"/>
      <c r="BB177" s="244"/>
    </row>
    <row r="178" spans="1:54" ht="15" hidden="1">
      <c r="A178" s="331" t="s">
        <v>782</v>
      </c>
      <c r="B178" s="295" t="str">
        <f t="shared" si="47"/>
        <v>Mut: 13 | Klugheit: 12 | Gewandheit: 14</v>
      </c>
      <c r="C178" s="308" t="b">
        <v>0</v>
      </c>
      <c r="D178" s="308" t="b">
        <v>0</v>
      </c>
      <c r="E178" s="308" t="b">
        <f t="shared" si="48"/>
        <v>0</v>
      </c>
      <c r="F178" t="s">
        <v>624</v>
      </c>
      <c r="G178" t="s">
        <v>429</v>
      </c>
      <c r="H178" t="s">
        <v>783</v>
      </c>
      <c r="I178" t="s">
        <v>784</v>
      </c>
      <c r="J178" s="295">
        <f>_xlfn.XLOOKUP(G178,Rechner!$A$17:$A$25,Rechner!$B$17:$B$25)</f>
        <v>6</v>
      </c>
      <c r="K178" s="295" t="str">
        <f>_xlfn.XLOOKUP(J178-SUMIF($V$31:$AV$31,TRUE,V178:AV178)-IF(D178=TRUE,1,0),Rechner!$B$17:$B$25,Rechner!$A$17:$A$25,"A+")</f>
        <v>E</v>
      </c>
      <c r="L178" s="295" t="str">
        <f>_xlfn.XLOOKUP(S178,Eigenschaften!$C$20:$C$27,Eigenschaften!$B$20:$B$27)</f>
        <v>Mut</v>
      </c>
      <c r="M178" s="295">
        <f>_xlfn.XLOOKUP(L178,Eigenschaften!$B$20:$B$27,Eigenschaften!$H$20:$H$27,"NaN",1)</f>
        <v>13</v>
      </c>
      <c r="N178" s="295" t="str">
        <f>_xlfn.XLOOKUP(T178,Eigenschaften!$C$20:$C$27,Eigenschaften!$B$20:$B$27)</f>
        <v>Klugheit</v>
      </c>
      <c r="O178" s="295">
        <f>_xlfn.XLOOKUP(N178,Eigenschaften!$B$20:$B$27,Eigenschaften!$H$20:$H$27,"NaN",1)</f>
        <v>12</v>
      </c>
      <c r="P178" s="295" t="str">
        <f>_xlfn.XLOOKUP(U178,Eigenschaften!$C$20:$C$27,Eigenschaften!$B$20:$B$27)</f>
        <v>Gewandheit</v>
      </c>
      <c r="Q178" s="295">
        <f>_xlfn.XLOOKUP(P178,Eigenschaften!$B$20:$B$27,Eigenschaften!$H$20:$H$27,"NaN",1)</f>
        <v>14</v>
      </c>
      <c r="R178" s="244"/>
      <c r="S178" s="244" t="str" cm="1">
        <f t="array" ref="S178:U178">_xlfn.TEXTSPLIT(F178,"/",,,,3)</f>
        <v>MU</v>
      </c>
      <c r="T178" s="244" t="str">
        <v>KL</v>
      </c>
      <c r="U178" s="244" t="str">
        <v>GE</v>
      </c>
      <c r="V178" s="244">
        <f t="shared" si="52"/>
        <v>0</v>
      </c>
      <c r="W178" s="244">
        <f t="shared" si="52"/>
        <v>0</v>
      </c>
      <c r="X178" s="244">
        <f t="shared" si="52"/>
        <v>0</v>
      </c>
      <c r="Y178" s="244">
        <f t="shared" si="52"/>
        <v>1</v>
      </c>
      <c r="Z178" s="244">
        <f t="shared" si="52"/>
        <v>0</v>
      </c>
      <c r="AA178" s="244">
        <f t="shared" si="52"/>
        <v>0</v>
      </c>
      <c r="AB178" s="244">
        <f t="shared" si="52"/>
        <v>0</v>
      </c>
      <c r="AC178" s="244">
        <f t="shared" si="52"/>
        <v>0</v>
      </c>
      <c r="AD178" s="244">
        <f t="shared" si="52"/>
        <v>0</v>
      </c>
      <c r="AE178" s="244">
        <f t="shared" si="52"/>
        <v>1</v>
      </c>
      <c r="AF178" s="244">
        <f t="shared" si="53"/>
        <v>0</v>
      </c>
      <c r="AG178" s="244">
        <f t="shared" si="53"/>
        <v>1</v>
      </c>
      <c r="AH178" s="244">
        <f t="shared" si="53"/>
        <v>0</v>
      </c>
      <c r="AI178" s="244">
        <f t="shared" si="53"/>
        <v>0</v>
      </c>
      <c r="AJ178" s="244">
        <f t="shared" si="53"/>
        <v>0</v>
      </c>
      <c r="AK178" s="244">
        <f t="shared" si="53"/>
        <v>0</v>
      </c>
      <c r="AL178" s="244">
        <f t="shared" si="53"/>
        <v>0</v>
      </c>
      <c r="AM178" s="244">
        <f t="shared" si="53"/>
        <v>0</v>
      </c>
      <c r="AN178" s="244">
        <f t="shared" si="53"/>
        <v>0</v>
      </c>
      <c r="AO178" s="244">
        <f t="shared" si="53"/>
        <v>0</v>
      </c>
      <c r="AP178" s="244">
        <f t="shared" si="54"/>
        <v>0</v>
      </c>
      <c r="AQ178" s="244">
        <f t="shared" si="54"/>
        <v>0</v>
      </c>
      <c r="AR178" s="244">
        <f t="shared" si="54"/>
        <v>0</v>
      </c>
      <c r="AS178" s="244">
        <f t="shared" si="54"/>
        <v>0</v>
      </c>
      <c r="AT178" s="244">
        <f t="shared" si="54"/>
        <v>0</v>
      </c>
      <c r="AU178" s="244">
        <f t="shared" si="54"/>
        <v>0</v>
      </c>
      <c r="AV178" s="244">
        <f t="shared" si="54"/>
        <v>0</v>
      </c>
      <c r="AW178" s="244"/>
      <c r="AX178" s="244"/>
      <c r="AY178" s="244"/>
      <c r="AZ178" s="244"/>
      <c r="BA178" s="244"/>
      <c r="BB178" s="244"/>
    </row>
    <row r="179" spans="1:54" ht="15" hidden="1">
      <c r="A179" s="331" t="s">
        <v>785</v>
      </c>
      <c r="B179" s="295" t="str">
        <f t="shared" si="47"/>
        <v>Mut: 13 | Klugheit: 12 | Gewandheit: 14</v>
      </c>
      <c r="C179" s="308" t="b">
        <v>0</v>
      </c>
      <c r="D179" s="308" t="b">
        <v>0</v>
      </c>
      <c r="E179" s="308" t="b">
        <f t="shared" si="48"/>
        <v>0</v>
      </c>
      <c r="F179" t="s">
        <v>624</v>
      </c>
      <c r="G179" t="s">
        <v>429</v>
      </c>
      <c r="H179" t="s">
        <v>786</v>
      </c>
      <c r="I179" t="s">
        <v>787</v>
      </c>
      <c r="J179" s="295">
        <f>_xlfn.XLOOKUP(G179,Rechner!$A$17:$A$25,Rechner!$B$17:$B$25)</f>
        <v>6</v>
      </c>
      <c r="K179" s="295" t="str">
        <f>_xlfn.XLOOKUP(J179-SUMIF($V$31:$AV$31,TRUE,V179:AV179)-IF(D179=TRUE,1,0),Rechner!$B$17:$B$25,Rechner!$A$17:$A$25,"A+")</f>
        <v>E</v>
      </c>
      <c r="L179" s="295" t="str">
        <f>_xlfn.XLOOKUP(S179,Eigenschaften!$C$20:$C$27,Eigenschaften!$B$20:$B$27)</f>
        <v>Mut</v>
      </c>
      <c r="M179" s="295">
        <f>_xlfn.XLOOKUP(L179,Eigenschaften!$B$20:$B$27,Eigenschaften!$H$20:$H$27,"NaN",1)</f>
        <v>13</v>
      </c>
      <c r="N179" s="295" t="str">
        <f>_xlfn.XLOOKUP(T179,Eigenschaften!$C$20:$C$27,Eigenschaften!$B$20:$B$27)</f>
        <v>Klugheit</v>
      </c>
      <c r="O179" s="295">
        <f>_xlfn.XLOOKUP(N179,Eigenschaften!$B$20:$B$27,Eigenschaften!$H$20:$H$27,"NaN",1)</f>
        <v>12</v>
      </c>
      <c r="P179" s="295" t="str">
        <f>_xlfn.XLOOKUP(U179,Eigenschaften!$C$20:$C$27,Eigenschaften!$B$20:$B$27)</f>
        <v>Gewandheit</v>
      </c>
      <c r="Q179" s="295">
        <f>_xlfn.XLOOKUP(P179,Eigenschaften!$B$20:$B$27,Eigenschaften!$H$20:$H$27,"NaN",1)</f>
        <v>14</v>
      </c>
      <c r="R179" s="244"/>
      <c r="S179" s="244" t="str" cm="1">
        <f t="array" ref="S179:U179">_xlfn.TEXTSPLIT(F179,"/",,,,3)</f>
        <v>MU</v>
      </c>
      <c r="T179" s="244" t="str">
        <v>KL</v>
      </c>
      <c r="U179" s="244" t="str">
        <v>GE</v>
      </c>
      <c r="V179" s="244">
        <f t="shared" si="52"/>
        <v>0</v>
      </c>
      <c r="W179" s="244">
        <f t="shared" si="52"/>
        <v>0</v>
      </c>
      <c r="X179" s="244">
        <f t="shared" si="52"/>
        <v>0</v>
      </c>
      <c r="Y179" s="244">
        <f t="shared" si="52"/>
        <v>1</v>
      </c>
      <c r="Z179" s="244">
        <f t="shared" si="52"/>
        <v>0</v>
      </c>
      <c r="AA179" s="244">
        <f t="shared" si="52"/>
        <v>0</v>
      </c>
      <c r="AB179" s="244">
        <f t="shared" si="52"/>
        <v>0</v>
      </c>
      <c r="AC179" s="244">
        <f t="shared" si="52"/>
        <v>1</v>
      </c>
      <c r="AD179" s="244">
        <f t="shared" si="52"/>
        <v>0</v>
      </c>
      <c r="AE179" s="244">
        <f t="shared" si="52"/>
        <v>0</v>
      </c>
      <c r="AF179" s="244">
        <f t="shared" si="53"/>
        <v>0</v>
      </c>
      <c r="AG179" s="244">
        <f t="shared" si="53"/>
        <v>1</v>
      </c>
      <c r="AH179" s="244">
        <f t="shared" si="53"/>
        <v>0</v>
      </c>
      <c r="AI179" s="244">
        <f t="shared" si="53"/>
        <v>0</v>
      </c>
      <c r="AJ179" s="244">
        <f t="shared" si="53"/>
        <v>0</v>
      </c>
      <c r="AK179" s="244">
        <f t="shared" si="53"/>
        <v>0</v>
      </c>
      <c r="AL179" s="244">
        <f t="shared" si="53"/>
        <v>0</v>
      </c>
      <c r="AM179" s="244">
        <f t="shared" si="53"/>
        <v>0</v>
      </c>
      <c r="AN179" s="244">
        <f t="shared" si="53"/>
        <v>0</v>
      </c>
      <c r="AO179" s="244">
        <f t="shared" si="53"/>
        <v>0</v>
      </c>
      <c r="AP179" s="244">
        <f t="shared" si="54"/>
        <v>0</v>
      </c>
      <c r="AQ179" s="244">
        <f t="shared" si="54"/>
        <v>0</v>
      </c>
      <c r="AR179" s="244">
        <f t="shared" si="54"/>
        <v>0</v>
      </c>
      <c r="AS179" s="244">
        <f t="shared" si="54"/>
        <v>0</v>
      </c>
      <c r="AT179" s="244">
        <f t="shared" si="54"/>
        <v>0</v>
      </c>
      <c r="AU179" s="244">
        <f t="shared" si="54"/>
        <v>0</v>
      </c>
      <c r="AV179" s="244">
        <f t="shared" si="54"/>
        <v>0</v>
      </c>
      <c r="AW179" s="244"/>
      <c r="AX179" s="244"/>
      <c r="AY179" s="244"/>
      <c r="AZ179" s="244"/>
      <c r="BA179" s="244"/>
      <c r="BB179" s="244"/>
    </row>
    <row r="180" spans="1:54" ht="15" hidden="1">
      <c r="A180" s="331" t="s">
        <v>788</v>
      </c>
      <c r="B180" s="295" t="str">
        <f t="shared" si="47"/>
        <v>Mut: 13 | Gewandheit: 14 | Körperkraft: 12</v>
      </c>
      <c r="C180" s="308" t="b">
        <v>0</v>
      </c>
      <c r="D180" s="308" t="b">
        <v>0</v>
      </c>
      <c r="E180" s="308" t="b">
        <f t="shared" si="48"/>
        <v>0</v>
      </c>
      <c r="F180" t="s">
        <v>789</v>
      </c>
      <c r="G180" t="s">
        <v>429</v>
      </c>
      <c r="H180" t="s">
        <v>667</v>
      </c>
      <c r="I180" t="s">
        <v>790</v>
      </c>
      <c r="J180" s="295">
        <f>_xlfn.XLOOKUP(G180,Rechner!$A$17:$A$25,Rechner!$B$17:$B$25)</f>
        <v>6</v>
      </c>
      <c r="K180" s="295" t="str">
        <f>_xlfn.XLOOKUP(J180-SUMIF($V$31:$AV$31,TRUE,V180:AV180)-IF(D180=TRUE,1,0),Rechner!$B$17:$B$25,Rechner!$A$17:$A$25,"A+")</f>
        <v>E</v>
      </c>
      <c r="L180" s="295" t="str">
        <f>_xlfn.XLOOKUP(S180,Eigenschaften!$C$20:$C$27,Eigenschaften!$B$20:$B$27)</f>
        <v>Mut</v>
      </c>
      <c r="M180" s="295">
        <f>_xlfn.XLOOKUP(L180,Eigenschaften!$B$20:$B$27,Eigenschaften!$H$20:$H$27,"NaN",1)</f>
        <v>13</v>
      </c>
      <c r="N180" s="295" t="str">
        <f>_xlfn.XLOOKUP(T180,Eigenschaften!$C$20:$C$27,Eigenschaften!$B$20:$B$27)</f>
        <v>Gewandheit</v>
      </c>
      <c r="O180" s="295">
        <f>_xlfn.XLOOKUP(N180,Eigenschaften!$B$20:$B$27,Eigenschaften!$H$20:$H$27,"NaN",1)</f>
        <v>14</v>
      </c>
      <c r="P180" s="295" t="str">
        <f>_xlfn.XLOOKUP(U180,Eigenschaften!$C$20:$C$27,Eigenschaften!$B$20:$B$27)</f>
        <v>Körperkraft</v>
      </c>
      <c r="Q180" s="295">
        <f>_xlfn.XLOOKUP(P180,Eigenschaften!$B$20:$B$27,Eigenschaften!$H$20:$H$27,"NaN",1)</f>
        <v>12</v>
      </c>
      <c r="R180" s="244"/>
      <c r="S180" s="244" t="str" cm="1">
        <f t="array" ref="S180:U180">_xlfn.TEXTSPLIT(F180,"/",,,,3)</f>
        <v>MU</v>
      </c>
      <c r="T180" s="244" t="str">
        <v>GE</v>
      </c>
      <c r="U180" s="244" t="str">
        <v>KK</v>
      </c>
      <c r="V180" s="244">
        <f t="shared" si="52"/>
        <v>0</v>
      </c>
      <c r="W180" s="244">
        <f t="shared" si="52"/>
        <v>0</v>
      </c>
      <c r="X180" s="244">
        <f t="shared" si="52"/>
        <v>0</v>
      </c>
      <c r="Y180" s="244">
        <f t="shared" si="52"/>
        <v>1</v>
      </c>
      <c r="Z180" s="244">
        <f t="shared" si="52"/>
        <v>0</v>
      </c>
      <c r="AA180" s="244">
        <f t="shared" si="52"/>
        <v>0</v>
      </c>
      <c r="AB180" s="244">
        <f t="shared" si="52"/>
        <v>1</v>
      </c>
      <c r="AC180" s="244">
        <f t="shared" si="52"/>
        <v>0</v>
      </c>
      <c r="AD180" s="244">
        <f t="shared" si="52"/>
        <v>0</v>
      </c>
      <c r="AE180" s="244">
        <f t="shared" si="52"/>
        <v>0</v>
      </c>
      <c r="AF180" s="244">
        <f t="shared" si="53"/>
        <v>0</v>
      </c>
      <c r="AG180" s="244">
        <f t="shared" si="53"/>
        <v>1</v>
      </c>
      <c r="AH180" s="244">
        <f t="shared" si="53"/>
        <v>0</v>
      </c>
      <c r="AI180" s="244">
        <f t="shared" si="53"/>
        <v>0</v>
      </c>
      <c r="AJ180" s="244">
        <f t="shared" si="53"/>
        <v>0</v>
      </c>
      <c r="AK180" s="244">
        <f t="shared" si="53"/>
        <v>0</v>
      </c>
      <c r="AL180" s="244">
        <f t="shared" si="53"/>
        <v>0</v>
      </c>
      <c r="AM180" s="244">
        <f t="shared" si="53"/>
        <v>0</v>
      </c>
      <c r="AN180" s="244">
        <f t="shared" si="53"/>
        <v>0</v>
      </c>
      <c r="AO180" s="244">
        <f t="shared" si="53"/>
        <v>0</v>
      </c>
      <c r="AP180" s="244">
        <f t="shared" si="54"/>
        <v>0</v>
      </c>
      <c r="AQ180" s="244">
        <f t="shared" si="54"/>
        <v>0</v>
      </c>
      <c r="AR180" s="244">
        <f t="shared" si="54"/>
        <v>0</v>
      </c>
      <c r="AS180" s="244">
        <f t="shared" si="54"/>
        <v>0</v>
      </c>
      <c r="AT180" s="244">
        <f t="shared" si="54"/>
        <v>0</v>
      </c>
      <c r="AU180" s="244">
        <f t="shared" si="54"/>
        <v>0</v>
      </c>
      <c r="AV180" s="244">
        <f t="shared" si="54"/>
        <v>0</v>
      </c>
      <c r="AW180" s="244"/>
      <c r="AX180" s="244"/>
      <c r="AY180" s="244"/>
      <c r="AZ180" s="244"/>
      <c r="BA180" s="244"/>
      <c r="BB180" s="244"/>
    </row>
    <row r="181" spans="1:54" ht="15" hidden="1">
      <c r="A181" s="331" t="s">
        <v>791</v>
      </c>
      <c r="B181" s="295" t="str">
        <f t="shared" si="47"/>
        <v>Mut: 13 | Mut: 13 | Gewandheit: 14</v>
      </c>
      <c r="C181" s="308" t="b">
        <v>0</v>
      </c>
      <c r="D181" s="308" t="b">
        <v>0</v>
      </c>
      <c r="E181" s="308" t="b">
        <f t="shared" si="48"/>
        <v>1</v>
      </c>
      <c r="F181" t="s">
        <v>588</v>
      </c>
      <c r="G181" t="s">
        <v>429</v>
      </c>
      <c r="H181" t="s">
        <v>589</v>
      </c>
      <c r="I181" t="s">
        <v>792</v>
      </c>
      <c r="J181" s="295">
        <f>_xlfn.XLOOKUP(G181,Rechner!$A$17:$A$25,Rechner!$B$17:$B$25)</f>
        <v>6</v>
      </c>
      <c r="K181" s="295" t="str">
        <f>_xlfn.XLOOKUP(J181-SUMIF($V$31:$AV$31,TRUE,V181:AV181)-IF(D181=TRUE,1,0),Rechner!$B$17:$B$25,Rechner!$A$17:$A$25,"A+")</f>
        <v>E</v>
      </c>
      <c r="L181" s="295" t="str">
        <f>_xlfn.XLOOKUP(S181,Eigenschaften!$C$20:$C$27,Eigenschaften!$B$20:$B$27)</f>
        <v>Mut</v>
      </c>
      <c r="M181" s="295">
        <f>_xlfn.XLOOKUP(L181,Eigenschaften!$B$20:$B$27,Eigenschaften!$H$20:$H$27,"NaN",1)</f>
        <v>13</v>
      </c>
      <c r="N181" s="295" t="str">
        <f>_xlfn.XLOOKUP(T181,Eigenschaften!$C$20:$C$27,Eigenschaften!$B$20:$B$27)</f>
        <v>Mut</v>
      </c>
      <c r="O181" s="295">
        <f>_xlfn.XLOOKUP(N181,Eigenschaften!$B$20:$B$27,Eigenschaften!$H$20:$H$27,"NaN",1)</f>
        <v>13</v>
      </c>
      <c r="P181" s="295" t="str">
        <f>_xlfn.XLOOKUP(U181,Eigenschaften!$C$20:$C$27,Eigenschaften!$B$20:$B$27)</f>
        <v>Gewandheit</v>
      </c>
      <c r="Q181" s="295">
        <f>_xlfn.XLOOKUP(P181,Eigenschaften!$B$20:$B$27,Eigenschaften!$H$20:$H$27,"NaN",1)</f>
        <v>14</v>
      </c>
      <c r="R181" s="244"/>
      <c r="S181" s="244" t="str" cm="1">
        <f t="array" ref="S181:U181">_xlfn.TEXTSPLIT(F181,"/",,,,3)</f>
        <v>MU</v>
      </c>
      <c r="T181" s="244" t="str">
        <v>MU</v>
      </c>
      <c r="U181" s="244" t="str">
        <v>GE</v>
      </c>
      <c r="V181" s="244">
        <f t="shared" si="52"/>
        <v>0</v>
      </c>
      <c r="W181" s="244">
        <f t="shared" si="52"/>
        <v>0</v>
      </c>
      <c r="X181" s="244">
        <f t="shared" si="52"/>
        <v>0</v>
      </c>
      <c r="Y181" s="244">
        <f t="shared" si="52"/>
        <v>1</v>
      </c>
      <c r="Z181" s="244">
        <f t="shared" si="52"/>
        <v>0</v>
      </c>
      <c r="AA181" s="244">
        <f t="shared" si="52"/>
        <v>1</v>
      </c>
      <c r="AB181" s="244">
        <f t="shared" si="52"/>
        <v>0</v>
      </c>
      <c r="AC181" s="244">
        <f t="shared" si="52"/>
        <v>0</v>
      </c>
      <c r="AD181" s="244">
        <f t="shared" si="52"/>
        <v>0</v>
      </c>
      <c r="AE181" s="244">
        <f t="shared" si="52"/>
        <v>0</v>
      </c>
      <c r="AF181" s="244">
        <f t="shared" si="53"/>
        <v>0</v>
      </c>
      <c r="AG181" s="244">
        <f t="shared" si="53"/>
        <v>1</v>
      </c>
      <c r="AH181" s="244">
        <f t="shared" si="53"/>
        <v>0</v>
      </c>
      <c r="AI181" s="244">
        <f t="shared" si="53"/>
        <v>0</v>
      </c>
      <c r="AJ181" s="244">
        <f t="shared" si="53"/>
        <v>0</v>
      </c>
      <c r="AK181" s="244">
        <f t="shared" si="53"/>
        <v>0</v>
      </c>
      <c r="AL181" s="244">
        <f t="shared" si="53"/>
        <v>0</v>
      </c>
      <c r="AM181" s="244">
        <f t="shared" si="53"/>
        <v>0</v>
      </c>
      <c r="AN181" s="244">
        <f t="shared" si="53"/>
        <v>0</v>
      </c>
      <c r="AO181" s="244">
        <f t="shared" si="53"/>
        <v>0</v>
      </c>
      <c r="AP181" s="244">
        <f t="shared" si="54"/>
        <v>0</v>
      </c>
      <c r="AQ181" s="244">
        <f t="shared" si="54"/>
        <v>0</v>
      </c>
      <c r="AR181" s="244">
        <f t="shared" si="54"/>
        <v>0</v>
      </c>
      <c r="AS181" s="244">
        <f t="shared" si="54"/>
        <v>0</v>
      </c>
      <c r="AT181" s="244">
        <f t="shared" si="54"/>
        <v>0</v>
      </c>
      <c r="AU181" s="244">
        <f t="shared" si="54"/>
        <v>0</v>
      </c>
      <c r="AV181" s="244">
        <f t="shared" si="54"/>
        <v>0</v>
      </c>
      <c r="AW181" s="244"/>
      <c r="AX181" s="244"/>
      <c r="AY181" s="244"/>
      <c r="AZ181" s="244"/>
      <c r="BA181" s="244"/>
      <c r="BB181" s="244"/>
    </row>
    <row r="182" spans="1:54" ht="15" hidden="1">
      <c r="A182" s="331" t="s">
        <v>793</v>
      </c>
      <c r="B182" s="295" t="str">
        <f t="shared" si="47"/>
        <v>Mut: 13 | Gewandheit: 14 | Körperkraft: 12</v>
      </c>
      <c r="C182" s="308" t="b">
        <v>0</v>
      </c>
      <c r="D182" s="308" t="b">
        <v>0</v>
      </c>
      <c r="E182" s="308" t="b">
        <f t="shared" si="48"/>
        <v>0</v>
      </c>
      <c r="F182" t="s">
        <v>789</v>
      </c>
      <c r="G182" t="s">
        <v>429</v>
      </c>
      <c r="H182" t="s">
        <v>459</v>
      </c>
      <c r="I182" t="s">
        <v>794</v>
      </c>
      <c r="J182" s="295">
        <f>_xlfn.XLOOKUP(G182,Rechner!$A$17:$A$25,Rechner!$B$17:$B$25)</f>
        <v>6</v>
      </c>
      <c r="K182" s="295" t="str">
        <f>_xlfn.XLOOKUP(J182-SUMIF($V$31:$AV$31,TRUE,V182:AV182)-IF(D182=TRUE,1,0),Rechner!$B$17:$B$25,Rechner!$A$17:$A$25,"A+")</f>
        <v>E</v>
      </c>
      <c r="L182" s="295" t="str">
        <f>_xlfn.XLOOKUP(S182,Eigenschaften!$C$20:$C$27,Eigenschaften!$B$20:$B$27)</f>
        <v>Mut</v>
      </c>
      <c r="M182" s="295">
        <f>_xlfn.XLOOKUP(L182,Eigenschaften!$B$20:$B$27,Eigenschaften!$H$20:$H$27,"NaN",1)</f>
        <v>13</v>
      </c>
      <c r="N182" s="295" t="str">
        <f>_xlfn.XLOOKUP(T182,Eigenschaften!$C$20:$C$27,Eigenschaften!$B$20:$B$27)</f>
        <v>Gewandheit</v>
      </c>
      <c r="O182" s="295">
        <f>_xlfn.XLOOKUP(N182,Eigenschaften!$B$20:$B$27,Eigenschaften!$H$20:$H$27,"NaN",1)</f>
        <v>14</v>
      </c>
      <c r="P182" s="295" t="str">
        <f>_xlfn.XLOOKUP(U182,Eigenschaften!$C$20:$C$27,Eigenschaften!$B$20:$B$27)</f>
        <v>Körperkraft</v>
      </c>
      <c r="Q182" s="295">
        <f>_xlfn.XLOOKUP(P182,Eigenschaften!$B$20:$B$27,Eigenschaften!$H$20:$H$27,"NaN",1)</f>
        <v>12</v>
      </c>
      <c r="R182" s="244"/>
      <c r="S182" s="244" t="str" cm="1">
        <f t="array" ref="S182:U182">_xlfn.TEXTSPLIT(F182,"/",,,,3)</f>
        <v>MU</v>
      </c>
      <c r="T182" s="244" t="str">
        <v>GE</v>
      </c>
      <c r="U182" s="244" t="str">
        <v>KK</v>
      </c>
      <c r="V182" s="244">
        <f t="shared" si="52"/>
        <v>0</v>
      </c>
      <c r="W182" s="244">
        <f t="shared" si="52"/>
        <v>0</v>
      </c>
      <c r="X182" s="244">
        <f t="shared" si="52"/>
        <v>0</v>
      </c>
      <c r="Y182" s="244">
        <f t="shared" si="52"/>
        <v>1</v>
      </c>
      <c r="Z182" s="244">
        <f t="shared" si="52"/>
        <v>0</v>
      </c>
      <c r="AA182" s="244">
        <f t="shared" si="52"/>
        <v>0</v>
      </c>
      <c r="AB182" s="244">
        <f t="shared" si="52"/>
        <v>0</v>
      </c>
      <c r="AC182" s="244">
        <f t="shared" si="52"/>
        <v>0</v>
      </c>
      <c r="AD182" s="244">
        <f t="shared" si="52"/>
        <v>1</v>
      </c>
      <c r="AE182" s="244">
        <f t="shared" si="52"/>
        <v>0</v>
      </c>
      <c r="AF182" s="244">
        <f t="shared" si="53"/>
        <v>0</v>
      </c>
      <c r="AG182" s="244">
        <f t="shared" si="53"/>
        <v>1</v>
      </c>
      <c r="AH182" s="244">
        <f t="shared" si="53"/>
        <v>0</v>
      </c>
      <c r="AI182" s="244">
        <f t="shared" si="53"/>
        <v>0</v>
      </c>
      <c r="AJ182" s="244">
        <f t="shared" si="53"/>
        <v>0</v>
      </c>
      <c r="AK182" s="244">
        <f t="shared" si="53"/>
        <v>0</v>
      </c>
      <c r="AL182" s="244">
        <f t="shared" si="53"/>
        <v>0</v>
      </c>
      <c r="AM182" s="244">
        <f t="shared" si="53"/>
        <v>0</v>
      </c>
      <c r="AN182" s="244">
        <f t="shared" si="53"/>
        <v>0</v>
      </c>
      <c r="AO182" s="244">
        <f t="shared" si="53"/>
        <v>0</v>
      </c>
      <c r="AP182" s="244">
        <f t="shared" si="54"/>
        <v>0</v>
      </c>
      <c r="AQ182" s="244">
        <f t="shared" si="54"/>
        <v>0</v>
      </c>
      <c r="AR182" s="244">
        <f t="shared" si="54"/>
        <v>0</v>
      </c>
      <c r="AS182" s="244">
        <f t="shared" si="54"/>
        <v>0</v>
      </c>
      <c r="AT182" s="244">
        <f t="shared" si="54"/>
        <v>0</v>
      </c>
      <c r="AU182" s="244">
        <f t="shared" si="54"/>
        <v>0</v>
      </c>
      <c r="AV182" s="244">
        <f t="shared" si="54"/>
        <v>0</v>
      </c>
      <c r="AW182" s="244"/>
      <c r="AX182" s="244"/>
      <c r="AY182" s="244"/>
      <c r="AZ182" s="244"/>
      <c r="BA182" s="244"/>
      <c r="BB182" s="244"/>
    </row>
    <row r="183" spans="1:54" ht="15" hidden="1">
      <c r="A183" s="331" t="s">
        <v>795</v>
      </c>
      <c r="B183" s="295" t="str">
        <f t="shared" si="47"/>
        <v>Mut: 13 | Intuition: 15 | Konstitution: 12</v>
      </c>
      <c r="C183" s="308" t="b">
        <v>0</v>
      </c>
      <c r="D183" s="308" t="b">
        <v>0</v>
      </c>
      <c r="E183" s="308" t="b">
        <f t="shared" si="48"/>
        <v>1</v>
      </c>
      <c r="F183" t="s">
        <v>310</v>
      </c>
      <c r="G183" t="s">
        <v>110</v>
      </c>
      <c r="H183" t="s">
        <v>592</v>
      </c>
      <c r="I183" t="s">
        <v>796</v>
      </c>
      <c r="J183" s="295">
        <f>_xlfn.XLOOKUP(G183,Rechner!$A$17:$A$25,Rechner!$B$17:$B$25)</f>
        <v>4</v>
      </c>
      <c r="K183" s="295" t="str">
        <f>_xlfn.XLOOKUP(J183-SUMIF($V$31:$AV$31,TRUE,V183:AV183)-IF(D183=TRUE,1,0),Rechner!$B$17:$B$25,Rechner!$A$17:$A$25,"A+")</f>
        <v>C</v>
      </c>
      <c r="L183" s="295" t="str">
        <f>_xlfn.XLOOKUP(S183,Eigenschaften!$C$20:$C$27,Eigenschaften!$B$20:$B$27)</f>
        <v>Mut</v>
      </c>
      <c r="M183" s="295">
        <f>_xlfn.XLOOKUP(L183,Eigenschaften!$B$20:$B$27,Eigenschaften!$H$20:$H$27,"NaN",1)</f>
        <v>13</v>
      </c>
      <c r="N183" s="295" t="str">
        <f>_xlfn.XLOOKUP(T183,Eigenschaften!$C$20:$C$27,Eigenschaften!$B$20:$B$27)</f>
        <v>Intuition</v>
      </c>
      <c r="O183" s="295">
        <f>_xlfn.XLOOKUP(N183,Eigenschaften!$B$20:$B$27,Eigenschaften!$H$20:$H$27,"NaN",1)</f>
        <v>15</v>
      </c>
      <c r="P183" s="295" t="str">
        <f>_xlfn.XLOOKUP(U183,Eigenschaften!$C$20:$C$27,Eigenschaften!$B$20:$B$27)</f>
        <v>Konstitution</v>
      </c>
      <c r="Q183" s="295">
        <f>_xlfn.XLOOKUP(P183,Eigenschaften!$B$20:$B$27,Eigenschaften!$H$20:$H$27,"NaN",1)</f>
        <v>12</v>
      </c>
      <c r="R183" s="244"/>
      <c r="S183" s="244" t="str" cm="1">
        <f t="array" ref="S183:U183">_xlfn.TEXTSPLIT(F183,"/",,,,3)</f>
        <v>MU</v>
      </c>
      <c r="T183" s="244" t="str">
        <v>IN</v>
      </c>
      <c r="U183" s="244" t="str">
        <v>KO</v>
      </c>
      <c r="V183" s="244">
        <f t="shared" si="52"/>
        <v>0</v>
      </c>
      <c r="W183" s="244">
        <f t="shared" si="52"/>
        <v>0</v>
      </c>
      <c r="X183" s="244">
        <f t="shared" si="52"/>
        <v>0</v>
      </c>
      <c r="Y183" s="244">
        <f t="shared" si="52"/>
        <v>0</v>
      </c>
      <c r="Z183" s="244">
        <f t="shared" si="52"/>
        <v>0</v>
      </c>
      <c r="AA183" s="244">
        <f t="shared" si="52"/>
        <v>0</v>
      </c>
      <c r="AB183" s="244">
        <f t="shared" si="52"/>
        <v>0</v>
      </c>
      <c r="AC183" s="244">
        <f t="shared" si="52"/>
        <v>0</v>
      </c>
      <c r="AD183" s="244">
        <f t="shared" si="52"/>
        <v>0</v>
      </c>
      <c r="AE183" s="244">
        <f t="shared" si="52"/>
        <v>0</v>
      </c>
      <c r="AF183" s="244">
        <f t="shared" si="53"/>
        <v>0</v>
      </c>
      <c r="AG183" s="244">
        <f t="shared" si="53"/>
        <v>0</v>
      </c>
      <c r="AH183" s="244">
        <f t="shared" si="53"/>
        <v>0</v>
      </c>
      <c r="AI183" s="244">
        <f t="shared" si="53"/>
        <v>1</v>
      </c>
      <c r="AJ183" s="244">
        <f t="shared" si="53"/>
        <v>0</v>
      </c>
      <c r="AK183" s="244">
        <f t="shared" si="53"/>
        <v>0</v>
      </c>
      <c r="AL183" s="244">
        <f t="shared" si="53"/>
        <v>0</v>
      </c>
      <c r="AM183" s="244">
        <f t="shared" si="53"/>
        <v>0</v>
      </c>
      <c r="AN183" s="244">
        <f t="shared" si="53"/>
        <v>0</v>
      </c>
      <c r="AO183" s="244">
        <f t="shared" si="53"/>
        <v>0</v>
      </c>
      <c r="AP183" s="244">
        <f t="shared" si="54"/>
        <v>0</v>
      </c>
      <c r="AQ183" s="244">
        <f t="shared" si="54"/>
        <v>0</v>
      </c>
      <c r="AR183" s="244">
        <f t="shared" si="54"/>
        <v>0</v>
      </c>
      <c r="AS183" s="244">
        <f t="shared" si="54"/>
        <v>0</v>
      </c>
      <c r="AT183" s="244">
        <f t="shared" si="54"/>
        <v>0</v>
      </c>
      <c r="AU183" s="244">
        <f t="shared" si="54"/>
        <v>0</v>
      </c>
      <c r="AV183" s="244">
        <f t="shared" si="54"/>
        <v>1</v>
      </c>
      <c r="AW183" s="244"/>
      <c r="AX183" s="244"/>
      <c r="AY183" s="244"/>
      <c r="AZ183" s="244"/>
      <c r="BA183" s="244"/>
      <c r="BB183" s="244"/>
    </row>
    <row r="184" spans="1:54" ht="15">
      <c r="A184" s="331" t="s">
        <v>306</v>
      </c>
      <c r="B184" s="295" t="str">
        <f t="shared" si="47"/>
        <v>Klugheit: 12 | Intuition: 15 | Charisma: 15</v>
      </c>
      <c r="C184" s="308" t="b">
        <v>1</v>
      </c>
      <c r="D184" s="308" t="b">
        <v>1</v>
      </c>
      <c r="E184" s="308" t="b">
        <f t="shared" si="48"/>
        <v>1</v>
      </c>
      <c r="F184" t="s">
        <v>307</v>
      </c>
      <c r="G184" t="s">
        <v>110</v>
      </c>
      <c r="H184" t="s">
        <v>509</v>
      </c>
      <c r="I184" t="s">
        <v>699</v>
      </c>
      <c r="J184" s="295">
        <f>_xlfn.XLOOKUP(G184,Rechner!$A$17:$A$25,Rechner!$B$17:$B$25)</f>
        <v>4</v>
      </c>
      <c r="K184" s="338" t="str">
        <f>_xlfn.XLOOKUP(J184-SUMIF($V$31:$AV$31,TRUE,V184:AV184)-IF(D184=TRUE,1,0),Rechner!$B$17:$B$25,Rechner!$A$17:$A$25,"A+")</f>
        <v>A</v>
      </c>
      <c r="L184" s="295" t="str">
        <f>_xlfn.XLOOKUP(S184,Eigenschaften!$C$20:$C$27,Eigenschaften!$B$20:$B$27)</f>
        <v>Klugheit</v>
      </c>
      <c r="M184" s="295">
        <f>_xlfn.XLOOKUP(L184,Eigenschaften!$B$20:$B$27,Eigenschaften!$H$20:$H$27,"NaN",1)</f>
        <v>12</v>
      </c>
      <c r="N184" s="295" t="str">
        <f>_xlfn.XLOOKUP(T184,Eigenschaften!$C$20:$C$27,Eigenschaften!$B$20:$B$27)</f>
        <v>Intuition</v>
      </c>
      <c r="O184" s="295">
        <f>_xlfn.XLOOKUP(N184,Eigenschaften!$B$20:$B$27,Eigenschaften!$H$20:$H$27,"NaN",1)</f>
        <v>15</v>
      </c>
      <c r="P184" s="295" t="str">
        <f>_xlfn.XLOOKUP(U184,Eigenschaften!$C$20:$C$27,Eigenschaften!$B$20:$B$27)</f>
        <v>Charisma</v>
      </c>
      <c r="Q184" s="295">
        <f>_xlfn.XLOOKUP(P184,Eigenschaften!$B$20:$B$27,Eigenschaften!$H$20:$H$27,"NaN",1)</f>
        <v>15</v>
      </c>
      <c r="R184" s="244"/>
      <c r="S184" s="244" t="str" cm="1">
        <f t="array" ref="S184:U184">_xlfn.TEXTSPLIT(F184,"/",,,,3)</f>
        <v>KL</v>
      </c>
      <c r="T184" s="244" t="str">
        <v>IN</v>
      </c>
      <c r="U184" s="244" t="str">
        <v>CH</v>
      </c>
      <c r="V184" s="244">
        <f t="shared" si="52"/>
        <v>0</v>
      </c>
      <c r="W184" s="244">
        <f t="shared" si="52"/>
        <v>0</v>
      </c>
      <c r="X184" s="244">
        <f t="shared" si="52"/>
        <v>0</v>
      </c>
      <c r="Y184" s="244">
        <f t="shared" si="52"/>
        <v>0</v>
      </c>
      <c r="Z184" s="244">
        <f t="shared" si="52"/>
        <v>0</v>
      </c>
      <c r="AA184" s="244">
        <f t="shared" si="52"/>
        <v>0</v>
      </c>
      <c r="AB184" s="244">
        <f t="shared" si="52"/>
        <v>0</v>
      </c>
      <c r="AC184" s="244">
        <f t="shared" si="52"/>
        <v>0</v>
      </c>
      <c r="AD184" s="244">
        <f t="shared" si="52"/>
        <v>0</v>
      </c>
      <c r="AE184" s="244">
        <f t="shared" si="52"/>
        <v>0</v>
      </c>
      <c r="AF184" s="244">
        <f t="shared" si="53"/>
        <v>1</v>
      </c>
      <c r="AG184" s="244">
        <f t="shared" si="53"/>
        <v>0</v>
      </c>
      <c r="AH184" s="244">
        <f t="shared" si="53"/>
        <v>0</v>
      </c>
      <c r="AI184" s="244">
        <f t="shared" si="53"/>
        <v>0</v>
      </c>
      <c r="AJ184" s="244">
        <f t="shared" si="53"/>
        <v>0</v>
      </c>
      <c r="AK184" s="244">
        <f t="shared" si="53"/>
        <v>0</v>
      </c>
      <c r="AL184" s="244">
        <f t="shared" si="53"/>
        <v>0</v>
      </c>
      <c r="AM184" s="244">
        <f t="shared" si="53"/>
        <v>1</v>
      </c>
      <c r="AN184" s="244">
        <f t="shared" si="53"/>
        <v>0</v>
      </c>
      <c r="AO184" s="244">
        <f t="shared" si="53"/>
        <v>0</v>
      </c>
      <c r="AP184" s="244">
        <f t="shared" si="54"/>
        <v>0</v>
      </c>
      <c r="AQ184" s="244">
        <f t="shared" si="54"/>
        <v>0</v>
      </c>
      <c r="AR184" s="244">
        <f t="shared" si="54"/>
        <v>0</v>
      </c>
      <c r="AS184" s="244">
        <f t="shared" si="54"/>
        <v>0</v>
      </c>
      <c r="AT184" s="244">
        <f t="shared" si="54"/>
        <v>0</v>
      </c>
      <c r="AU184" s="244">
        <f t="shared" si="54"/>
        <v>0</v>
      </c>
      <c r="AV184" s="244">
        <f t="shared" si="54"/>
        <v>0</v>
      </c>
      <c r="AW184" s="244">
        <v>5</v>
      </c>
      <c r="AX184" s="244" t="s">
        <v>1633</v>
      </c>
      <c r="AY184" s="244" t="s">
        <v>1623</v>
      </c>
      <c r="AZ184" s="244" t="s">
        <v>1642</v>
      </c>
      <c r="BA184" s="244" t="s">
        <v>308</v>
      </c>
      <c r="BB184" s="244"/>
    </row>
    <row r="185" spans="1:54" ht="15" hidden="1">
      <c r="A185" s="331" t="s">
        <v>798</v>
      </c>
      <c r="B185" s="295" t="str">
        <f t="shared" si="47"/>
        <v>Klugheit: 12 | Intuition: 15 | Konstitution: 12</v>
      </c>
      <c r="C185" s="308" t="b">
        <v>0</v>
      </c>
      <c r="D185" s="308" t="b">
        <v>0</v>
      </c>
      <c r="E185" s="308" t="b">
        <f t="shared" si="48"/>
        <v>0</v>
      </c>
      <c r="F185" t="s">
        <v>529</v>
      </c>
      <c r="G185" t="s">
        <v>429</v>
      </c>
      <c r="H185" t="s">
        <v>799</v>
      </c>
      <c r="I185" t="s">
        <v>413</v>
      </c>
      <c r="J185" s="295">
        <f>_xlfn.XLOOKUP(G185,Rechner!$A$17:$A$25,Rechner!$B$17:$B$25)</f>
        <v>6</v>
      </c>
      <c r="K185" s="295" t="str">
        <f>_xlfn.XLOOKUP(J185-SUMIF($V$31:$AV$31,TRUE,V185:AV185)-IF(D185=TRUE,1,0),Rechner!$B$17:$B$25,Rechner!$A$17:$A$25,"A+")</f>
        <v>E</v>
      </c>
      <c r="L185" s="295" t="str">
        <f>_xlfn.XLOOKUP(S185,Eigenschaften!$C$20:$C$27,Eigenschaften!$B$20:$B$27)</f>
        <v>Klugheit</v>
      </c>
      <c r="M185" s="295">
        <f>_xlfn.XLOOKUP(L185,Eigenschaften!$B$20:$B$27,Eigenschaften!$H$20:$H$27,"NaN",1)</f>
        <v>12</v>
      </c>
      <c r="N185" s="295" t="str">
        <f>_xlfn.XLOOKUP(T185,Eigenschaften!$C$20:$C$27,Eigenschaften!$B$20:$B$27)</f>
        <v>Intuition</v>
      </c>
      <c r="O185" s="295">
        <f>_xlfn.XLOOKUP(N185,Eigenschaften!$B$20:$B$27,Eigenschaften!$H$20:$H$27,"NaN",1)</f>
        <v>15</v>
      </c>
      <c r="P185" s="295" t="str">
        <f>_xlfn.XLOOKUP(U185,Eigenschaften!$C$20:$C$27,Eigenschaften!$B$20:$B$27)</f>
        <v>Konstitution</v>
      </c>
      <c r="Q185" s="295">
        <f>_xlfn.XLOOKUP(P185,Eigenschaften!$B$20:$B$27,Eigenschaften!$H$20:$H$27,"NaN",1)</f>
        <v>12</v>
      </c>
      <c r="R185" s="244"/>
      <c r="S185" s="244" t="str" cm="1">
        <f t="array" ref="S185:U185">_xlfn.TEXTSPLIT(F185,"/",,,,3)</f>
        <v>KL</v>
      </c>
      <c r="T185" s="244" t="str">
        <v>IN</v>
      </c>
      <c r="U185" s="244" t="str">
        <v>KO</v>
      </c>
      <c r="V185" s="244">
        <f t="shared" si="52"/>
        <v>1</v>
      </c>
      <c r="W185" s="244">
        <f t="shared" si="52"/>
        <v>0</v>
      </c>
      <c r="X185" s="244">
        <f t="shared" si="52"/>
        <v>0</v>
      </c>
      <c r="Y185" s="244">
        <f t="shared" si="52"/>
        <v>0</v>
      </c>
      <c r="Z185" s="244">
        <f t="shared" si="52"/>
        <v>0</v>
      </c>
      <c r="AA185" s="244">
        <f t="shared" si="52"/>
        <v>0</v>
      </c>
      <c r="AB185" s="244">
        <f t="shared" si="52"/>
        <v>0</v>
      </c>
      <c r="AC185" s="244">
        <f t="shared" si="52"/>
        <v>0</v>
      </c>
      <c r="AD185" s="244">
        <f t="shared" si="52"/>
        <v>0</v>
      </c>
      <c r="AE185" s="244">
        <f t="shared" si="52"/>
        <v>0</v>
      </c>
      <c r="AF185" s="244">
        <f t="shared" si="53"/>
        <v>0</v>
      </c>
      <c r="AG185" s="244">
        <f t="shared" si="53"/>
        <v>0</v>
      </c>
      <c r="AH185" s="244">
        <f t="shared" si="53"/>
        <v>0</v>
      </c>
      <c r="AI185" s="244">
        <f t="shared" si="53"/>
        <v>0</v>
      </c>
      <c r="AJ185" s="244">
        <f t="shared" si="53"/>
        <v>0</v>
      </c>
      <c r="AK185" s="244">
        <f t="shared" si="53"/>
        <v>0</v>
      </c>
      <c r="AL185" s="244">
        <f t="shared" si="53"/>
        <v>0</v>
      </c>
      <c r="AM185" s="244">
        <f t="shared" si="53"/>
        <v>0</v>
      </c>
      <c r="AN185" s="244">
        <f t="shared" si="53"/>
        <v>0</v>
      </c>
      <c r="AO185" s="244">
        <f t="shared" si="53"/>
        <v>1</v>
      </c>
      <c r="AP185" s="244">
        <f t="shared" si="54"/>
        <v>0</v>
      </c>
      <c r="AQ185" s="244">
        <f t="shared" si="54"/>
        <v>0</v>
      </c>
      <c r="AR185" s="244">
        <f t="shared" si="54"/>
        <v>0</v>
      </c>
      <c r="AS185" s="244">
        <f t="shared" si="54"/>
        <v>0</v>
      </c>
      <c r="AT185" s="244">
        <f t="shared" si="54"/>
        <v>0</v>
      </c>
      <c r="AU185" s="244">
        <f t="shared" si="54"/>
        <v>0</v>
      </c>
      <c r="AV185" s="244">
        <f t="shared" si="54"/>
        <v>0</v>
      </c>
      <c r="AW185" s="244"/>
      <c r="AX185" s="244"/>
      <c r="AY185" s="244"/>
      <c r="AZ185" s="244"/>
      <c r="BA185" s="244"/>
      <c r="BB185" s="244"/>
    </row>
    <row r="186" spans="1:54" ht="15" hidden="1">
      <c r="A186" s="331" t="s">
        <v>800</v>
      </c>
      <c r="B186" s="295" t="str">
        <f t="shared" si="47"/>
        <v>Intuition: 15 | Charisma: 15 | Fingerfertigkeit: 10</v>
      </c>
      <c r="C186" s="308" t="b">
        <v>0</v>
      </c>
      <c r="D186" s="308" t="b">
        <v>0</v>
      </c>
      <c r="E186" s="308" t="b">
        <f t="shared" si="48"/>
        <v>0</v>
      </c>
      <c r="F186" t="s">
        <v>314</v>
      </c>
      <c r="G186" t="s">
        <v>125</v>
      </c>
      <c r="H186" t="s">
        <v>801</v>
      </c>
      <c r="I186" t="s">
        <v>776</v>
      </c>
      <c r="J186" s="295">
        <f>_xlfn.XLOOKUP(G186,Rechner!$A$17:$A$25,Rechner!$B$17:$B$25)</f>
        <v>3</v>
      </c>
      <c r="K186" s="295" t="str">
        <f>_xlfn.XLOOKUP(J186-SUMIF($V$31:$AV$31,TRUE,V186:AV186)-IF(D186=TRUE,1,0),Rechner!$B$17:$B$25,Rechner!$A$17:$A$25,"A+")</f>
        <v>B</v>
      </c>
      <c r="L186" s="295" t="str">
        <f>_xlfn.XLOOKUP(S186,Eigenschaften!$C$20:$C$27,Eigenschaften!$B$20:$B$27)</f>
        <v>Intuition</v>
      </c>
      <c r="M186" s="295">
        <f>_xlfn.XLOOKUP(L186,Eigenschaften!$B$20:$B$27,Eigenschaften!$H$20:$H$27,"NaN",1)</f>
        <v>15</v>
      </c>
      <c r="N186" s="295" t="str">
        <f>_xlfn.XLOOKUP(T186,Eigenschaften!$C$20:$C$27,Eigenschaften!$B$20:$B$27)</f>
        <v>Charisma</v>
      </c>
      <c r="O186" s="295">
        <f>_xlfn.XLOOKUP(N186,Eigenschaften!$B$20:$B$27,Eigenschaften!$H$20:$H$27,"NaN",1)</f>
        <v>15</v>
      </c>
      <c r="P186" s="295" t="str">
        <f>_xlfn.XLOOKUP(U186,Eigenschaften!$C$20:$C$27,Eigenschaften!$B$20:$B$27)</f>
        <v>Fingerfertigkeit</v>
      </c>
      <c r="Q186" s="295">
        <f>_xlfn.XLOOKUP(P186,Eigenschaften!$B$20:$B$27,Eigenschaften!$H$20:$H$27,"NaN",1)</f>
        <v>10</v>
      </c>
      <c r="R186" s="244"/>
      <c r="S186" s="244" t="str" cm="1">
        <f t="array" ref="S186:U186">_xlfn.TEXTSPLIT(F186,"/",,,,3)</f>
        <v>IN</v>
      </c>
      <c r="T186" s="244" t="str">
        <v>CH</v>
      </c>
      <c r="U186" s="244" t="str">
        <v>FF</v>
      </c>
      <c r="V186" s="244">
        <f t="shared" ref="V186:AE195" si="55">IF(ISNUMBER(SEARCH(V$32,$H186)),1,0)</f>
        <v>0</v>
      </c>
      <c r="W186" s="244">
        <f t="shared" si="55"/>
        <v>0</v>
      </c>
      <c r="X186" s="244">
        <f t="shared" si="55"/>
        <v>0</v>
      </c>
      <c r="Y186" s="244">
        <f t="shared" si="55"/>
        <v>0</v>
      </c>
      <c r="Z186" s="244">
        <f t="shared" si="55"/>
        <v>0</v>
      </c>
      <c r="AA186" s="244">
        <f t="shared" si="55"/>
        <v>0</v>
      </c>
      <c r="AB186" s="244">
        <f t="shared" si="55"/>
        <v>0</v>
      </c>
      <c r="AC186" s="244">
        <f t="shared" si="55"/>
        <v>0</v>
      </c>
      <c r="AD186" s="244">
        <f t="shared" si="55"/>
        <v>0</v>
      </c>
      <c r="AE186" s="244">
        <f t="shared" si="55"/>
        <v>0</v>
      </c>
      <c r="AF186" s="244">
        <f t="shared" ref="AF186:AO195" si="56">IF(ISNUMBER(SEARCH(AF$32,$H186)),1,0)</f>
        <v>0</v>
      </c>
      <c r="AG186" s="244">
        <f t="shared" si="56"/>
        <v>0</v>
      </c>
      <c r="AH186" s="244">
        <f t="shared" si="56"/>
        <v>0</v>
      </c>
      <c r="AI186" s="244">
        <f t="shared" si="56"/>
        <v>0</v>
      </c>
      <c r="AJ186" s="244">
        <f t="shared" si="56"/>
        <v>0</v>
      </c>
      <c r="AK186" s="244">
        <f t="shared" si="56"/>
        <v>0</v>
      </c>
      <c r="AL186" s="244">
        <f t="shared" si="56"/>
        <v>0</v>
      </c>
      <c r="AM186" s="244">
        <f t="shared" si="56"/>
        <v>1</v>
      </c>
      <c r="AN186" s="244">
        <f t="shared" si="56"/>
        <v>0</v>
      </c>
      <c r="AO186" s="244">
        <f t="shared" si="56"/>
        <v>0</v>
      </c>
      <c r="AP186" s="244">
        <f t="shared" ref="AP186:AV195" si="57">IF(ISNUMBER(SEARCH(AP$32,$H186)),1,0)</f>
        <v>0</v>
      </c>
      <c r="AQ186" s="244">
        <f t="shared" si="57"/>
        <v>0</v>
      </c>
      <c r="AR186" s="244">
        <f t="shared" si="57"/>
        <v>0</v>
      </c>
      <c r="AS186" s="244">
        <f t="shared" si="57"/>
        <v>1</v>
      </c>
      <c r="AT186" s="244">
        <f t="shared" si="57"/>
        <v>0</v>
      </c>
      <c r="AU186" s="244">
        <f t="shared" si="57"/>
        <v>0</v>
      </c>
      <c r="AV186" s="244">
        <f t="shared" si="57"/>
        <v>0</v>
      </c>
      <c r="AW186" s="244"/>
      <c r="AX186" s="244"/>
      <c r="AY186" s="244"/>
      <c r="AZ186" s="244"/>
      <c r="BA186" s="244"/>
      <c r="BB186" s="244"/>
    </row>
    <row r="187" spans="1:54" ht="15" hidden="1">
      <c r="A187" s="331" t="s">
        <v>802</v>
      </c>
      <c r="B187" s="295" t="str">
        <f t="shared" si="47"/>
        <v>Intuition: 15 | Charisma: 15 | Konstitution: 12</v>
      </c>
      <c r="C187" s="308" t="b">
        <v>0</v>
      </c>
      <c r="D187" s="308" t="b">
        <v>0</v>
      </c>
      <c r="E187" s="308" t="b">
        <f t="shared" si="48"/>
        <v>1</v>
      </c>
      <c r="F187" t="s">
        <v>521</v>
      </c>
      <c r="G187" t="s">
        <v>110</v>
      </c>
      <c r="H187" t="s">
        <v>371</v>
      </c>
      <c r="I187" t="s">
        <v>803</v>
      </c>
      <c r="J187" s="295">
        <f>_xlfn.XLOOKUP(G187,Rechner!$A$17:$A$25,Rechner!$B$17:$B$25)</f>
        <v>4</v>
      </c>
      <c r="K187" s="295" t="str">
        <f>_xlfn.XLOOKUP(J187-SUMIF($V$31:$AV$31,TRUE,V187:AV187)-IF(D187=TRUE,1,0),Rechner!$B$17:$B$25,Rechner!$A$17:$A$25,"A+")</f>
        <v>C</v>
      </c>
      <c r="L187" s="295" t="str">
        <f>_xlfn.XLOOKUP(S187,Eigenschaften!$C$20:$C$27,Eigenschaften!$B$20:$B$27)</f>
        <v>Intuition</v>
      </c>
      <c r="M187" s="295">
        <f>_xlfn.XLOOKUP(L187,Eigenschaften!$B$20:$B$27,Eigenschaften!$H$20:$H$27,"NaN",1)</f>
        <v>15</v>
      </c>
      <c r="N187" s="295" t="str">
        <f>_xlfn.XLOOKUP(T187,Eigenschaften!$C$20:$C$27,Eigenschaften!$B$20:$B$27)</f>
        <v>Charisma</v>
      </c>
      <c r="O187" s="295">
        <f>_xlfn.XLOOKUP(N187,Eigenschaften!$B$20:$B$27,Eigenschaften!$H$20:$H$27,"NaN",1)</f>
        <v>15</v>
      </c>
      <c r="P187" s="295" t="str">
        <f>_xlfn.XLOOKUP(U187,Eigenschaften!$C$20:$C$27,Eigenschaften!$B$20:$B$27)</f>
        <v>Konstitution</v>
      </c>
      <c r="Q187" s="295">
        <f>_xlfn.XLOOKUP(P187,Eigenschaften!$B$20:$B$27,Eigenschaften!$H$20:$H$27,"NaN",1)</f>
        <v>12</v>
      </c>
      <c r="R187" s="244"/>
      <c r="S187" s="244" t="str" cm="1">
        <f t="array" ref="S187:U187">_xlfn.TEXTSPLIT(F187,"/",,,,3)</f>
        <v>IN</v>
      </c>
      <c r="T187" s="244" t="str">
        <v>CH</v>
      </c>
      <c r="U187" s="244" t="str">
        <v>KO</v>
      </c>
      <c r="V187" s="244">
        <f t="shared" si="55"/>
        <v>0</v>
      </c>
      <c r="W187" s="244">
        <f t="shared" si="55"/>
        <v>0</v>
      </c>
      <c r="X187" s="244">
        <f t="shared" si="55"/>
        <v>0</v>
      </c>
      <c r="Y187" s="244">
        <f t="shared" si="55"/>
        <v>0</v>
      </c>
      <c r="Z187" s="244">
        <f t="shared" si="55"/>
        <v>0</v>
      </c>
      <c r="AA187" s="244">
        <f t="shared" si="55"/>
        <v>0</v>
      </c>
      <c r="AB187" s="244">
        <f t="shared" si="55"/>
        <v>0</v>
      </c>
      <c r="AC187" s="244">
        <f t="shared" si="55"/>
        <v>0</v>
      </c>
      <c r="AD187" s="244">
        <f t="shared" si="55"/>
        <v>0</v>
      </c>
      <c r="AE187" s="244">
        <f t="shared" si="55"/>
        <v>0</v>
      </c>
      <c r="AF187" s="244">
        <f t="shared" si="56"/>
        <v>0</v>
      </c>
      <c r="AG187" s="244">
        <f t="shared" si="56"/>
        <v>0</v>
      </c>
      <c r="AH187" s="244">
        <f t="shared" si="56"/>
        <v>0</v>
      </c>
      <c r="AI187" s="244">
        <f t="shared" si="56"/>
        <v>1</v>
      </c>
      <c r="AJ187" s="244">
        <f t="shared" si="56"/>
        <v>0</v>
      </c>
      <c r="AK187" s="244">
        <f t="shared" si="56"/>
        <v>0</v>
      </c>
      <c r="AL187" s="244">
        <f t="shared" si="56"/>
        <v>0</v>
      </c>
      <c r="AM187" s="244">
        <f t="shared" si="56"/>
        <v>0</v>
      </c>
      <c r="AN187" s="244">
        <f t="shared" si="56"/>
        <v>0</v>
      </c>
      <c r="AO187" s="244">
        <f t="shared" si="56"/>
        <v>0</v>
      </c>
      <c r="AP187" s="244">
        <f t="shared" si="57"/>
        <v>0</v>
      </c>
      <c r="AQ187" s="244">
        <f t="shared" si="57"/>
        <v>0</v>
      </c>
      <c r="AR187" s="244">
        <f t="shared" si="57"/>
        <v>0</v>
      </c>
      <c r="AS187" s="244">
        <f t="shared" si="57"/>
        <v>0</v>
      </c>
      <c r="AT187" s="244">
        <f t="shared" si="57"/>
        <v>0</v>
      </c>
      <c r="AU187" s="244">
        <f t="shared" si="57"/>
        <v>0</v>
      </c>
      <c r="AV187" s="244">
        <f t="shared" si="57"/>
        <v>0</v>
      </c>
      <c r="AW187" s="244"/>
      <c r="AX187" s="244"/>
      <c r="AY187" s="244"/>
      <c r="AZ187" s="244"/>
      <c r="BA187" s="244"/>
      <c r="BB187" s="244"/>
    </row>
    <row r="188" spans="1:54" ht="15" hidden="1">
      <c r="A188" s="331" t="s">
        <v>804</v>
      </c>
      <c r="B188" s="295" t="str">
        <f t="shared" si="47"/>
        <v>Mut: 13 | Klugheit: 12 | Intuition: 15</v>
      </c>
      <c r="C188" s="308" t="b">
        <v>0</v>
      </c>
      <c r="D188" s="308" t="b">
        <v>0</v>
      </c>
      <c r="E188" s="308" t="b">
        <f t="shared" si="48"/>
        <v>1</v>
      </c>
      <c r="F188" t="s">
        <v>573</v>
      </c>
      <c r="G188" t="s">
        <v>113</v>
      </c>
      <c r="H188" t="s">
        <v>601</v>
      </c>
      <c r="I188" t="s">
        <v>805</v>
      </c>
      <c r="J188" s="295">
        <f>_xlfn.XLOOKUP(G188,Rechner!$A$17:$A$25,Rechner!$B$17:$B$25)</f>
        <v>5</v>
      </c>
      <c r="K188" s="295" t="str">
        <f>_xlfn.XLOOKUP(J188-SUMIF($V$31:$AV$31,TRUE,V188:AV188)-IF(D188=TRUE,1,0),Rechner!$B$17:$B$25,Rechner!$A$17:$A$25,"A+")</f>
        <v>D</v>
      </c>
      <c r="L188" s="295" t="str">
        <f>_xlfn.XLOOKUP(S188,Eigenschaften!$C$20:$C$27,Eigenschaften!$B$20:$B$27)</f>
        <v>Mut</v>
      </c>
      <c r="M188" s="295">
        <f>_xlfn.XLOOKUP(L188,Eigenschaften!$B$20:$B$27,Eigenschaften!$H$20:$H$27,"NaN",1)</f>
        <v>13</v>
      </c>
      <c r="N188" s="295" t="str">
        <f>_xlfn.XLOOKUP(T188,Eigenschaften!$C$20:$C$27,Eigenschaften!$B$20:$B$27)</f>
        <v>Klugheit</v>
      </c>
      <c r="O188" s="295">
        <f>_xlfn.XLOOKUP(N188,Eigenschaften!$B$20:$B$27,Eigenschaften!$H$20:$H$27,"NaN",1)</f>
        <v>12</v>
      </c>
      <c r="P188" s="295" t="str">
        <f>_xlfn.XLOOKUP(U188,Eigenschaften!$C$20:$C$27,Eigenschaften!$B$20:$B$27)</f>
        <v>Intuition</v>
      </c>
      <c r="Q188" s="295">
        <f>_xlfn.XLOOKUP(P188,Eigenschaften!$B$20:$B$27,Eigenschaften!$H$20:$H$27,"NaN",1)</f>
        <v>15</v>
      </c>
      <c r="R188" s="244"/>
      <c r="S188" s="244" t="str" cm="1">
        <f t="array" ref="S188:U188">_xlfn.TEXTSPLIT(F188,"/",,,,3)</f>
        <v>MU</v>
      </c>
      <c r="T188" s="244" t="str">
        <v>KL</v>
      </c>
      <c r="U188" s="244" t="str">
        <v>IN</v>
      </c>
      <c r="V188" s="244">
        <f t="shared" si="55"/>
        <v>0</v>
      </c>
      <c r="W188" s="244">
        <f t="shared" si="55"/>
        <v>0</v>
      </c>
      <c r="X188" s="244">
        <f t="shared" si="55"/>
        <v>0</v>
      </c>
      <c r="Y188" s="244">
        <f t="shared" si="55"/>
        <v>0</v>
      </c>
      <c r="Z188" s="244">
        <f t="shared" si="55"/>
        <v>0</v>
      </c>
      <c r="AA188" s="244">
        <f t="shared" si="55"/>
        <v>0</v>
      </c>
      <c r="AB188" s="244">
        <f t="shared" si="55"/>
        <v>0</v>
      </c>
      <c r="AC188" s="244">
        <f t="shared" si="55"/>
        <v>0</v>
      </c>
      <c r="AD188" s="244">
        <f t="shared" si="55"/>
        <v>0</v>
      </c>
      <c r="AE188" s="244">
        <f t="shared" si="55"/>
        <v>0</v>
      </c>
      <c r="AF188" s="244">
        <f t="shared" si="56"/>
        <v>0</v>
      </c>
      <c r="AG188" s="244">
        <f t="shared" si="56"/>
        <v>0</v>
      </c>
      <c r="AH188" s="244">
        <f t="shared" si="56"/>
        <v>0</v>
      </c>
      <c r="AI188" s="244">
        <f t="shared" si="56"/>
        <v>0</v>
      </c>
      <c r="AJ188" s="244">
        <f t="shared" si="56"/>
        <v>1</v>
      </c>
      <c r="AK188" s="244">
        <f t="shared" si="56"/>
        <v>0</v>
      </c>
      <c r="AL188" s="244">
        <f t="shared" si="56"/>
        <v>0</v>
      </c>
      <c r="AM188" s="244">
        <f t="shared" si="56"/>
        <v>0</v>
      </c>
      <c r="AN188" s="244">
        <f t="shared" si="56"/>
        <v>0</v>
      </c>
      <c r="AO188" s="244">
        <f t="shared" si="56"/>
        <v>0</v>
      </c>
      <c r="AP188" s="244">
        <f t="shared" si="57"/>
        <v>0</v>
      </c>
      <c r="AQ188" s="244">
        <f t="shared" si="57"/>
        <v>0</v>
      </c>
      <c r="AR188" s="244">
        <f t="shared" si="57"/>
        <v>0</v>
      </c>
      <c r="AS188" s="244">
        <f t="shared" si="57"/>
        <v>0</v>
      </c>
      <c r="AT188" s="244">
        <f t="shared" si="57"/>
        <v>0</v>
      </c>
      <c r="AU188" s="244">
        <f t="shared" si="57"/>
        <v>0</v>
      </c>
      <c r="AV188" s="244">
        <f t="shared" si="57"/>
        <v>1</v>
      </c>
      <c r="AW188" s="244"/>
      <c r="AX188" s="244"/>
      <c r="AY188" s="244"/>
      <c r="AZ188" s="244"/>
      <c r="BA188" s="244"/>
      <c r="BB188" s="244"/>
    </row>
    <row r="189" spans="1:54" ht="15" hidden="1">
      <c r="A189" s="331" t="s">
        <v>806</v>
      </c>
      <c r="B189" s="295" t="str">
        <f t="shared" si="47"/>
        <v>Mut: 13 | Klugheit: 12 | Konstitution: 12</v>
      </c>
      <c r="C189" s="308" t="b">
        <v>0</v>
      </c>
      <c r="D189" s="308" t="b">
        <v>0</v>
      </c>
      <c r="E189" s="308" t="b">
        <f t="shared" si="48"/>
        <v>1</v>
      </c>
      <c r="F189" t="s">
        <v>516</v>
      </c>
      <c r="G189" t="s">
        <v>113</v>
      </c>
      <c r="H189" t="s">
        <v>605</v>
      </c>
      <c r="I189" t="s">
        <v>807</v>
      </c>
      <c r="J189" s="295">
        <f>_xlfn.XLOOKUP(G189,Rechner!$A$17:$A$25,Rechner!$B$17:$B$25)</f>
        <v>5</v>
      </c>
      <c r="K189" s="295" t="str">
        <f>_xlfn.XLOOKUP(J189-SUMIF($V$31:$AV$31,TRUE,V189:AV189)-IF(D189=TRUE,1,0),Rechner!$B$17:$B$25,Rechner!$A$17:$A$25,"A+")</f>
        <v>D</v>
      </c>
      <c r="L189" s="295" t="str">
        <f>_xlfn.XLOOKUP(S189,Eigenschaften!$C$20:$C$27,Eigenschaften!$B$20:$B$27)</f>
        <v>Mut</v>
      </c>
      <c r="M189" s="295">
        <f>_xlfn.XLOOKUP(L189,Eigenschaften!$B$20:$B$27,Eigenschaften!$H$20:$H$27,"NaN",1)</f>
        <v>13</v>
      </c>
      <c r="N189" s="295" t="str">
        <f>_xlfn.XLOOKUP(T189,Eigenschaften!$C$20:$C$27,Eigenschaften!$B$20:$B$27)</f>
        <v>Klugheit</v>
      </c>
      <c r="O189" s="295">
        <f>_xlfn.XLOOKUP(N189,Eigenschaften!$B$20:$B$27,Eigenschaften!$H$20:$H$27,"NaN",1)</f>
        <v>12</v>
      </c>
      <c r="P189" s="295" t="str">
        <f>_xlfn.XLOOKUP(U189,Eigenschaften!$C$20:$C$27,Eigenschaften!$B$20:$B$27)</f>
        <v>Konstitution</v>
      </c>
      <c r="Q189" s="295">
        <f>_xlfn.XLOOKUP(P189,Eigenschaften!$B$20:$B$27,Eigenschaften!$H$20:$H$27,"NaN",1)</f>
        <v>12</v>
      </c>
      <c r="R189" s="244"/>
      <c r="S189" s="244" t="str" cm="1">
        <f t="array" ref="S189:U189">_xlfn.TEXTSPLIT(F189,"/",,,,3)</f>
        <v>MU</v>
      </c>
      <c r="T189" s="244" t="str">
        <v>KL</v>
      </c>
      <c r="U189" s="244" t="str">
        <v>KO</v>
      </c>
      <c r="V189" s="244">
        <f t="shared" si="55"/>
        <v>0</v>
      </c>
      <c r="W189" s="244">
        <f t="shared" si="55"/>
        <v>0</v>
      </c>
      <c r="X189" s="244">
        <f t="shared" si="55"/>
        <v>0</v>
      </c>
      <c r="Y189" s="244">
        <f t="shared" si="55"/>
        <v>0</v>
      </c>
      <c r="Z189" s="244">
        <f t="shared" si="55"/>
        <v>0</v>
      </c>
      <c r="AA189" s="244">
        <f t="shared" si="55"/>
        <v>0</v>
      </c>
      <c r="AB189" s="244">
        <f t="shared" si="55"/>
        <v>0</v>
      </c>
      <c r="AC189" s="244">
        <f t="shared" si="55"/>
        <v>0</v>
      </c>
      <c r="AD189" s="244">
        <f t="shared" si="55"/>
        <v>0</v>
      </c>
      <c r="AE189" s="244">
        <f t="shared" si="55"/>
        <v>0</v>
      </c>
      <c r="AF189" s="244">
        <f t="shared" si="56"/>
        <v>0</v>
      </c>
      <c r="AG189" s="244">
        <f t="shared" si="56"/>
        <v>0</v>
      </c>
      <c r="AH189" s="244">
        <f t="shared" si="56"/>
        <v>0</v>
      </c>
      <c r="AI189" s="244">
        <f t="shared" si="56"/>
        <v>0</v>
      </c>
      <c r="AJ189" s="244">
        <f t="shared" si="56"/>
        <v>0</v>
      </c>
      <c r="AK189" s="244">
        <f t="shared" si="56"/>
        <v>0</v>
      </c>
      <c r="AL189" s="244">
        <f t="shared" si="56"/>
        <v>0</v>
      </c>
      <c r="AM189" s="244">
        <f t="shared" si="56"/>
        <v>0</v>
      </c>
      <c r="AN189" s="244">
        <f t="shared" si="56"/>
        <v>1</v>
      </c>
      <c r="AO189" s="244">
        <f t="shared" si="56"/>
        <v>0</v>
      </c>
      <c r="AP189" s="244">
        <f t="shared" si="57"/>
        <v>0</v>
      </c>
      <c r="AQ189" s="244">
        <f t="shared" si="57"/>
        <v>0</v>
      </c>
      <c r="AR189" s="244">
        <f t="shared" si="57"/>
        <v>0</v>
      </c>
      <c r="AS189" s="244">
        <f t="shared" si="57"/>
        <v>0</v>
      </c>
      <c r="AT189" s="244">
        <f t="shared" si="57"/>
        <v>0</v>
      </c>
      <c r="AU189" s="244">
        <f t="shared" si="57"/>
        <v>0</v>
      </c>
      <c r="AV189" s="244">
        <f t="shared" si="57"/>
        <v>1</v>
      </c>
      <c r="AW189" s="244"/>
      <c r="AX189" s="244"/>
      <c r="AY189" s="244"/>
      <c r="AZ189" s="244"/>
      <c r="BA189" s="244"/>
      <c r="BB189" s="244"/>
    </row>
    <row r="190" spans="1:54" ht="15" hidden="1">
      <c r="A190" s="331" t="s">
        <v>808</v>
      </c>
      <c r="B190" s="295" t="str">
        <f t="shared" si="47"/>
        <v>Mut: 13 | Intuition: 15 | Körperkraft: 12</v>
      </c>
      <c r="C190" s="308" t="b">
        <v>0</v>
      </c>
      <c r="D190" s="308" t="b">
        <v>0</v>
      </c>
      <c r="E190" s="308" t="b">
        <f t="shared" si="48"/>
        <v>0</v>
      </c>
      <c r="F190" t="s">
        <v>809</v>
      </c>
      <c r="G190" t="s">
        <v>113</v>
      </c>
      <c r="H190" t="s">
        <v>810</v>
      </c>
      <c r="I190" t="s">
        <v>811</v>
      </c>
      <c r="J190" s="295">
        <f>_xlfn.XLOOKUP(G190,Rechner!$A$17:$A$25,Rechner!$B$17:$B$25)</f>
        <v>5</v>
      </c>
      <c r="K190" s="295" t="str">
        <f>_xlfn.XLOOKUP(J190-SUMIF($V$31:$AV$31,TRUE,V190:AV190)-IF(D190=TRUE,1,0),Rechner!$B$17:$B$25,Rechner!$A$17:$A$25,"A+")</f>
        <v>D</v>
      </c>
      <c r="L190" s="295" t="str">
        <f>_xlfn.XLOOKUP(S190,Eigenschaften!$C$20:$C$27,Eigenschaften!$B$20:$B$27)</f>
        <v>Mut</v>
      </c>
      <c r="M190" s="295">
        <f>_xlfn.XLOOKUP(L190,Eigenschaften!$B$20:$B$27,Eigenschaften!$H$20:$H$27,"NaN",1)</f>
        <v>13</v>
      </c>
      <c r="N190" s="295" t="str">
        <f>_xlfn.XLOOKUP(T190,Eigenschaften!$C$20:$C$27,Eigenschaften!$B$20:$B$27)</f>
        <v>Intuition</v>
      </c>
      <c r="O190" s="295">
        <f>_xlfn.XLOOKUP(N190,Eigenschaften!$B$20:$B$27,Eigenschaften!$H$20:$H$27,"NaN",1)</f>
        <v>15</v>
      </c>
      <c r="P190" s="295" t="str">
        <f>_xlfn.XLOOKUP(U190,Eigenschaften!$C$20:$C$27,Eigenschaften!$B$20:$B$27)</f>
        <v>Körperkraft</v>
      </c>
      <c r="Q190" s="295">
        <f>_xlfn.XLOOKUP(P190,Eigenschaften!$B$20:$B$27,Eigenschaften!$H$20:$H$27,"NaN",1)</f>
        <v>12</v>
      </c>
      <c r="R190" s="244"/>
      <c r="S190" s="244" t="str" cm="1">
        <f t="array" ref="S190:U190">_xlfn.TEXTSPLIT(F190,"/",,,,3)</f>
        <v>MU</v>
      </c>
      <c r="T190" s="244" t="str">
        <v>IN</v>
      </c>
      <c r="U190" s="244" t="str">
        <v>KK</v>
      </c>
      <c r="V190" s="244">
        <f t="shared" si="55"/>
        <v>0</v>
      </c>
      <c r="W190" s="244">
        <f t="shared" si="55"/>
        <v>0</v>
      </c>
      <c r="X190" s="244">
        <f t="shared" si="55"/>
        <v>0</v>
      </c>
      <c r="Y190" s="244">
        <f t="shared" si="55"/>
        <v>1</v>
      </c>
      <c r="Z190" s="244">
        <f t="shared" si="55"/>
        <v>0</v>
      </c>
      <c r="AA190" s="244">
        <f t="shared" si="55"/>
        <v>0</v>
      </c>
      <c r="AB190" s="244">
        <f t="shared" si="55"/>
        <v>0</v>
      </c>
      <c r="AC190" s="244">
        <f t="shared" si="55"/>
        <v>0</v>
      </c>
      <c r="AD190" s="244">
        <f t="shared" si="55"/>
        <v>0</v>
      </c>
      <c r="AE190" s="244">
        <f t="shared" si="55"/>
        <v>1</v>
      </c>
      <c r="AF190" s="244">
        <f t="shared" si="56"/>
        <v>0</v>
      </c>
      <c r="AG190" s="244">
        <f t="shared" si="56"/>
        <v>0</v>
      </c>
      <c r="AH190" s="244">
        <f t="shared" si="56"/>
        <v>0</v>
      </c>
      <c r="AI190" s="244">
        <f t="shared" si="56"/>
        <v>0</v>
      </c>
      <c r="AJ190" s="244">
        <f t="shared" si="56"/>
        <v>0</v>
      </c>
      <c r="AK190" s="244">
        <f t="shared" si="56"/>
        <v>0</v>
      </c>
      <c r="AL190" s="244">
        <f t="shared" si="56"/>
        <v>0</v>
      </c>
      <c r="AM190" s="244">
        <f t="shared" si="56"/>
        <v>0</v>
      </c>
      <c r="AN190" s="244">
        <f t="shared" si="56"/>
        <v>0</v>
      </c>
      <c r="AO190" s="244">
        <f t="shared" si="56"/>
        <v>0</v>
      </c>
      <c r="AP190" s="244">
        <f t="shared" si="57"/>
        <v>0</v>
      </c>
      <c r="AQ190" s="244">
        <f t="shared" si="57"/>
        <v>0</v>
      </c>
      <c r="AR190" s="244">
        <f t="shared" si="57"/>
        <v>0</v>
      </c>
      <c r="AS190" s="244">
        <f t="shared" si="57"/>
        <v>0</v>
      </c>
      <c r="AT190" s="244">
        <f t="shared" si="57"/>
        <v>0</v>
      </c>
      <c r="AU190" s="244">
        <f t="shared" si="57"/>
        <v>1</v>
      </c>
      <c r="AV190" s="244">
        <f t="shared" si="57"/>
        <v>0</v>
      </c>
      <c r="AW190" s="244"/>
      <c r="AX190" s="244"/>
      <c r="AY190" s="244"/>
      <c r="AZ190" s="244"/>
      <c r="BA190" s="244"/>
      <c r="BB190" s="244"/>
    </row>
    <row r="191" spans="1:54" ht="15" hidden="1">
      <c r="A191" s="331" t="s">
        <v>812</v>
      </c>
      <c r="B191" s="295" t="str">
        <f t="shared" si="47"/>
        <v>Klugheit: 12 | Intuition: 15 | Charisma: 15</v>
      </c>
      <c r="C191" s="308" t="b">
        <v>0</v>
      </c>
      <c r="D191" s="308" t="b">
        <v>0</v>
      </c>
      <c r="E191" s="308" t="b">
        <f t="shared" si="48"/>
        <v>1</v>
      </c>
      <c r="F191" t="s">
        <v>307</v>
      </c>
      <c r="G191" t="s">
        <v>128</v>
      </c>
      <c r="H191" t="s">
        <v>608</v>
      </c>
      <c r="I191" t="s">
        <v>813</v>
      </c>
      <c r="J191" s="295">
        <f>_xlfn.XLOOKUP(G191,Rechner!$A$17:$A$25,Rechner!$B$17:$B$25)</f>
        <v>2</v>
      </c>
      <c r="K191" s="295" t="str">
        <f>_xlfn.XLOOKUP(J191-SUMIF($V$31:$AV$31,TRUE,V191:AV191)-IF(D191=TRUE,1,0),Rechner!$B$17:$B$25,Rechner!$A$17:$A$25,"A+")</f>
        <v>A</v>
      </c>
      <c r="L191" s="295" t="str">
        <f>_xlfn.XLOOKUP(S191,Eigenschaften!$C$20:$C$27,Eigenschaften!$B$20:$B$27)</f>
        <v>Klugheit</v>
      </c>
      <c r="M191" s="295">
        <f>_xlfn.XLOOKUP(L191,Eigenschaften!$B$20:$B$27,Eigenschaften!$H$20:$H$27,"NaN",1)</f>
        <v>12</v>
      </c>
      <c r="N191" s="295" t="str">
        <f>_xlfn.XLOOKUP(T191,Eigenschaften!$C$20:$C$27,Eigenschaften!$B$20:$B$27)</f>
        <v>Intuition</v>
      </c>
      <c r="O191" s="295">
        <f>_xlfn.XLOOKUP(N191,Eigenschaften!$B$20:$B$27,Eigenschaften!$H$20:$H$27,"NaN",1)</f>
        <v>15</v>
      </c>
      <c r="P191" s="295" t="str">
        <f>_xlfn.XLOOKUP(U191,Eigenschaften!$C$20:$C$27,Eigenschaften!$B$20:$B$27)</f>
        <v>Charisma</v>
      </c>
      <c r="Q191" s="295">
        <f>_xlfn.XLOOKUP(P191,Eigenschaften!$B$20:$B$27,Eigenschaften!$H$20:$H$27,"NaN",1)</f>
        <v>15</v>
      </c>
      <c r="R191" s="244"/>
      <c r="S191" s="244" t="str" cm="1">
        <f t="array" ref="S191:U191">_xlfn.TEXTSPLIT(F191,"/",,,,3)</f>
        <v>KL</v>
      </c>
      <c r="T191" s="244" t="str">
        <v>IN</v>
      </c>
      <c r="U191" s="244" t="str">
        <v>CH</v>
      </c>
      <c r="V191" s="244">
        <f t="shared" si="55"/>
        <v>0</v>
      </c>
      <c r="W191" s="244">
        <f t="shared" si="55"/>
        <v>0</v>
      </c>
      <c r="X191" s="244">
        <f t="shared" si="55"/>
        <v>0</v>
      </c>
      <c r="Y191" s="244">
        <f t="shared" si="55"/>
        <v>1</v>
      </c>
      <c r="Z191" s="244">
        <f t="shared" si="55"/>
        <v>0</v>
      </c>
      <c r="AA191" s="244">
        <f t="shared" si="55"/>
        <v>0</v>
      </c>
      <c r="AB191" s="244">
        <f t="shared" si="55"/>
        <v>0</v>
      </c>
      <c r="AC191" s="244">
        <f t="shared" si="55"/>
        <v>0</v>
      </c>
      <c r="AD191" s="244">
        <f t="shared" si="55"/>
        <v>0</v>
      </c>
      <c r="AE191" s="244">
        <f t="shared" si="55"/>
        <v>0</v>
      </c>
      <c r="AF191" s="244">
        <f t="shared" si="56"/>
        <v>0</v>
      </c>
      <c r="AG191" s="244">
        <f t="shared" si="56"/>
        <v>0</v>
      </c>
      <c r="AH191" s="244">
        <f t="shared" si="56"/>
        <v>0</v>
      </c>
      <c r="AI191" s="244">
        <f t="shared" si="56"/>
        <v>0</v>
      </c>
      <c r="AJ191" s="244">
        <f t="shared" si="56"/>
        <v>0</v>
      </c>
      <c r="AK191" s="244">
        <f t="shared" si="56"/>
        <v>0</v>
      </c>
      <c r="AL191" s="244">
        <f t="shared" si="56"/>
        <v>0</v>
      </c>
      <c r="AM191" s="244">
        <f t="shared" si="56"/>
        <v>0</v>
      </c>
      <c r="AN191" s="244">
        <f t="shared" si="56"/>
        <v>0</v>
      </c>
      <c r="AO191" s="244">
        <f t="shared" si="56"/>
        <v>0</v>
      </c>
      <c r="AP191" s="244">
        <f t="shared" si="57"/>
        <v>0</v>
      </c>
      <c r="AQ191" s="244">
        <f t="shared" si="57"/>
        <v>0</v>
      </c>
      <c r="AR191" s="244">
        <f t="shared" si="57"/>
        <v>0</v>
      </c>
      <c r="AS191" s="244">
        <f t="shared" si="57"/>
        <v>0</v>
      </c>
      <c r="AT191" s="244">
        <f t="shared" si="57"/>
        <v>0</v>
      </c>
      <c r="AU191" s="244">
        <f t="shared" si="57"/>
        <v>0</v>
      </c>
      <c r="AV191" s="244">
        <f t="shared" si="57"/>
        <v>0</v>
      </c>
      <c r="AW191" s="244"/>
      <c r="AX191" s="244"/>
      <c r="AY191" s="244"/>
      <c r="AZ191" s="244"/>
      <c r="BA191" s="244"/>
      <c r="BB191" s="244"/>
    </row>
    <row r="192" spans="1:54" ht="15" hidden="1">
      <c r="A192" s="331" t="s">
        <v>814</v>
      </c>
      <c r="B192" s="295" t="str">
        <f t="shared" si="47"/>
        <v>Mut: 13 | Klugheit: 12 | Charisma: 15</v>
      </c>
      <c r="C192" s="308" t="b">
        <v>0</v>
      </c>
      <c r="D192" s="308" t="b">
        <v>0</v>
      </c>
      <c r="E192" s="308" t="b">
        <f t="shared" si="48"/>
        <v>0</v>
      </c>
      <c r="F192" t="s">
        <v>567</v>
      </c>
      <c r="G192" t="s">
        <v>530</v>
      </c>
      <c r="H192" t="s">
        <v>568</v>
      </c>
      <c r="I192" t="s">
        <v>815</v>
      </c>
      <c r="J192" s="295">
        <f>_xlfn.XLOOKUP(G192,Rechner!$A$17:$A$25,Rechner!$B$17:$B$25)</f>
        <v>7</v>
      </c>
      <c r="K192" s="295" t="str">
        <f>_xlfn.XLOOKUP(J192-SUMIF($V$31:$AV$31,TRUE,V192:AV192)-IF(D192=TRUE,1,0),Rechner!$B$17:$B$25,Rechner!$A$17:$A$25,"A+")</f>
        <v>F</v>
      </c>
      <c r="L192" s="295" t="str">
        <f>_xlfn.XLOOKUP(S192,Eigenschaften!$C$20:$C$27,Eigenschaften!$B$20:$B$27)</f>
        <v>Mut</v>
      </c>
      <c r="M192" s="295">
        <f>_xlfn.XLOOKUP(L192,Eigenschaften!$B$20:$B$27,Eigenschaften!$H$20:$H$27,"NaN",1)</f>
        <v>13</v>
      </c>
      <c r="N192" s="295" t="str">
        <f>_xlfn.XLOOKUP(T192,Eigenschaften!$C$20:$C$27,Eigenschaften!$B$20:$B$27)</f>
        <v>Klugheit</v>
      </c>
      <c r="O192" s="295">
        <f>_xlfn.XLOOKUP(N192,Eigenschaften!$B$20:$B$27,Eigenschaften!$H$20:$H$27,"NaN",1)</f>
        <v>12</v>
      </c>
      <c r="P192" s="295" t="str">
        <f>_xlfn.XLOOKUP(U192,Eigenschaften!$C$20:$C$27,Eigenschaften!$B$20:$B$27)</f>
        <v>Charisma</v>
      </c>
      <c r="Q192" s="295">
        <f>_xlfn.XLOOKUP(P192,Eigenschaften!$B$20:$B$27,Eigenschaften!$H$20:$H$27,"NaN",1)</f>
        <v>15</v>
      </c>
      <c r="R192" s="244"/>
      <c r="S192" s="244" t="str" cm="1">
        <f t="array" ref="S192:U192">_xlfn.TEXTSPLIT(F192,"/",,,,3)</f>
        <v>MU</v>
      </c>
      <c r="T192" s="244" t="str">
        <v>KL</v>
      </c>
      <c r="U192" s="244" t="str">
        <v>CH</v>
      </c>
      <c r="V192" s="244">
        <f t="shared" si="55"/>
        <v>0</v>
      </c>
      <c r="W192" s="244">
        <f t="shared" si="55"/>
        <v>0</v>
      </c>
      <c r="X192" s="244">
        <f t="shared" si="55"/>
        <v>0</v>
      </c>
      <c r="Y192" s="244">
        <f t="shared" si="55"/>
        <v>1</v>
      </c>
      <c r="Z192" s="244">
        <f t="shared" si="55"/>
        <v>0</v>
      </c>
      <c r="AA192" s="244">
        <f t="shared" si="55"/>
        <v>0</v>
      </c>
      <c r="AB192" s="244">
        <f t="shared" si="55"/>
        <v>0</v>
      </c>
      <c r="AC192" s="244">
        <f t="shared" si="55"/>
        <v>0</v>
      </c>
      <c r="AD192" s="244">
        <f t="shared" si="55"/>
        <v>0</v>
      </c>
      <c r="AE192" s="244">
        <f t="shared" si="55"/>
        <v>0</v>
      </c>
      <c r="AF192" s="244">
        <f t="shared" si="56"/>
        <v>0</v>
      </c>
      <c r="AG192" s="244">
        <f t="shared" si="56"/>
        <v>0</v>
      </c>
      <c r="AH192" s="244">
        <f t="shared" si="56"/>
        <v>0</v>
      </c>
      <c r="AI192" s="244">
        <f t="shared" si="56"/>
        <v>0</v>
      </c>
      <c r="AJ192" s="244">
        <f t="shared" si="56"/>
        <v>0</v>
      </c>
      <c r="AK192" s="244">
        <f t="shared" si="56"/>
        <v>1</v>
      </c>
      <c r="AL192" s="244">
        <f t="shared" si="56"/>
        <v>0</v>
      </c>
      <c r="AM192" s="244">
        <f t="shared" si="56"/>
        <v>0</v>
      </c>
      <c r="AN192" s="244">
        <f t="shared" si="56"/>
        <v>0</v>
      </c>
      <c r="AO192" s="244">
        <f t="shared" si="56"/>
        <v>0</v>
      </c>
      <c r="AP192" s="244">
        <f t="shared" si="57"/>
        <v>0</v>
      </c>
      <c r="AQ192" s="244">
        <f t="shared" si="57"/>
        <v>0</v>
      </c>
      <c r="AR192" s="244">
        <f t="shared" si="57"/>
        <v>0</v>
      </c>
      <c r="AS192" s="244">
        <f t="shared" si="57"/>
        <v>0</v>
      </c>
      <c r="AT192" s="244">
        <f t="shared" si="57"/>
        <v>0</v>
      </c>
      <c r="AU192" s="244">
        <f t="shared" si="57"/>
        <v>0</v>
      </c>
      <c r="AV192" s="244">
        <f t="shared" si="57"/>
        <v>0</v>
      </c>
      <c r="AW192" s="244"/>
      <c r="AX192" s="244"/>
      <c r="AY192" s="244"/>
      <c r="AZ192" s="244"/>
      <c r="BA192" s="244"/>
      <c r="BB192" s="244"/>
    </row>
    <row r="193" spans="1:54" ht="15" hidden="1">
      <c r="A193" s="331" t="s">
        <v>816</v>
      </c>
      <c r="B193" s="295" t="str">
        <f t="shared" si="47"/>
        <v>Mut: 13 | Charisma: 15 | Charisma: 15</v>
      </c>
      <c r="C193" s="308" t="b">
        <v>0</v>
      </c>
      <c r="D193" s="308" t="b">
        <v>0</v>
      </c>
      <c r="E193" s="308" t="b">
        <f t="shared" si="48"/>
        <v>0</v>
      </c>
      <c r="F193" t="s">
        <v>320</v>
      </c>
      <c r="G193" t="s">
        <v>125</v>
      </c>
      <c r="H193" t="s">
        <v>373</v>
      </c>
      <c r="I193" t="s">
        <v>817</v>
      </c>
      <c r="J193" s="295">
        <f>_xlfn.XLOOKUP(G193,Rechner!$A$17:$A$25,Rechner!$B$17:$B$25)</f>
        <v>3</v>
      </c>
      <c r="K193" s="295" t="str">
        <f>_xlfn.XLOOKUP(J193-SUMIF($V$31:$AV$31,TRUE,V193:AV193)-IF(D193=TRUE,1,0),Rechner!$B$17:$B$25,Rechner!$A$17:$A$25,"A+")</f>
        <v>B</v>
      </c>
      <c r="L193" s="295" t="str">
        <f>_xlfn.XLOOKUP(S193,Eigenschaften!$C$20:$C$27,Eigenschaften!$B$20:$B$27)</f>
        <v>Mut</v>
      </c>
      <c r="M193" s="295">
        <f>_xlfn.XLOOKUP(L193,Eigenschaften!$B$20:$B$27,Eigenschaften!$H$20:$H$27,"NaN",1)</f>
        <v>13</v>
      </c>
      <c r="N193" s="295" t="str">
        <f>_xlfn.XLOOKUP(T193,Eigenschaften!$C$20:$C$27,Eigenschaften!$B$20:$B$27)</f>
        <v>Charisma</v>
      </c>
      <c r="O193" s="295">
        <f>_xlfn.XLOOKUP(N193,Eigenschaften!$B$20:$B$27,Eigenschaften!$H$20:$H$27,"NaN",1)</f>
        <v>15</v>
      </c>
      <c r="P193" s="295" t="str">
        <f>_xlfn.XLOOKUP(U193,Eigenschaften!$C$20:$C$27,Eigenschaften!$B$20:$B$27)</f>
        <v>Charisma</v>
      </c>
      <c r="Q193" s="295">
        <f>_xlfn.XLOOKUP(P193,Eigenschaften!$B$20:$B$27,Eigenschaften!$H$20:$H$27,"NaN",1)</f>
        <v>15</v>
      </c>
      <c r="R193" s="244"/>
      <c r="S193" s="244" t="str" cm="1">
        <f t="array" ref="S193:U193">_xlfn.TEXTSPLIT(F193,"/",,,,3)</f>
        <v>MU</v>
      </c>
      <c r="T193" s="244" t="str">
        <v>CH</v>
      </c>
      <c r="U193" s="244" t="str">
        <v>CH</v>
      </c>
      <c r="V193" s="244">
        <f t="shared" si="55"/>
        <v>0</v>
      </c>
      <c r="W193" s="244">
        <f t="shared" si="55"/>
        <v>0</v>
      </c>
      <c r="X193" s="244">
        <f t="shared" si="55"/>
        <v>0</v>
      </c>
      <c r="Y193" s="244">
        <f t="shared" si="55"/>
        <v>0</v>
      </c>
      <c r="Z193" s="244">
        <f t="shared" si="55"/>
        <v>0</v>
      </c>
      <c r="AA193" s="244">
        <f t="shared" si="55"/>
        <v>0</v>
      </c>
      <c r="AB193" s="244">
        <f t="shared" si="55"/>
        <v>0</v>
      </c>
      <c r="AC193" s="244">
        <f t="shared" si="55"/>
        <v>0</v>
      </c>
      <c r="AD193" s="244">
        <f t="shared" si="55"/>
        <v>0</v>
      </c>
      <c r="AE193" s="244">
        <f t="shared" si="55"/>
        <v>0</v>
      </c>
      <c r="AF193" s="244">
        <f t="shared" si="56"/>
        <v>0</v>
      </c>
      <c r="AG193" s="244">
        <f t="shared" si="56"/>
        <v>0</v>
      </c>
      <c r="AH193" s="244">
        <f t="shared" si="56"/>
        <v>0</v>
      </c>
      <c r="AI193" s="244">
        <f t="shared" si="56"/>
        <v>0</v>
      </c>
      <c r="AJ193" s="244">
        <f t="shared" si="56"/>
        <v>0</v>
      </c>
      <c r="AK193" s="244">
        <f t="shared" si="56"/>
        <v>1</v>
      </c>
      <c r="AL193" s="244">
        <f t="shared" si="56"/>
        <v>0</v>
      </c>
      <c r="AM193" s="244">
        <f t="shared" si="56"/>
        <v>0</v>
      </c>
      <c r="AN193" s="244">
        <f t="shared" si="56"/>
        <v>0</v>
      </c>
      <c r="AO193" s="244">
        <f t="shared" si="56"/>
        <v>0</v>
      </c>
      <c r="AP193" s="244">
        <f t="shared" si="57"/>
        <v>0</v>
      </c>
      <c r="AQ193" s="244">
        <f t="shared" si="57"/>
        <v>0</v>
      </c>
      <c r="AR193" s="244">
        <f t="shared" si="57"/>
        <v>0</v>
      </c>
      <c r="AS193" s="244">
        <f t="shared" si="57"/>
        <v>0</v>
      </c>
      <c r="AT193" s="244">
        <f t="shared" si="57"/>
        <v>0</v>
      </c>
      <c r="AU193" s="244">
        <f t="shared" si="57"/>
        <v>0</v>
      </c>
      <c r="AV193" s="244">
        <f t="shared" si="57"/>
        <v>0</v>
      </c>
      <c r="AW193" s="244"/>
      <c r="AX193" s="244"/>
      <c r="AY193" s="244"/>
      <c r="AZ193" s="244"/>
      <c r="BA193" s="244"/>
      <c r="BB193" s="244"/>
    </row>
    <row r="194" spans="1:54" ht="15" hidden="1">
      <c r="A194" s="331" t="s">
        <v>818</v>
      </c>
      <c r="B194" s="295" t="str">
        <f t="shared" si="47"/>
        <v>Klugheit: 12 | Intuition: 15 | Charisma: 15</v>
      </c>
      <c r="C194" s="308" t="b">
        <v>0</v>
      </c>
      <c r="D194" s="308" t="b">
        <v>0</v>
      </c>
      <c r="E194" s="308" t="b">
        <f t="shared" si="48"/>
        <v>1</v>
      </c>
      <c r="F194" t="s">
        <v>307</v>
      </c>
      <c r="G194" t="s">
        <v>429</v>
      </c>
      <c r="H194" t="s">
        <v>374</v>
      </c>
      <c r="I194" t="s">
        <v>819</v>
      </c>
      <c r="J194" s="295">
        <f>_xlfn.XLOOKUP(G194,Rechner!$A$17:$A$25,Rechner!$B$17:$B$25)</f>
        <v>6</v>
      </c>
      <c r="K194" s="295" t="str">
        <f>_xlfn.XLOOKUP(J194-SUMIF($V$31:$AV$31,TRUE,V194:AV194)-IF(D194=TRUE,1,0),Rechner!$B$17:$B$25,Rechner!$A$17:$A$25,"A+")</f>
        <v>E</v>
      </c>
      <c r="L194" s="295" t="str">
        <f>_xlfn.XLOOKUP(S194,Eigenschaften!$C$20:$C$27,Eigenschaften!$B$20:$B$27)</f>
        <v>Klugheit</v>
      </c>
      <c r="M194" s="295">
        <f>_xlfn.XLOOKUP(L194,Eigenschaften!$B$20:$B$27,Eigenschaften!$H$20:$H$27,"NaN",1)</f>
        <v>12</v>
      </c>
      <c r="N194" s="295" t="str">
        <f>_xlfn.XLOOKUP(T194,Eigenschaften!$C$20:$C$27,Eigenschaften!$B$20:$B$27)</f>
        <v>Intuition</v>
      </c>
      <c r="O194" s="295">
        <f>_xlfn.XLOOKUP(N194,Eigenschaften!$B$20:$B$27,Eigenschaften!$H$20:$H$27,"NaN",1)</f>
        <v>15</v>
      </c>
      <c r="P194" s="295" t="str">
        <f>_xlfn.XLOOKUP(U194,Eigenschaften!$C$20:$C$27,Eigenschaften!$B$20:$B$27)</f>
        <v>Charisma</v>
      </c>
      <c r="Q194" s="295">
        <f>_xlfn.XLOOKUP(P194,Eigenschaften!$B$20:$B$27,Eigenschaften!$H$20:$H$27,"NaN",1)</f>
        <v>15</v>
      </c>
      <c r="R194" s="244"/>
      <c r="S194" s="244" t="str" cm="1">
        <f t="array" ref="S194:U194">_xlfn.TEXTSPLIT(F194,"/",,,,3)</f>
        <v>KL</v>
      </c>
      <c r="T194" s="244" t="str">
        <v>IN</v>
      </c>
      <c r="U194" s="244" t="str">
        <v>CH</v>
      </c>
      <c r="V194" s="244">
        <f t="shared" si="55"/>
        <v>0</v>
      </c>
      <c r="W194" s="244">
        <f t="shared" si="55"/>
        <v>0</v>
      </c>
      <c r="X194" s="244">
        <f t="shared" si="55"/>
        <v>0</v>
      </c>
      <c r="Y194" s="244">
        <f t="shared" si="55"/>
        <v>0</v>
      </c>
      <c r="Z194" s="244">
        <f t="shared" si="55"/>
        <v>0</v>
      </c>
      <c r="AA194" s="244">
        <f t="shared" si="55"/>
        <v>0</v>
      </c>
      <c r="AB194" s="244">
        <f t="shared" si="55"/>
        <v>0</v>
      </c>
      <c r="AC194" s="244">
        <f t="shared" si="55"/>
        <v>0</v>
      </c>
      <c r="AD194" s="244">
        <f t="shared" si="55"/>
        <v>0</v>
      </c>
      <c r="AE194" s="244">
        <f t="shared" si="55"/>
        <v>0</v>
      </c>
      <c r="AF194" s="244">
        <f t="shared" si="56"/>
        <v>0</v>
      </c>
      <c r="AG194" s="244">
        <f t="shared" si="56"/>
        <v>0</v>
      </c>
      <c r="AH194" s="244">
        <f t="shared" si="56"/>
        <v>0</v>
      </c>
      <c r="AI194" s="244">
        <f t="shared" si="56"/>
        <v>0</v>
      </c>
      <c r="AJ194" s="244">
        <f t="shared" si="56"/>
        <v>0</v>
      </c>
      <c r="AK194" s="244">
        <f t="shared" si="56"/>
        <v>0</v>
      </c>
      <c r="AL194" s="244">
        <f t="shared" si="56"/>
        <v>1</v>
      </c>
      <c r="AM194" s="244">
        <f t="shared" si="56"/>
        <v>0</v>
      </c>
      <c r="AN194" s="244">
        <f t="shared" si="56"/>
        <v>0</v>
      </c>
      <c r="AO194" s="244">
        <f t="shared" si="56"/>
        <v>0</v>
      </c>
      <c r="AP194" s="244">
        <f t="shared" si="57"/>
        <v>0</v>
      </c>
      <c r="AQ194" s="244">
        <f t="shared" si="57"/>
        <v>0</v>
      </c>
      <c r="AR194" s="244">
        <f t="shared" si="57"/>
        <v>0</v>
      </c>
      <c r="AS194" s="244">
        <f t="shared" si="57"/>
        <v>0</v>
      </c>
      <c r="AT194" s="244">
        <f t="shared" si="57"/>
        <v>0</v>
      </c>
      <c r="AU194" s="244">
        <f t="shared" si="57"/>
        <v>0</v>
      </c>
      <c r="AV194" s="244">
        <f t="shared" si="57"/>
        <v>0</v>
      </c>
      <c r="AW194" s="244"/>
      <c r="AX194" s="244"/>
      <c r="AY194" s="244"/>
      <c r="AZ194" s="244"/>
      <c r="BA194" s="244"/>
      <c r="BB194" s="244"/>
    </row>
    <row r="195" spans="1:54" ht="15" hidden="1">
      <c r="A195" s="331" t="s">
        <v>820</v>
      </c>
      <c r="B195" s="295" t="str">
        <f t="shared" si="47"/>
        <v>Klugheit: 12 | Klugheit: 12 | Intuition: 15</v>
      </c>
      <c r="C195" s="308" t="b">
        <v>0</v>
      </c>
      <c r="D195" s="308" t="b">
        <v>0</v>
      </c>
      <c r="E195" s="308" t="b">
        <f t="shared" si="48"/>
        <v>0</v>
      </c>
      <c r="F195" t="s">
        <v>421</v>
      </c>
      <c r="G195" t="s">
        <v>110</v>
      </c>
      <c r="H195" t="s">
        <v>398</v>
      </c>
      <c r="I195" t="s">
        <v>729</v>
      </c>
      <c r="J195" s="295">
        <f>_xlfn.XLOOKUP(G195,Rechner!$A$17:$A$25,Rechner!$B$17:$B$25)</f>
        <v>4</v>
      </c>
      <c r="K195" s="295" t="str">
        <f>_xlfn.XLOOKUP(J195-SUMIF($V$31:$AV$31,TRUE,V195:AV195)-IF(D195=TRUE,1,0),Rechner!$B$17:$B$25,Rechner!$A$17:$A$25,"A+")</f>
        <v>B</v>
      </c>
      <c r="L195" s="295" t="str">
        <f>_xlfn.XLOOKUP(S195,Eigenschaften!$C$20:$C$27,Eigenschaften!$B$20:$B$27)</f>
        <v>Klugheit</v>
      </c>
      <c r="M195" s="295">
        <f>_xlfn.XLOOKUP(L195,Eigenschaften!$B$20:$B$27,Eigenschaften!$H$20:$H$27,"NaN",1)</f>
        <v>12</v>
      </c>
      <c r="N195" s="295" t="str">
        <f>_xlfn.XLOOKUP(T195,Eigenschaften!$C$20:$C$27,Eigenschaften!$B$20:$B$27)</f>
        <v>Klugheit</v>
      </c>
      <c r="O195" s="295">
        <f>_xlfn.XLOOKUP(N195,Eigenschaften!$B$20:$B$27,Eigenschaften!$H$20:$H$27,"NaN",1)</f>
        <v>12</v>
      </c>
      <c r="P195" s="295" t="str">
        <f>_xlfn.XLOOKUP(U195,Eigenschaften!$C$20:$C$27,Eigenschaften!$B$20:$B$27)</f>
        <v>Intuition</v>
      </c>
      <c r="Q195" s="295">
        <f>_xlfn.XLOOKUP(P195,Eigenschaften!$B$20:$B$27,Eigenschaften!$H$20:$H$27,"NaN",1)</f>
        <v>15</v>
      </c>
      <c r="R195" s="244"/>
      <c r="S195" s="244" t="str" cm="1">
        <f t="array" ref="S195:U195">_xlfn.TEXTSPLIT(F195,"/",,,,3)</f>
        <v>KL</v>
      </c>
      <c r="T195" s="244" t="str">
        <v>KL</v>
      </c>
      <c r="U195" s="244" t="str">
        <v>IN</v>
      </c>
      <c r="V195" s="244">
        <f t="shared" si="55"/>
        <v>0</v>
      </c>
      <c r="W195" s="244">
        <f t="shared" si="55"/>
        <v>0</v>
      </c>
      <c r="X195" s="244">
        <f t="shared" si="55"/>
        <v>1</v>
      </c>
      <c r="Y195" s="244">
        <f t="shared" si="55"/>
        <v>0</v>
      </c>
      <c r="Z195" s="244">
        <f t="shared" si="55"/>
        <v>0</v>
      </c>
      <c r="AA195" s="244">
        <f t="shared" si="55"/>
        <v>0</v>
      </c>
      <c r="AB195" s="244">
        <f t="shared" si="55"/>
        <v>0</v>
      </c>
      <c r="AC195" s="244">
        <f t="shared" si="55"/>
        <v>0</v>
      </c>
      <c r="AD195" s="244">
        <f t="shared" si="55"/>
        <v>0</v>
      </c>
      <c r="AE195" s="244">
        <f t="shared" si="55"/>
        <v>0</v>
      </c>
      <c r="AF195" s="244">
        <f t="shared" si="56"/>
        <v>0</v>
      </c>
      <c r="AG195" s="244">
        <f t="shared" si="56"/>
        <v>0</v>
      </c>
      <c r="AH195" s="244">
        <f t="shared" si="56"/>
        <v>0</v>
      </c>
      <c r="AI195" s="244">
        <f t="shared" si="56"/>
        <v>0</v>
      </c>
      <c r="AJ195" s="244">
        <f t="shared" si="56"/>
        <v>1</v>
      </c>
      <c r="AK195" s="244">
        <f t="shared" si="56"/>
        <v>0</v>
      </c>
      <c r="AL195" s="244">
        <f t="shared" si="56"/>
        <v>0</v>
      </c>
      <c r="AM195" s="244">
        <f t="shared" si="56"/>
        <v>0</v>
      </c>
      <c r="AN195" s="244">
        <f t="shared" si="56"/>
        <v>0</v>
      </c>
      <c r="AO195" s="244">
        <f t="shared" si="56"/>
        <v>0</v>
      </c>
      <c r="AP195" s="244">
        <f t="shared" si="57"/>
        <v>0</v>
      </c>
      <c r="AQ195" s="244">
        <f t="shared" si="57"/>
        <v>0</v>
      </c>
      <c r="AR195" s="244">
        <f t="shared" si="57"/>
        <v>0</v>
      </c>
      <c r="AS195" s="244">
        <f t="shared" si="57"/>
        <v>0</v>
      </c>
      <c r="AT195" s="244">
        <f t="shared" si="57"/>
        <v>0</v>
      </c>
      <c r="AU195" s="244">
        <f t="shared" si="57"/>
        <v>0</v>
      </c>
      <c r="AV195" s="244">
        <f t="shared" si="57"/>
        <v>0</v>
      </c>
      <c r="AW195" s="244"/>
      <c r="AX195" s="244"/>
      <c r="AY195" s="244"/>
      <c r="AZ195" s="244"/>
      <c r="BA195" s="244"/>
      <c r="BB195" s="244"/>
    </row>
    <row r="196" spans="1:54" ht="15" hidden="1">
      <c r="A196" s="331" t="s">
        <v>821</v>
      </c>
      <c r="B196" s="295" t="str">
        <f t="shared" si="47"/>
        <v>Klugheit: 12 | Charisma: 15 | Fingerfertigkeit: 10</v>
      </c>
      <c r="C196" s="308" t="b">
        <v>0</v>
      </c>
      <c r="D196" s="308" t="b">
        <v>0</v>
      </c>
      <c r="E196" s="308" t="b">
        <f t="shared" si="48"/>
        <v>0</v>
      </c>
      <c r="F196" t="s">
        <v>393</v>
      </c>
      <c r="G196" t="s">
        <v>125</v>
      </c>
      <c r="H196" t="s">
        <v>375</v>
      </c>
      <c r="I196" t="s">
        <v>822</v>
      </c>
      <c r="J196" s="295">
        <f>_xlfn.XLOOKUP(G196,Rechner!$A$17:$A$25,Rechner!$B$17:$B$25)</f>
        <v>3</v>
      </c>
      <c r="K196" s="295" t="str">
        <f>_xlfn.XLOOKUP(J196-SUMIF($V$31:$AV$31,TRUE,V196:AV196)-IF(D196=TRUE,1,0),Rechner!$B$17:$B$25,Rechner!$A$17:$A$25,"A+")</f>
        <v>B</v>
      </c>
      <c r="L196" s="295" t="str">
        <f>_xlfn.XLOOKUP(S196,Eigenschaften!$C$20:$C$27,Eigenschaften!$B$20:$B$27)</f>
        <v>Klugheit</v>
      </c>
      <c r="M196" s="295">
        <f>_xlfn.XLOOKUP(L196,Eigenschaften!$B$20:$B$27,Eigenschaften!$H$20:$H$27,"NaN",1)</f>
        <v>12</v>
      </c>
      <c r="N196" s="295" t="str">
        <f>_xlfn.XLOOKUP(T196,Eigenschaften!$C$20:$C$27,Eigenschaften!$B$20:$B$27)</f>
        <v>Charisma</v>
      </c>
      <c r="O196" s="295">
        <f>_xlfn.XLOOKUP(N196,Eigenschaften!$B$20:$B$27,Eigenschaften!$H$20:$H$27,"NaN",1)</f>
        <v>15</v>
      </c>
      <c r="P196" s="295" t="str">
        <f>_xlfn.XLOOKUP(U196,Eigenschaften!$C$20:$C$27,Eigenschaften!$B$20:$B$27)</f>
        <v>Fingerfertigkeit</v>
      </c>
      <c r="Q196" s="295">
        <f>_xlfn.XLOOKUP(P196,Eigenschaften!$B$20:$B$27,Eigenschaften!$H$20:$H$27,"NaN",1)</f>
        <v>10</v>
      </c>
      <c r="R196" s="244"/>
      <c r="S196" s="244" t="str" cm="1">
        <f t="array" ref="S196:U196">_xlfn.TEXTSPLIT(F196,"/",,,,3)</f>
        <v>KL</v>
      </c>
      <c r="T196" s="244" t="str">
        <v>CH</v>
      </c>
      <c r="U196" s="244" t="str">
        <v>FF</v>
      </c>
      <c r="V196" s="244">
        <f t="shared" ref="V196:AE205" si="58">IF(ISNUMBER(SEARCH(V$32,$H196)),1,0)</f>
        <v>0</v>
      </c>
      <c r="W196" s="244">
        <f t="shared" si="58"/>
        <v>0</v>
      </c>
      <c r="X196" s="244">
        <f t="shared" si="58"/>
        <v>0</v>
      </c>
      <c r="Y196" s="244">
        <f t="shared" si="58"/>
        <v>0</v>
      </c>
      <c r="Z196" s="244">
        <f t="shared" si="58"/>
        <v>0</v>
      </c>
      <c r="AA196" s="244">
        <f t="shared" si="58"/>
        <v>0</v>
      </c>
      <c r="AB196" s="244">
        <f t="shared" si="58"/>
        <v>0</v>
      </c>
      <c r="AC196" s="244">
        <f t="shared" si="58"/>
        <v>0</v>
      </c>
      <c r="AD196" s="244">
        <f t="shared" si="58"/>
        <v>0</v>
      </c>
      <c r="AE196" s="244">
        <f t="shared" si="58"/>
        <v>0</v>
      </c>
      <c r="AF196" s="244">
        <f t="shared" ref="AF196:AO205" si="59">IF(ISNUMBER(SEARCH(AF$32,$H196)),1,0)</f>
        <v>0</v>
      </c>
      <c r="AG196" s="244">
        <f t="shared" si="59"/>
        <v>0</v>
      </c>
      <c r="AH196" s="244">
        <f t="shared" si="59"/>
        <v>0</v>
      </c>
      <c r="AI196" s="244">
        <f t="shared" si="59"/>
        <v>0</v>
      </c>
      <c r="AJ196" s="244">
        <f t="shared" si="59"/>
        <v>0</v>
      </c>
      <c r="AK196" s="244">
        <f t="shared" si="59"/>
        <v>0</v>
      </c>
      <c r="AL196" s="244">
        <f t="shared" si="59"/>
        <v>0</v>
      </c>
      <c r="AM196" s="244">
        <f t="shared" si="59"/>
        <v>1</v>
      </c>
      <c r="AN196" s="244">
        <f t="shared" si="59"/>
        <v>0</v>
      </c>
      <c r="AO196" s="244">
        <f t="shared" si="59"/>
        <v>0</v>
      </c>
      <c r="AP196" s="244">
        <f t="shared" ref="AP196:AV205" si="60">IF(ISNUMBER(SEARCH(AP$32,$H196)),1,0)</f>
        <v>0</v>
      </c>
      <c r="AQ196" s="244">
        <f t="shared" si="60"/>
        <v>0</v>
      </c>
      <c r="AR196" s="244">
        <f t="shared" si="60"/>
        <v>0</v>
      </c>
      <c r="AS196" s="244">
        <f t="shared" si="60"/>
        <v>0</v>
      </c>
      <c r="AT196" s="244">
        <f t="shared" si="60"/>
        <v>0</v>
      </c>
      <c r="AU196" s="244">
        <f t="shared" si="60"/>
        <v>0</v>
      </c>
      <c r="AV196" s="244">
        <f t="shared" si="60"/>
        <v>0</v>
      </c>
      <c r="AW196" s="244"/>
      <c r="AX196" s="244"/>
      <c r="AY196" s="244"/>
      <c r="AZ196" s="244"/>
      <c r="BA196" s="244"/>
      <c r="BB196" s="244"/>
    </row>
    <row r="197" spans="1:54" ht="15" hidden="1">
      <c r="A197" s="331" t="s">
        <v>823</v>
      </c>
      <c r="B197" s="295" t="str">
        <f t="shared" si="47"/>
        <v>Klugheit: 12 | Klugheit: 12 | Konstitution: 12</v>
      </c>
      <c r="C197" s="308" t="b">
        <v>0</v>
      </c>
      <c r="D197" s="308" t="b">
        <v>0</v>
      </c>
      <c r="E197" s="308" t="b">
        <f t="shared" si="48"/>
        <v>0</v>
      </c>
      <c r="F197" t="s">
        <v>824</v>
      </c>
      <c r="G197" t="s">
        <v>530</v>
      </c>
      <c r="H197" t="s">
        <v>825</v>
      </c>
      <c r="I197" t="s">
        <v>413</v>
      </c>
      <c r="J197" s="295">
        <f>_xlfn.XLOOKUP(G197,Rechner!$A$17:$A$25,Rechner!$B$17:$B$25)</f>
        <v>7</v>
      </c>
      <c r="K197" s="295" t="str">
        <f>_xlfn.XLOOKUP(J197-SUMIF($V$31:$AV$31,TRUE,V197:AV197)-IF(D197=TRUE,1,0),Rechner!$B$17:$B$25,Rechner!$A$17:$A$25,"A+")</f>
        <v>F</v>
      </c>
      <c r="L197" s="295" t="str">
        <f>_xlfn.XLOOKUP(S197,Eigenschaften!$C$20:$C$27,Eigenschaften!$B$20:$B$27)</f>
        <v>Klugheit</v>
      </c>
      <c r="M197" s="295">
        <f>_xlfn.XLOOKUP(L197,Eigenschaften!$B$20:$B$27,Eigenschaften!$H$20:$H$27,"NaN",1)</f>
        <v>12</v>
      </c>
      <c r="N197" s="295" t="str">
        <f>_xlfn.XLOOKUP(T197,Eigenschaften!$C$20:$C$27,Eigenschaften!$B$20:$B$27)</f>
        <v>Klugheit</v>
      </c>
      <c r="O197" s="295">
        <f>_xlfn.XLOOKUP(N197,Eigenschaften!$B$20:$B$27,Eigenschaften!$H$20:$H$27,"NaN",1)</f>
        <v>12</v>
      </c>
      <c r="P197" s="295" t="str">
        <f>_xlfn.XLOOKUP(U197,Eigenschaften!$C$20:$C$27,Eigenschaften!$B$20:$B$27)</f>
        <v>Konstitution</v>
      </c>
      <c r="Q197" s="295">
        <f>_xlfn.XLOOKUP(P197,Eigenschaften!$B$20:$B$27,Eigenschaften!$H$20:$H$27,"NaN",1)</f>
        <v>12</v>
      </c>
      <c r="R197" s="244"/>
      <c r="S197" s="244" t="str" cm="1">
        <f t="array" ref="S197:U197">_xlfn.TEXTSPLIT(F197,"/",,,,3)</f>
        <v>KL</v>
      </c>
      <c r="T197" s="244" t="str">
        <v>KL</v>
      </c>
      <c r="U197" s="244" t="str">
        <v>KO</v>
      </c>
      <c r="V197" s="244">
        <f t="shared" si="58"/>
        <v>1</v>
      </c>
      <c r="W197" s="244">
        <f t="shared" si="58"/>
        <v>0</v>
      </c>
      <c r="X197" s="244">
        <f t="shared" si="58"/>
        <v>0</v>
      </c>
      <c r="Y197" s="244">
        <f t="shared" si="58"/>
        <v>0</v>
      </c>
      <c r="Z197" s="244">
        <f t="shared" si="58"/>
        <v>0</v>
      </c>
      <c r="AA197" s="244">
        <f t="shared" si="58"/>
        <v>0</v>
      </c>
      <c r="AB197" s="244">
        <f t="shared" si="58"/>
        <v>0</v>
      </c>
      <c r="AC197" s="244">
        <f t="shared" si="58"/>
        <v>0</v>
      </c>
      <c r="AD197" s="244">
        <f t="shared" si="58"/>
        <v>0</v>
      </c>
      <c r="AE197" s="244">
        <f t="shared" si="58"/>
        <v>0</v>
      </c>
      <c r="AF197" s="244">
        <f t="shared" si="59"/>
        <v>0</v>
      </c>
      <c r="AG197" s="244">
        <f t="shared" si="59"/>
        <v>0</v>
      </c>
      <c r="AH197" s="244">
        <f t="shared" si="59"/>
        <v>0</v>
      </c>
      <c r="AI197" s="244">
        <f t="shared" si="59"/>
        <v>0</v>
      </c>
      <c r="AJ197" s="244">
        <f t="shared" si="59"/>
        <v>0</v>
      </c>
      <c r="AK197" s="244">
        <f t="shared" si="59"/>
        <v>0</v>
      </c>
      <c r="AL197" s="244">
        <f t="shared" si="59"/>
        <v>0</v>
      </c>
      <c r="AM197" s="244">
        <f t="shared" si="59"/>
        <v>0</v>
      </c>
      <c r="AN197" s="244">
        <f t="shared" si="59"/>
        <v>0</v>
      </c>
      <c r="AO197" s="244">
        <f t="shared" si="59"/>
        <v>0</v>
      </c>
      <c r="AP197" s="244">
        <f t="shared" si="60"/>
        <v>1</v>
      </c>
      <c r="AQ197" s="244">
        <f t="shared" si="60"/>
        <v>0</v>
      </c>
      <c r="AR197" s="244">
        <f t="shared" si="60"/>
        <v>0</v>
      </c>
      <c r="AS197" s="244">
        <f t="shared" si="60"/>
        <v>0</v>
      </c>
      <c r="AT197" s="244">
        <f t="shared" si="60"/>
        <v>0</v>
      </c>
      <c r="AU197" s="244">
        <f t="shared" si="60"/>
        <v>0</v>
      </c>
      <c r="AV197" s="244">
        <f t="shared" si="60"/>
        <v>0</v>
      </c>
      <c r="AW197" s="244"/>
      <c r="AX197" s="244"/>
      <c r="AY197" s="244"/>
      <c r="AZ197" s="244"/>
      <c r="BA197" s="244"/>
      <c r="BB197" s="244"/>
    </row>
    <row r="198" spans="1:54" ht="15" hidden="1">
      <c r="A198" s="331" t="s">
        <v>826</v>
      </c>
      <c r="B198" s="295" t="str">
        <f t="shared" si="47"/>
        <v>Klugheit: 12 | Fingerfertigkeit: 10 | Körperkraft: 12</v>
      </c>
      <c r="C198" s="308" t="b">
        <v>0</v>
      </c>
      <c r="D198" s="308" t="b">
        <v>0</v>
      </c>
      <c r="E198" s="308" t="b">
        <f t="shared" si="48"/>
        <v>0</v>
      </c>
      <c r="F198" t="s">
        <v>302</v>
      </c>
      <c r="G198" t="s">
        <v>110</v>
      </c>
      <c r="H198" t="s">
        <v>827</v>
      </c>
      <c r="I198" t="s">
        <v>828</v>
      </c>
      <c r="J198" s="295">
        <f>_xlfn.XLOOKUP(G198,Rechner!$A$17:$A$25,Rechner!$B$17:$B$25)</f>
        <v>4</v>
      </c>
      <c r="K198" s="295" t="str">
        <f>_xlfn.XLOOKUP(J198-SUMIF($V$31:$AV$31,TRUE,V198:AV198)-IF(D198=TRUE,1,0),Rechner!$B$17:$B$25,Rechner!$A$17:$A$25,"A+")</f>
        <v>C</v>
      </c>
      <c r="L198" s="295" t="str">
        <f>_xlfn.XLOOKUP(S198,Eigenschaften!$C$20:$C$27,Eigenschaften!$B$20:$B$27)</f>
        <v>Klugheit</v>
      </c>
      <c r="M198" s="295">
        <f>_xlfn.XLOOKUP(L198,Eigenschaften!$B$20:$B$27,Eigenschaften!$H$20:$H$27,"NaN",1)</f>
        <v>12</v>
      </c>
      <c r="N198" s="295" t="str">
        <f>_xlfn.XLOOKUP(T198,Eigenschaften!$C$20:$C$27,Eigenschaften!$B$20:$B$27)</f>
        <v>Fingerfertigkeit</v>
      </c>
      <c r="O198" s="295">
        <f>_xlfn.XLOOKUP(N198,Eigenschaften!$B$20:$B$27,Eigenschaften!$H$20:$H$27,"NaN",1)</f>
        <v>10</v>
      </c>
      <c r="P198" s="295" t="str">
        <f>_xlfn.XLOOKUP(U198,Eigenschaften!$C$20:$C$27,Eigenschaften!$B$20:$B$27)</f>
        <v>Körperkraft</v>
      </c>
      <c r="Q198" s="295">
        <f>_xlfn.XLOOKUP(P198,Eigenschaften!$B$20:$B$27,Eigenschaften!$H$20:$H$27,"NaN",1)</f>
        <v>12</v>
      </c>
      <c r="R198" s="244"/>
      <c r="S198" s="244" t="str" cm="1">
        <f t="array" ref="S198:U198">_xlfn.TEXTSPLIT(F198,"/",,,,3)</f>
        <v>KL</v>
      </c>
      <c r="T198" s="244" t="str">
        <v>FF</v>
      </c>
      <c r="U198" s="244" t="str">
        <v>KK</v>
      </c>
      <c r="V198" s="244">
        <f t="shared" si="58"/>
        <v>0</v>
      </c>
      <c r="W198" s="244">
        <f t="shared" si="58"/>
        <v>0</v>
      </c>
      <c r="X198" s="244">
        <f t="shared" si="58"/>
        <v>0</v>
      </c>
      <c r="Y198" s="244">
        <f t="shared" si="58"/>
        <v>1</v>
      </c>
      <c r="Z198" s="244">
        <f t="shared" si="58"/>
        <v>0</v>
      </c>
      <c r="AA198" s="244">
        <f t="shared" si="58"/>
        <v>0</v>
      </c>
      <c r="AB198" s="244">
        <f t="shared" si="58"/>
        <v>0</v>
      </c>
      <c r="AC198" s="244">
        <f t="shared" si="58"/>
        <v>1</v>
      </c>
      <c r="AD198" s="244">
        <f t="shared" si="58"/>
        <v>0</v>
      </c>
      <c r="AE198" s="244">
        <f t="shared" si="58"/>
        <v>0</v>
      </c>
      <c r="AF198" s="244">
        <f t="shared" si="59"/>
        <v>0</v>
      </c>
      <c r="AG198" s="244">
        <f t="shared" si="59"/>
        <v>0</v>
      </c>
      <c r="AH198" s="244">
        <f t="shared" si="59"/>
        <v>0</v>
      </c>
      <c r="AI198" s="244">
        <f t="shared" si="59"/>
        <v>0</v>
      </c>
      <c r="AJ198" s="244">
        <f t="shared" si="59"/>
        <v>0</v>
      </c>
      <c r="AK198" s="244">
        <f t="shared" si="59"/>
        <v>0</v>
      </c>
      <c r="AL198" s="244">
        <f t="shared" si="59"/>
        <v>0</v>
      </c>
      <c r="AM198" s="244">
        <f t="shared" si="59"/>
        <v>0</v>
      </c>
      <c r="AN198" s="244">
        <f t="shared" si="59"/>
        <v>0</v>
      </c>
      <c r="AO198" s="244">
        <f t="shared" si="59"/>
        <v>0</v>
      </c>
      <c r="AP198" s="244">
        <f t="shared" si="60"/>
        <v>0</v>
      </c>
      <c r="AQ198" s="244">
        <f t="shared" si="60"/>
        <v>1</v>
      </c>
      <c r="AR198" s="244">
        <f t="shared" si="60"/>
        <v>0</v>
      </c>
      <c r="AS198" s="244">
        <f t="shared" si="60"/>
        <v>0</v>
      </c>
      <c r="AT198" s="244">
        <f t="shared" si="60"/>
        <v>0</v>
      </c>
      <c r="AU198" s="244">
        <f t="shared" si="60"/>
        <v>0</v>
      </c>
      <c r="AV198" s="244">
        <f t="shared" si="60"/>
        <v>0</v>
      </c>
      <c r="AW198" s="244"/>
      <c r="AX198" s="244"/>
      <c r="AY198" s="244"/>
      <c r="AZ198" s="244"/>
      <c r="BA198" s="244"/>
      <c r="BB198" s="244"/>
    </row>
    <row r="199" spans="1:54">
      <c r="A199" s="326" t="s">
        <v>1455</v>
      </c>
      <c r="B199" s="295" t="str">
        <f t="shared" si="47"/>
        <v>Mut: 13 | Charisma: 15 | Gewandheit: 14</v>
      </c>
      <c r="C199" s="308" t="b">
        <v>1</v>
      </c>
      <c r="D199" s="308" t="b">
        <v>0</v>
      </c>
      <c r="E199" s="308" t="b">
        <f t="shared" si="48"/>
        <v>1</v>
      </c>
      <c r="F199" s="324" t="s">
        <v>416</v>
      </c>
      <c r="G199" s="324" t="s">
        <v>113</v>
      </c>
      <c r="H199" s="324" t="s">
        <v>369</v>
      </c>
      <c r="I199" s="324" t="s">
        <v>1456</v>
      </c>
      <c r="J199" s="295">
        <f>_xlfn.XLOOKUP(G199,Rechner!$A$17:$A$25,Rechner!$B$17:$B$25)</f>
        <v>5</v>
      </c>
      <c r="K199" s="338" t="str">
        <f>_xlfn.XLOOKUP(J199-SUMIF($V$31:$AV$31,TRUE,V199:AV199)-IF(D199=TRUE,1,0),Rechner!$B$17:$B$25,Rechner!$A$17:$A$25,"A+")</f>
        <v>D</v>
      </c>
      <c r="L199" s="295" t="str">
        <f>_xlfn.XLOOKUP(S199,Eigenschaften!$C$20:$C$27,Eigenschaften!$B$20:$B$27)</f>
        <v>Mut</v>
      </c>
      <c r="M199" s="295">
        <f>_xlfn.XLOOKUP(L199,Eigenschaften!$B$20:$B$27,Eigenschaften!$H$20:$H$27,"NaN",1)</f>
        <v>13</v>
      </c>
      <c r="N199" s="295" t="str">
        <f>_xlfn.XLOOKUP(T199,Eigenschaften!$C$20:$C$27,Eigenschaften!$B$20:$B$27)</f>
        <v>Charisma</v>
      </c>
      <c r="O199" s="295">
        <f>_xlfn.XLOOKUP(N199,Eigenschaften!$B$20:$B$27,Eigenschaften!$H$20:$H$27,"NaN",1)</f>
        <v>15</v>
      </c>
      <c r="P199" s="295" t="str">
        <f>_xlfn.XLOOKUP(U199,Eigenschaften!$C$20:$C$27,Eigenschaften!$B$20:$B$27)</f>
        <v>Gewandheit</v>
      </c>
      <c r="Q199" s="295">
        <f>_xlfn.XLOOKUP(P199,Eigenschaften!$B$20:$B$27,Eigenschaften!$H$20:$H$27,"NaN",1)</f>
        <v>14</v>
      </c>
      <c r="R199" s="244"/>
      <c r="S199" s="244" t="str" cm="1">
        <f t="array" ref="S199:U199">_xlfn.TEXTSPLIT(F199,"/",,,,3)</f>
        <v>MU</v>
      </c>
      <c r="T199" s="244" t="str">
        <v>CH</v>
      </c>
      <c r="U199" s="244" t="str">
        <v>GE</v>
      </c>
      <c r="V199" s="345">
        <f t="shared" si="58"/>
        <v>0</v>
      </c>
      <c r="W199" s="345">
        <f t="shared" si="58"/>
        <v>0</v>
      </c>
      <c r="X199" s="345">
        <f t="shared" si="58"/>
        <v>0</v>
      </c>
      <c r="Y199" s="345">
        <f t="shared" si="58"/>
        <v>0</v>
      </c>
      <c r="Z199" s="345">
        <f t="shared" si="58"/>
        <v>0</v>
      </c>
      <c r="AA199" s="345">
        <f t="shared" si="58"/>
        <v>0</v>
      </c>
      <c r="AB199" s="345">
        <f t="shared" si="58"/>
        <v>0</v>
      </c>
      <c r="AC199" s="345">
        <f t="shared" si="58"/>
        <v>0</v>
      </c>
      <c r="AD199" s="345">
        <f t="shared" si="58"/>
        <v>0</v>
      </c>
      <c r="AE199" s="345">
        <f t="shared" si="58"/>
        <v>0</v>
      </c>
      <c r="AF199" s="345">
        <f t="shared" si="59"/>
        <v>0</v>
      </c>
      <c r="AG199" s="345">
        <f t="shared" si="59"/>
        <v>1</v>
      </c>
      <c r="AH199" s="345">
        <f t="shared" si="59"/>
        <v>0</v>
      </c>
      <c r="AI199" s="345">
        <f t="shared" si="59"/>
        <v>0</v>
      </c>
      <c r="AJ199" s="345">
        <f t="shared" si="59"/>
        <v>0</v>
      </c>
      <c r="AK199" s="345">
        <f t="shared" si="59"/>
        <v>0</v>
      </c>
      <c r="AL199" s="345">
        <f t="shared" si="59"/>
        <v>0</v>
      </c>
      <c r="AM199" s="345">
        <f t="shared" si="59"/>
        <v>0</v>
      </c>
      <c r="AN199" s="345">
        <f t="shared" si="59"/>
        <v>0</v>
      </c>
      <c r="AO199" s="345">
        <f t="shared" si="59"/>
        <v>0</v>
      </c>
      <c r="AP199" s="345">
        <f t="shared" si="60"/>
        <v>0</v>
      </c>
      <c r="AQ199" s="345">
        <f t="shared" si="60"/>
        <v>0</v>
      </c>
      <c r="AR199" s="345">
        <f t="shared" si="60"/>
        <v>0</v>
      </c>
      <c r="AS199" s="345">
        <f t="shared" si="60"/>
        <v>0</v>
      </c>
      <c r="AT199" s="345">
        <f t="shared" si="60"/>
        <v>0</v>
      </c>
      <c r="AU199" s="345">
        <f t="shared" si="60"/>
        <v>0</v>
      </c>
      <c r="AV199" s="345">
        <f t="shared" si="60"/>
        <v>0</v>
      </c>
      <c r="AW199" s="244">
        <v>5</v>
      </c>
      <c r="AX199" s="244" t="s">
        <v>1615</v>
      </c>
      <c r="AY199" s="244" t="s">
        <v>1665</v>
      </c>
      <c r="AZ199" s="244" t="s">
        <v>278</v>
      </c>
      <c r="BA199" s="244" t="s">
        <v>1641</v>
      </c>
      <c r="BB199" s="244"/>
    </row>
    <row r="200" spans="1:54" hidden="1">
      <c r="A200" s="331" t="s">
        <v>830</v>
      </c>
      <c r="B200" s="295" t="str">
        <f t="shared" si="47"/>
        <v>Intuition: 15 | Gewandheit: 14 | Konstitution: 12</v>
      </c>
      <c r="C200" s="308" t="b">
        <v>0</v>
      </c>
      <c r="D200" s="308" t="b">
        <v>0</v>
      </c>
      <c r="E200" s="308" t="b">
        <f t="shared" si="48"/>
        <v>1</v>
      </c>
      <c r="F200" t="s">
        <v>281</v>
      </c>
      <c r="G200" t="s">
        <v>128</v>
      </c>
      <c r="H200" t="s">
        <v>235</v>
      </c>
      <c r="I200" t="s">
        <v>831</v>
      </c>
      <c r="J200" s="295">
        <f>_xlfn.XLOOKUP(G200,Rechner!$A$17:$A$25,Rechner!$B$17:$B$25)</f>
        <v>2</v>
      </c>
      <c r="K200" s="295" t="str">
        <f>_xlfn.XLOOKUP(J200-SUMIF($V$31:$AV$31,TRUE,V200:AV200)-IF(D200=TRUE,1,0),Rechner!$B$17:$B$25,Rechner!$A$17:$A$25,"A+")</f>
        <v>A*</v>
      </c>
      <c r="L200" s="295" t="str">
        <f>_xlfn.XLOOKUP(S200,Eigenschaften!$C$20:$C$27,Eigenschaften!$B$20:$B$27)</f>
        <v>Intuition</v>
      </c>
      <c r="M200" s="295">
        <f>_xlfn.XLOOKUP(L200,Eigenschaften!$B$20:$B$27,Eigenschaften!$H$20:$H$27,"NaN",1)</f>
        <v>15</v>
      </c>
      <c r="N200" s="295" t="str">
        <f>_xlfn.XLOOKUP(T200,Eigenschaften!$C$20:$C$27,Eigenschaften!$B$20:$B$27)</f>
        <v>Gewandheit</v>
      </c>
      <c r="O200" s="295">
        <f>_xlfn.XLOOKUP(N200,Eigenschaften!$B$20:$B$27,Eigenschaften!$H$20:$H$27,"NaN",1)</f>
        <v>14</v>
      </c>
      <c r="P200" s="295" t="str">
        <f>_xlfn.XLOOKUP(U200,Eigenschaften!$C$20:$C$27,Eigenschaften!$B$20:$B$27)</f>
        <v>Konstitution</v>
      </c>
      <c r="Q200" s="295">
        <f>_xlfn.XLOOKUP(P200,Eigenschaften!$B$20:$B$27,Eigenschaften!$H$20:$H$27,"NaN",1)</f>
        <v>12</v>
      </c>
      <c r="R200" s="244"/>
      <c r="S200" s="244" t="str" cm="1">
        <f t="array" ref="S200:U200">_xlfn.TEXTSPLIT(F200,"/",,,,3)</f>
        <v>IN</v>
      </c>
      <c r="T200" s="244" t="str">
        <v>GE</v>
      </c>
      <c r="U200" s="244" t="str">
        <v>KO</v>
      </c>
      <c r="V200" s="298">
        <f t="shared" si="58"/>
        <v>0</v>
      </c>
      <c r="W200" s="298">
        <f t="shared" si="58"/>
        <v>0</v>
      </c>
      <c r="X200" s="298">
        <f t="shared" si="58"/>
        <v>1</v>
      </c>
      <c r="Y200" s="298">
        <f t="shared" si="58"/>
        <v>0</v>
      </c>
      <c r="Z200" s="298">
        <f t="shared" si="58"/>
        <v>0</v>
      </c>
      <c r="AA200" s="298">
        <f t="shared" si="58"/>
        <v>0</v>
      </c>
      <c r="AB200" s="298">
        <f t="shared" si="58"/>
        <v>0</v>
      </c>
      <c r="AC200" s="298">
        <f t="shared" si="58"/>
        <v>0</v>
      </c>
      <c r="AD200" s="298">
        <f t="shared" si="58"/>
        <v>0</v>
      </c>
      <c r="AE200" s="298">
        <f t="shared" si="58"/>
        <v>0</v>
      </c>
      <c r="AF200" s="298">
        <f t="shared" si="59"/>
        <v>0</v>
      </c>
      <c r="AG200" s="298">
        <f t="shared" si="59"/>
        <v>0</v>
      </c>
      <c r="AH200" s="298">
        <f t="shared" si="59"/>
        <v>0</v>
      </c>
      <c r="AI200" s="298">
        <f t="shared" si="59"/>
        <v>0</v>
      </c>
      <c r="AJ200" s="298">
        <f t="shared" si="59"/>
        <v>0</v>
      </c>
      <c r="AK200" s="298">
        <f t="shared" si="59"/>
        <v>0</v>
      </c>
      <c r="AL200" s="298">
        <f t="shared" si="59"/>
        <v>0</v>
      </c>
      <c r="AM200" s="298">
        <f t="shared" si="59"/>
        <v>0</v>
      </c>
      <c r="AN200" s="298">
        <f t="shared" si="59"/>
        <v>0</v>
      </c>
      <c r="AO200" s="298">
        <f t="shared" si="59"/>
        <v>0</v>
      </c>
      <c r="AP200" s="298">
        <f t="shared" si="60"/>
        <v>0</v>
      </c>
      <c r="AQ200" s="298">
        <f t="shared" si="60"/>
        <v>0</v>
      </c>
      <c r="AR200" s="298">
        <f t="shared" si="60"/>
        <v>0</v>
      </c>
      <c r="AS200" s="298">
        <f t="shared" si="60"/>
        <v>0</v>
      </c>
      <c r="AT200" s="298">
        <f t="shared" si="60"/>
        <v>0</v>
      </c>
      <c r="AU200" s="298">
        <f t="shared" si="60"/>
        <v>0</v>
      </c>
      <c r="AV200" s="298">
        <f t="shared" si="60"/>
        <v>0</v>
      </c>
      <c r="AW200" s="244"/>
      <c r="AX200" s="244"/>
      <c r="AY200" s="244"/>
      <c r="AZ200" s="244"/>
      <c r="BA200" s="244"/>
      <c r="BB200" s="244"/>
    </row>
    <row r="201" spans="1:54" hidden="1">
      <c r="A201" s="331" t="s">
        <v>832</v>
      </c>
      <c r="B201" s="295" t="str">
        <f t="shared" si="47"/>
        <v>Intuition: 15 | Intuition: 15 | Fingerfertigkeit: 10</v>
      </c>
      <c r="C201" s="308" t="b">
        <v>0</v>
      </c>
      <c r="D201" s="308" t="b">
        <v>0</v>
      </c>
      <c r="E201" s="308" t="b">
        <f t="shared" si="48"/>
        <v>0</v>
      </c>
      <c r="F201" t="s">
        <v>707</v>
      </c>
      <c r="G201" t="s">
        <v>110</v>
      </c>
      <c r="H201" t="s">
        <v>368</v>
      </c>
      <c r="I201" t="s">
        <v>565</v>
      </c>
      <c r="J201" s="295">
        <f>_xlfn.XLOOKUP(G201,Rechner!$A$17:$A$25,Rechner!$B$17:$B$25)</f>
        <v>4</v>
      </c>
      <c r="K201" s="295" t="str">
        <f>_xlfn.XLOOKUP(J201-SUMIF($V$31:$AV$31,TRUE,V201:AV201)-IF(D201=TRUE,1,0),Rechner!$B$17:$B$25,Rechner!$A$17:$A$25,"A+")</f>
        <v>B</v>
      </c>
      <c r="L201" s="295" t="str">
        <f>_xlfn.XLOOKUP(S201,Eigenschaften!$C$20:$C$27,Eigenschaften!$B$20:$B$27)</f>
        <v>Intuition</v>
      </c>
      <c r="M201" s="295">
        <f>_xlfn.XLOOKUP(L201,Eigenschaften!$B$20:$B$27,Eigenschaften!$H$20:$H$27,"NaN",1)</f>
        <v>15</v>
      </c>
      <c r="N201" s="295" t="str">
        <f>_xlfn.XLOOKUP(T201,Eigenschaften!$C$20:$C$27,Eigenschaften!$B$20:$B$27)</f>
        <v>Intuition</v>
      </c>
      <c r="O201" s="295">
        <f>_xlfn.XLOOKUP(N201,Eigenschaften!$B$20:$B$27,Eigenschaften!$H$20:$H$27,"NaN",1)</f>
        <v>15</v>
      </c>
      <c r="P201" s="295" t="str">
        <f>_xlfn.XLOOKUP(U201,Eigenschaften!$C$20:$C$27,Eigenschaften!$B$20:$B$27)</f>
        <v>Fingerfertigkeit</v>
      </c>
      <c r="Q201" s="295">
        <f>_xlfn.XLOOKUP(P201,Eigenschaften!$B$20:$B$27,Eigenschaften!$H$20:$H$27,"NaN",1)</f>
        <v>10</v>
      </c>
      <c r="R201" s="244"/>
      <c r="S201" s="244" t="str" cm="1">
        <f t="array" ref="S201:U201">_xlfn.TEXTSPLIT(F201,"/",,,,3)</f>
        <v>IN</v>
      </c>
      <c r="T201" s="244" t="str">
        <v>IN</v>
      </c>
      <c r="U201" s="244" t="str">
        <v>FF</v>
      </c>
      <c r="V201" s="298">
        <f t="shared" si="58"/>
        <v>0</v>
      </c>
      <c r="W201" s="298">
        <f t="shared" si="58"/>
        <v>0</v>
      </c>
      <c r="X201" s="298">
        <f t="shared" si="58"/>
        <v>0</v>
      </c>
      <c r="Y201" s="298">
        <f t="shared" si="58"/>
        <v>0</v>
      </c>
      <c r="Z201" s="298">
        <f t="shared" si="58"/>
        <v>0</v>
      </c>
      <c r="AA201" s="298">
        <f t="shared" si="58"/>
        <v>0</v>
      </c>
      <c r="AB201" s="298">
        <f t="shared" si="58"/>
        <v>0</v>
      </c>
      <c r="AC201" s="298">
        <f t="shared" si="58"/>
        <v>0</v>
      </c>
      <c r="AD201" s="298">
        <f t="shared" si="58"/>
        <v>0</v>
      </c>
      <c r="AE201" s="298">
        <f t="shared" si="58"/>
        <v>0</v>
      </c>
      <c r="AF201" s="298">
        <f t="shared" si="59"/>
        <v>1</v>
      </c>
      <c r="AG201" s="298">
        <f t="shared" si="59"/>
        <v>0</v>
      </c>
      <c r="AH201" s="298">
        <f t="shared" si="59"/>
        <v>0</v>
      </c>
      <c r="AI201" s="298">
        <f t="shared" si="59"/>
        <v>0</v>
      </c>
      <c r="AJ201" s="298">
        <f t="shared" si="59"/>
        <v>0</v>
      </c>
      <c r="AK201" s="298">
        <f t="shared" si="59"/>
        <v>0</v>
      </c>
      <c r="AL201" s="298">
        <f t="shared" si="59"/>
        <v>0</v>
      </c>
      <c r="AM201" s="298">
        <f t="shared" si="59"/>
        <v>0</v>
      </c>
      <c r="AN201" s="298">
        <f t="shared" si="59"/>
        <v>0</v>
      </c>
      <c r="AO201" s="298">
        <f t="shared" si="59"/>
        <v>0</v>
      </c>
      <c r="AP201" s="298">
        <f t="shared" si="60"/>
        <v>0</v>
      </c>
      <c r="AQ201" s="298">
        <f t="shared" si="60"/>
        <v>0</v>
      </c>
      <c r="AR201" s="298">
        <f t="shared" si="60"/>
        <v>0</v>
      </c>
      <c r="AS201" s="298">
        <f t="shared" si="60"/>
        <v>0</v>
      </c>
      <c r="AT201" s="298">
        <f t="shared" si="60"/>
        <v>0</v>
      </c>
      <c r="AU201" s="298">
        <f t="shared" si="60"/>
        <v>0</v>
      </c>
      <c r="AV201" s="298">
        <f t="shared" si="60"/>
        <v>0</v>
      </c>
      <c r="AW201" s="244"/>
      <c r="AX201" s="244"/>
      <c r="AY201" s="244"/>
      <c r="AZ201" s="244"/>
      <c r="BA201" s="244"/>
      <c r="BB201" s="244"/>
    </row>
    <row r="202" spans="1:54" hidden="1">
      <c r="A202" s="331" t="s">
        <v>833</v>
      </c>
      <c r="B202" s="295" t="str">
        <f t="shared" si="47"/>
        <v>Klugheit: 12 | Intuition: 15 | Fingerfertigkeit: 10</v>
      </c>
      <c r="C202" s="308" t="b">
        <v>0</v>
      </c>
      <c r="D202" s="308" t="b">
        <v>0</v>
      </c>
      <c r="E202" s="308" t="b">
        <f t="shared" si="48"/>
        <v>0</v>
      </c>
      <c r="F202" t="s">
        <v>277</v>
      </c>
      <c r="G202" t="s">
        <v>113</v>
      </c>
      <c r="H202" t="s">
        <v>834</v>
      </c>
      <c r="I202" t="s">
        <v>776</v>
      </c>
      <c r="J202" s="295">
        <f>_xlfn.XLOOKUP(G202,Rechner!$A$17:$A$25,Rechner!$B$17:$B$25)</f>
        <v>5</v>
      </c>
      <c r="K202" s="295" t="str">
        <f>_xlfn.XLOOKUP(J202-SUMIF($V$31:$AV$31,TRUE,V202:AV202)-IF(D202=TRUE,1,0),Rechner!$B$17:$B$25,Rechner!$A$17:$A$25,"A+")</f>
        <v>D</v>
      </c>
      <c r="L202" s="295" t="str">
        <f>_xlfn.XLOOKUP(S202,Eigenschaften!$C$20:$C$27,Eigenschaften!$B$20:$B$27)</f>
        <v>Klugheit</v>
      </c>
      <c r="M202" s="295">
        <f>_xlfn.XLOOKUP(L202,Eigenschaften!$B$20:$B$27,Eigenschaften!$H$20:$H$27,"NaN",1)</f>
        <v>12</v>
      </c>
      <c r="N202" s="295" t="str">
        <f>_xlfn.XLOOKUP(T202,Eigenschaften!$C$20:$C$27,Eigenschaften!$B$20:$B$27)</f>
        <v>Intuition</v>
      </c>
      <c r="O202" s="295">
        <f>_xlfn.XLOOKUP(N202,Eigenschaften!$B$20:$B$27,Eigenschaften!$H$20:$H$27,"NaN",1)</f>
        <v>15</v>
      </c>
      <c r="P202" s="295" t="str">
        <f>_xlfn.XLOOKUP(U202,Eigenschaften!$C$20:$C$27,Eigenschaften!$B$20:$B$27)</f>
        <v>Fingerfertigkeit</v>
      </c>
      <c r="Q202" s="295">
        <f>_xlfn.XLOOKUP(P202,Eigenschaften!$B$20:$B$27,Eigenschaften!$H$20:$H$27,"NaN",1)</f>
        <v>10</v>
      </c>
      <c r="R202" s="244"/>
      <c r="S202" s="244" t="str" cm="1">
        <f t="array" ref="S202:U202">_xlfn.TEXTSPLIT(F202,"/",,,,3)</f>
        <v>KL</v>
      </c>
      <c r="T202" s="244" t="str">
        <v>IN</v>
      </c>
      <c r="U202" s="244" t="str">
        <v>FF</v>
      </c>
      <c r="V202" s="298">
        <f t="shared" si="58"/>
        <v>0</v>
      </c>
      <c r="W202" s="298">
        <f t="shared" si="58"/>
        <v>0</v>
      </c>
      <c r="X202" s="298">
        <f t="shared" si="58"/>
        <v>0</v>
      </c>
      <c r="Y202" s="298">
        <f t="shared" si="58"/>
        <v>0</v>
      </c>
      <c r="Z202" s="298">
        <f t="shared" si="58"/>
        <v>0</v>
      </c>
      <c r="AA202" s="298">
        <f t="shared" si="58"/>
        <v>0</v>
      </c>
      <c r="AB202" s="298">
        <f t="shared" si="58"/>
        <v>0</v>
      </c>
      <c r="AC202" s="298">
        <f t="shared" si="58"/>
        <v>0</v>
      </c>
      <c r="AD202" s="298">
        <f t="shared" si="58"/>
        <v>0</v>
      </c>
      <c r="AE202" s="298">
        <f t="shared" si="58"/>
        <v>0</v>
      </c>
      <c r="AF202" s="298">
        <f t="shared" si="59"/>
        <v>0</v>
      </c>
      <c r="AG202" s="298">
        <f t="shared" si="59"/>
        <v>0</v>
      </c>
      <c r="AH202" s="298">
        <f t="shared" si="59"/>
        <v>0</v>
      </c>
      <c r="AI202" s="298">
        <f t="shared" si="59"/>
        <v>0</v>
      </c>
      <c r="AJ202" s="298">
        <f t="shared" si="59"/>
        <v>0</v>
      </c>
      <c r="AK202" s="298">
        <f t="shared" si="59"/>
        <v>0</v>
      </c>
      <c r="AL202" s="298">
        <f t="shared" si="59"/>
        <v>0</v>
      </c>
      <c r="AM202" s="298">
        <f t="shared" si="59"/>
        <v>0</v>
      </c>
      <c r="AN202" s="298">
        <f t="shared" si="59"/>
        <v>0</v>
      </c>
      <c r="AO202" s="298">
        <f t="shared" si="59"/>
        <v>0</v>
      </c>
      <c r="AP202" s="298">
        <f t="shared" si="60"/>
        <v>0</v>
      </c>
      <c r="AQ202" s="298">
        <f t="shared" si="60"/>
        <v>1</v>
      </c>
      <c r="AR202" s="298">
        <f t="shared" si="60"/>
        <v>0</v>
      </c>
      <c r="AS202" s="298">
        <f t="shared" si="60"/>
        <v>1</v>
      </c>
      <c r="AT202" s="298">
        <f t="shared" si="60"/>
        <v>0</v>
      </c>
      <c r="AU202" s="298">
        <f t="shared" si="60"/>
        <v>0</v>
      </c>
      <c r="AV202" s="298">
        <f t="shared" si="60"/>
        <v>0</v>
      </c>
      <c r="AW202" s="244"/>
      <c r="AX202" s="244"/>
      <c r="AY202" s="244"/>
      <c r="AZ202" s="244"/>
      <c r="BA202" s="244"/>
      <c r="BB202" s="244"/>
    </row>
    <row r="203" spans="1:54" hidden="1">
      <c r="A203" s="331" t="s">
        <v>835</v>
      </c>
      <c r="B203" s="295" t="str">
        <f t="shared" si="47"/>
        <v>Mut: 13 | Intuition: 15 | Konstitution: 12</v>
      </c>
      <c r="C203" s="308" t="b">
        <v>0</v>
      </c>
      <c r="D203" s="308" t="b">
        <v>0</v>
      </c>
      <c r="E203" s="308" t="b">
        <f t="shared" si="48"/>
        <v>0</v>
      </c>
      <c r="F203" t="s">
        <v>310</v>
      </c>
      <c r="G203" t="s">
        <v>113</v>
      </c>
      <c r="H203" t="s">
        <v>836</v>
      </c>
      <c r="I203" t="s">
        <v>418</v>
      </c>
      <c r="J203" s="295">
        <f>_xlfn.XLOOKUP(G203,Rechner!$A$17:$A$25,Rechner!$B$17:$B$25)</f>
        <v>5</v>
      </c>
      <c r="K203" s="295" t="str">
        <f>_xlfn.XLOOKUP(J203-SUMIF($V$31:$AV$31,TRUE,V203:AV203)-IF(D203=TRUE,1,0),Rechner!$B$17:$B$25,Rechner!$A$17:$A$25,"A+")</f>
        <v>D</v>
      </c>
      <c r="L203" s="295" t="str">
        <f>_xlfn.XLOOKUP(S203,Eigenschaften!$C$20:$C$27,Eigenschaften!$B$20:$B$27)</f>
        <v>Mut</v>
      </c>
      <c r="M203" s="295">
        <f>_xlfn.XLOOKUP(L203,Eigenschaften!$B$20:$B$27,Eigenschaften!$H$20:$H$27,"NaN",1)</f>
        <v>13</v>
      </c>
      <c r="N203" s="295" t="str">
        <f>_xlfn.XLOOKUP(T203,Eigenschaften!$C$20:$C$27,Eigenschaften!$B$20:$B$27)</f>
        <v>Intuition</v>
      </c>
      <c r="O203" s="295">
        <f>_xlfn.XLOOKUP(N203,Eigenschaften!$B$20:$B$27,Eigenschaften!$H$20:$H$27,"NaN",1)</f>
        <v>15</v>
      </c>
      <c r="P203" s="295" t="str">
        <f>_xlfn.XLOOKUP(U203,Eigenschaften!$C$20:$C$27,Eigenschaften!$B$20:$B$27)</f>
        <v>Konstitution</v>
      </c>
      <c r="Q203" s="295">
        <f>_xlfn.XLOOKUP(P203,Eigenschaften!$B$20:$B$27,Eigenschaften!$H$20:$H$27,"NaN",1)</f>
        <v>12</v>
      </c>
      <c r="R203" s="244"/>
      <c r="S203" s="244" t="str" cm="1">
        <f t="array" ref="S203:U203">_xlfn.TEXTSPLIT(F203,"/",,,,3)</f>
        <v>MU</v>
      </c>
      <c r="T203" s="244" t="str">
        <v>IN</v>
      </c>
      <c r="U203" s="244" t="str">
        <v>KO</v>
      </c>
      <c r="V203" s="298">
        <f t="shared" si="58"/>
        <v>0</v>
      </c>
      <c r="W203" s="298">
        <f t="shared" si="58"/>
        <v>0</v>
      </c>
      <c r="X203" s="298">
        <f t="shared" si="58"/>
        <v>0</v>
      </c>
      <c r="Y203" s="298">
        <f t="shared" si="58"/>
        <v>1</v>
      </c>
      <c r="Z203" s="298">
        <f t="shared" si="58"/>
        <v>0</v>
      </c>
      <c r="AA203" s="298">
        <f t="shared" si="58"/>
        <v>0</v>
      </c>
      <c r="AB203" s="298">
        <f t="shared" si="58"/>
        <v>0</v>
      </c>
      <c r="AC203" s="298">
        <f t="shared" si="58"/>
        <v>0</v>
      </c>
      <c r="AD203" s="298">
        <f t="shared" si="58"/>
        <v>1</v>
      </c>
      <c r="AE203" s="298">
        <f t="shared" si="58"/>
        <v>1</v>
      </c>
      <c r="AF203" s="298">
        <f t="shared" si="59"/>
        <v>0</v>
      </c>
      <c r="AG203" s="298">
        <f t="shared" si="59"/>
        <v>1</v>
      </c>
      <c r="AH203" s="298">
        <f t="shared" si="59"/>
        <v>0</v>
      </c>
      <c r="AI203" s="298">
        <f t="shared" si="59"/>
        <v>0</v>
      </c>
      <c r="AJ203" s="298">
        <f t="shared" si="59"/>
        <v>0</v>
      </c>
      <c r="AK203" s="298">
        <f t="shared" si="59"/>
        <v>0</v>
      </c>
      <c r="AL203" s="298">
        <f t="shared" si="59"/>
        <v>0</v>
      </c>
      <c r="AM203" s="298">
        <f t="shared" si="59"/>
        <v>0</v>
      </c>
      <c r="AN203" s="298">
        <f t="shared" si="59"/>
        <v>0</v>
      </c>
      <c r="AO203" s="298">
        <f t="shared" si="59"/>
        <v>0</v>
      </c>
      <c r="AP203" s="298">
        <f t="shared" si="60"/>
        <v>0</v>
      </c>
      <c r="AQ203" s="298">
        <f t="shared" si="60"/>
        <v>0</v>
      </c>
      <c r="AR203" s="298">
        <f t="shared" si="60"/>
        <v>0</v>
      </c>
      <c r="AS203" s="298">
        <f t="shared" si="60"/>
        <v>0</v>
      </c>
      <c r="AT203" s="298">
        <f t="shared" si="60"/>
        <v>0</v>
      </c>
      <c r="AU203" s="298">
        <f t="shared" si="60"/>
        <v>0</v>
      </c>
      <c r="AV203" s="298">
        <f t="shared" si="60"/>
        <v>0</v>
      </c>
      <c r="AW203" s="244"/>
      <c r="AX203" s="244"/>
      <c r="AY203" s="244"/>
      <c r="AZ203" s="244"/>
      <c r="BA203" s="244"/>
      <c r="BB203" s="244"/>
    </row>
    <row r="204" spans="1:54" hidden="1">
      <c r="A204" s="331" t="s">
        <v>837</v>
      </c>
      <c r="B204" s="295" t="str">
        <f t="shared" si="47"/>
        <v>Klugheit: 12 | Fingerfertigkeit: 10 | Konstitution: 12</v>
      </c>
      <c r="C204" s="308" t="b">
        <v>0</v>
      </c>
      <c r="D204" s="308" t="b">
        <v>0</v>
      </c>
      <c r="E204" s="308" t="b">
        <f t="shared" si="48"/>
        <v>1</v>
      </c>
      <c r="F204" t="s">
        <v>295</v>
      </c>
      <c r="G204" t="s">
        <v>110</v>
      </c>
      <c r="H204" t="s">
        <v>619</v>
      </c>
      <c r="I204" t="s">
        <v>838</v>
      </c>
      <c r="J204" s="295">
        <f>_xlfn.XLOOKUP(G204,Rechner!$A$17:$A$25,Rechner!$B$17:$B$25)</f>
        <v>4</v>
      </c>
      <c r="K204" s="295" t="str">
        <f>_xlfn.XLOOKUP(J204-SUMIF($V$31:$AV$31,TRUE,V204:AV204)-IF(D204=TRUE,1,0),Rechner!$B$17:$B$25,Rechner!$A$17:$A$25,"A+")</f>
        <v>C</v>
      </c>
      <c r="L204" s="295" t="str">
        <f>_xlfn.XLOOKUP(S204,Eigenschaften!$C$20:$C$27,Eigenschaften!$B$20:$B$27)</f>
        <v>Klugheit</v>
      </c>
      <c r="M204" s="295">
        <f>_xlfn.XLOOKUP(L204,Eigenschaften!$B$20:$B$27,Eigenschaften!$H$20:$H$27,"NaN",1)</f>
        <v>12</v>
      </c>
      <c r="N204" s="295" t="str">
        <f>_xlfn.XLOOKUP(T204,Eigenschaften!$C$20:$C$27,Eigenschaften!$B$20:$B$27)</f>
        <v>Fingerfertigkeit</v>
      </c>
      <c r="O204" s="295">
        <f>_xlfn.XLOOKUP(N204,Eigenschaften!$B$20:$B$27,Eigenschaften!$H$20:$H$27,"NaN",1)</f>
        <v>10</v>
      </c>
      <c r="P204" s="295" t="str">
        <f>_xlfn.XLOOKUP(U204,Eigenschaften!$C$20:$C$27,Eigenschaften!$B$20:$B$27)</f>
        <v>Konstitution</v>
      </c>
      <c r="Q204" s="295">
        <f>_xlfn.XLOOKUP(P204,Eigenschaften!$B$20:$B$27,Eigenschaften!$H$20:$H$27,"NaN",1)</f>
        <v>12</v>
      </c>
      <c r="R204" s="244"/>
      <c r="S204" s="244" t="str" cm="1">
        <f t="array" ref="S204:U204">_xlfn.TEXTSPLIT(F204,"/",,,,3)</f>
        <v>KL</v>
      </c>
      <c r="T204" s="244" t="str">
        <v>FF</v>
      </c>
      <c r="U204" s="244" t="str">
        <v>KO</v>
      </c>
      <c r="V204" s="298">
        <f t="shared" si="58"/>
        <v>0</v>
      </c>
      <c r="W204" s="298">
        <f t="shared" si="58"/>
        <v>0</v>
      </c>
      <c r="X204" s="298">
        <f t="shared" si="58"/>
        <v>0</v>
      </c>
      <c r="Y204" s="298">
        <f t="shared" si="58"/>
        <v>1</v>
      </c>
      <c r="Z204" s="298">
        <f t="shared" si="58"/>
        <v>0</v>
      </c>
      <c r="AA204" s="298">
        <f t="shared" si="58"/>
        <v>0</v>
      </c>
      <c r="AB204" s="298">
        <f t="shared" si="58"/>
        <v>0</v>
      </c>
      <c r="AC204" s="298">
        <f t="shared" si="58"/>
        <v>0</v>
      </c>
      <c r="AD204" s="298">
        <f t="shared" si="58"/>
        <v>1</v>
      </c>
      <c r="AE204" s="298">
        <f t="shared" si="58"/>
        <v>1</v>
      </c>
      <c r="AF204" s="298">
        <f t="shared" si="59"/>
        <v>0</v>
      </c>
      <c r="AG204" s="298">
        <f t="shared" si="59"/>
        <v>0</v>
      </c>
      <c r="AH204" s="298">
        <f t="shared" si="59"/>
        <v>0</v>
      </c>
      <c r="AI204" s="298">
        <f t="shared" si="59"/>
        <v>0</v>
      </c>
      <c r="AJ204" s="298">
        <f t="shared" si="59"/>
        <v>0</v>
      </c>
      <c r="AK204" s="298">
        <f t="shared" si="59"/>
        <v>0</v>
      </c>
      <c r="AL204" s="298">
        <f t="shared" si="59"/>
        <v>0</v>
      </c>
      <c r="AM204" s="298">
        <f t="shared" si="59"/>
        <v>0</v>
      </c>
      <c r="AN204" s="298">
        <f t="shared" si="59"/>
        <v>0</v>
      </c>
      <c r="AO204" s="298">
        <f t="shared" si="59"/>
        <v>0</v>
      </c>
      <c r="AP204" s="298">
        <f t="shared" si="60"/>
        <v>0</v>
      </c>
      <c r="AQ204" s="298">
        <f t="shared" si="60"/>
        <v>0</v>
      </c>
      <c r="AR204" s="298">
        <f t="shared" si="60"/>
        <v>0</v>
      </c>
      <c r="AS204" s="298">
        <f t="shared" si="60"/>
        <v>0</v>
      </c>
      <c r="AT204" s="298">
        <f t="shared" si="60"/>
        <v>0</v>
      </c>
      <c r="AU204" s="298">
        <f t="shared" si="60"/>
        <v>1</v>
      </c>
      <c r="AV204" s="298">
        <f t="shared" si="60"/>
        <v>0</v>
      </c>
      <c r="AW204" s="244"/>
      <c r="AX204" s="244"/>
      <c r="AY204" s="244"/>
      <c r="AZ204" s="244"/>
      <c r="BA204" s="244"/>
      <c r="BB204" s="244"/>
    </row>
    <row r="205" spans="1:54" hidden="1">
      <c r="A205" s="331" t="s">
        <v>839</v>
      </c>
      <c r="B205" s="295" t="str">
        <f t="shared" si="47"/>
        <v>Mut: 13 | Klugheit: 12 | Charisma: 15</v>
      </c>
      <c r="C205" s="308" t="b">
        <v>0</v>
      </c>
      <c r="D205" s="308" t="b">
        <v>0</v>
      </c>
      <c r="E205" s="308" t="b">
        <f t="shared" si="48"/>
        <v>1</v>
      </c>
      <c r="F205" t="s">
        <v>567</v>
      </c>
      <c r="G205" t="s">
        <v>429</v>
      </c>
      <c r="H205" t="s">
        <v>622</v>
      </c>
      <c r="I205" t="s">
        <v>840</v>
      </c>
      <c r="J205" s="295">
        <f>_xlfn.XLOOKUP(G205,Rechner!$A$17:$A$25,Rechner!$B$17:$B$25)</f>
        <v>6</v>
      </c>
      <c r="K205" s="295" t="str">
        <f>_xlfn.XLOOKUP(J205-SUMIF($V$31:$AV$31,TRUE,V205:AV205)-IF(D205=TRUE,1,0),Rechner!$B$17:$B$25,Rechner!$A$17:$A$25,"A+")</f>
        <v>E</v>
      </c>
      <c r="L205" s="295" t="str">
        <f>_xlfn.XLOOKUP(S205,Eigenschaften!$C$20:$C$27,Eigenschaften!$B$20:$B$27)</f>
        <v>Mut</v>
      </c>
      <c r="M205" s="295">
        <f>_xlfn.XLOOKUP(L205,Eigenschaften!$B$20:$B$27,Eigenschaften!$H$20:$H$27,"NaN",1)</f>
        <v>13</v>
      </c>
      <c r="N205" s="295" t="str">
        <f>_xlfn.XLOOKUP(T205,Eigenschaften!$C$20:$C$27,Eigenschaften!$B$20:$B$27)</f>
        <v>Klugheit</v>
      </c>
      <c r="O205" s="295">
        <f>_xlfn.XLOOKUP(N205,Eigenschaften!$B$20:$B$27,Eigenschaften!$H$20:$H$27,"NaN",1)</f>
        <v>12</v>
      </c>
      <c r="P205" s="295" t="str">
        <f>_xlfn.XLOOKUP(U205,Eigenschaften!$C$20:$C$27,Eigenschaften!$B$20:$B$27)</f>
        <v>Charisma</v>
      </c>
      <c r="Q205" s="295">
        <f>_xlfn.XLOOKUP(P205,Eigenschaften!$B$20:$B$27,Eigenschaften!$H$20:$H$27,"NaN",1)</f>
        <v>15</v>
      </c>
      <c r="R205" s="244"/>
      <c r="S205" s="244" t="str" cm="1">
        <f t="array" ref="S205:U205">_xlfn.TEXTSPLIT(F205,"/",,,,3)</f>
        <v>MU</v>
      </c>
      <c r="T205" s="244" t="str">
        <v>KL</v>
      </c>
      <c r="U205" s="244" t="str">
        <v>CH</v>
      </c>
      <c r="V205" s="298">
        <f t="shared" si="58"/>
        <v>0</v>
      </c>
      <c r="W205" s="298">
        <f t="shared" si="58"/>
        <v>0</v>
      </c>
      <c r="X205" s="298">
        <f t="shared" si="58"/>
        <v>0</v>
      </c>
      <c r="Y205" s="298">
        <f t="shared" si="58"/>
        <v>0</v>
      </c>
      <c r="Z205" s="298">
        <f t="shared" si="58"/>
        <v>0</v>
      </c>
      <c r="AA205" s="298">
        <f t="shared" si="58"/>
        <v>0</v>
      </c>
      <c r="AB205" s="298">
        <f t="shared" si="58"/>
        <v>0</v>
      </c>
      <c r="AC205" s="298">
        <f t="shared" si="58"/>
        <v>1</v>
      </c>
      <c r="AD205" s="298">
        <f t="shared" si="58"/>
        <v>0</v>
      </c>
      <c r="AE205" s="298">
        <f t="shared" si="58"/>
        <v>0</v>
      </c>
      <c r="AF205" s="298">
        <f t="shared" si="59"/>
        <v>0</v>
      </c>
      <c r="AG205" s="298">
        <f t="shared" si="59"/>
        <v>0</v>
      </c>
      <c r="AH205" s="298">
        <f t="shared" si="59"/>
        <v>1</v>
      </c>
      <c r="AI205" s="298">
        <f t="shared" si="59"/>
        <v>0</v>
      </c>
      <c r="AJ205" s="298">
        <f t="shared" si="59"/>
        <v>0</v>
      </c>
      <c r="AK205" s="298">
        <f t="shared" si="59"/>
        <v>0</v>
      </c>
      <c r="AL205" s="298">
        <f t="shared" si="59"/>
        <v>0</v>
      </c>
      <c r="AM205" s="298">
        <f t="shared" si="59"/>
        <v>0</v>
      </c>
      <c r="AN205" s="298">
        <f t="shared" si="59"/>
        <v>0</v>
      </c>
      <c r="AO205" s="298">
        <f t="shared" si="59"/>
        <v>0</v>
      </c>
      <c r="AP205" s="298">
        <f t="shared" si="60"/>
        <v>0</v>
      </c>
      <c r="AQ205" s="298">
        <f t="shared" si="60"/>
        <v>0</v>
      </c>
      <c r="AR205" s="298">
        <f t="shared" si="60"/>
        <v>0</v>
      </c>
      <c r="AS205" s="298">
        <f t="shared" si="60"/>
        <v>0</v>
      </c>
      <c r="AT205" s="298">
        <f t="shared" si="60"/>
        <v>0</v>
      </c>
      <c r="AU205" s="298">
        <f t="shared" si="60"/>
        <v>0</v>
      </c>
      <c r="AV205" s="298">
        <f t="shared" si="60"/>
        <v>1</v>
      </c>
      <c r="AW205" s="244"/>
      <c r="AX205" s="244"/>
      <c r="AY205" s="244"/>
      <c r="AZ205" s="244"/>
      <c r="BA205" s="244"/>
      <c r="BB205" s="244"/>
    </row>
    <row r="206" spans="1:54" hidden="1">
      <c r="A206" s="331" t="s">
        <v>841</v>
      </c>
      <c r="B206" s="295" t="str">
        <f t="shared" si="47"/>
        <v>Klugheit: 12 | Konstitution: 12 | Körperkraft: 12</v>
      </c>
      <c r="C206" s="308" t="b">
        <v>0</v>
      </c>
      <c r="D206" s="308" t="b">
        <v>0</v>
      </c>
      <c r="E206" s="308" t="b">
        <f t="shared" si="48"/>
        <v>0</v>
      </c>
      <c r="F206" t="s">
        <v>540</v>
      </c>
      <c r="G206" t="s">
        <v>429</v>
      </c>
      <c r="H206" t="s">
        <v>382</v>
      </c>
      <c r="I206" t="s">
        <v>430</v>
      </c>
      <c r="J206" s="295">
        <f>_xlfn.XLOOKUP(G206,Rechner!$A$17:$A$25,Rechner!$B$17:$B$25)</f>
        <v>6</v>
      </c>
      <c r="K206" s="295" t="str">
        <f>_xlfn.XLOOKUP(J206-SUMIF($V$31:$AV$31,TRUE,V206:AV206)-IF(D206=TRUE,1,0),Rechner!$B$17:$B$25,Rechner!$A$17:$A$25,"A+")</f>
        <v>E</v>
      </c>
      <c r="L206" s="295" t="str">
        <f>_xlfn.XLOOKUP(S206,Eigenschaften!$C$20:$C$27,Eigenschaften!$B$20:$B$27)</f>
        <v>Klugheit</v>
      </c>
      <c r="M206" s="295">
        <f>_xlfn.XLOOKUP(L206,Eigenschaften!$B$20:$B$27,Eigenschaften!$H$20:$H$27,"NaN",1)</f>
        <v>12</v>
      </c>
      <c r="N206" s="295" t="str">
        <f>_xlfn.XLOOKUP(T206,Eigenschaften!$C$20:$C$27,Eigenschaften!$B$20:$B$27)</f>
        <v>Konstitution</v>
      </c>
      <c r="O206" s="295">
        <f>_xlfn.XLOOKUP(N206,Eigenschaften!$B$20:$B$27,Eigenschaften!$H$20:$H$27,"NaN",1)</f>
        <v>12</v>
      </c>
      <c r="P206" s="295" t="str">
        <f>_xlfn.XLOOKUP(U206,Eigenschaften!$C$20:$C$27,Eigenschaften!$B$20:$B$27)</f>
        <v>Körperkraft</v>
      </c>
      <c r="Q206" s="295">
        <f>_xlfn.XLOOKUP(P206,Eigenschaften!$B$20:$B$27,Eigenschaften!$H$20:$H$27,"NaN",1)</f>
        <v>12</v>
      </c>
      <c r="R206" s="244"/>
      <c r="S206" s="244" t="str" cm="1">
        <f t="array" ref="S206:U206">_xlfn.TEXTSPLIT(F206,"/",,,,3)</f>
        <v>KL</v>
      </c>
      <c r="T206" s="244" t="str">
        <v>KO</v>
      </c>
      <c r="U206" s="244" t="str">
        <v>KK</v>
      </c>
      <c r="V206" s="298">
        <f t="shared" ref="V206:AE215" si="61">IF(ISNUMBER(SEARCH(V$32,$H206)),1,0)</f>
        <v>0</v>
      </c>
      <c r="W206" s="298">
        <f t="shared" si="61"/>
        <v>0</v>
      </c>
      <c r="X206" s="298">
        <f t="shared" si="61"/>
        <v>0</v>
      </c>
      <c r="Y206" s="298">
        <f t="shared" si="61"/>
        <v>0</v>
      </c>
      <c r="Z206" s="298">
        <f t="shared" si="61"/>
        <v>0</v>
      </c>
      <c r="AA206" s="298">
        <f t="shared" si="61"/>
        <v>0</v>
      </c>
      <c r="AB206" s="298">
        <f t="shared" si="61"/>
        <v>0</v>
      </c>
      <c r="AC206" s="298">
        <f t="shared" si="61"/>
        <v>0</v>
      </c>
      <c r="AD206" s="298">
        <f t="shared" si="61"/>
        <v>0</v>
      </c>
      <c r="AE206" s="298">
        <f t="shared" si="61"/>
        <v>0</v>
      </c>
      <c r="AF206" s="298">
        <f t="shared" ref="AF206:AO215" si="62">IF(ISNUMBER(SEARCH(AF$32,$H206)),1,0)</f>
        <v>0</v>
      </c>
      <c r="AG206" s="298">
        <f t="shared" si="62"/>
        <v>0</v>
      </c>
      <c r="AH206" s="298">
        <f t="shared" si="62"/>
        <v>0</v>
      </c>
      <c r="AI206" s="298">
        <f t="shared" si="62"/>
        <v>0</v>
      </c>
      <c r="AJ206" s="298">
        <f t="shared" si="62"/>
        <v>0</v>
      </c>
      <c r="AK206" s="298">
        <f t="shared" si="62"/>
        <v>0</v>
      </c>
      <c r="AL206" s="298">
        <f t="shared" si="62"/>
        <v>0</v>
      </c>
      <c r="AM206" s="298">
        <f t="shared" si="62"/>
        <v>0</v>
      </c>
      <c r="AN206" s="298">
        <f t="shared" si="62"/>
        <v>0</v>
      </c>
      <c r="AO206" s="298">
        <f t="shared" si="62"/>
        <v>0</v>
      </c>
      <c r="AP206" s="298">
        <f t="shared" ref="AP206:AV215" si="63">IF(ISNUMBER(SEARCH(AP$32,$H206)),1,0)</f>
        <v>0</v>
      </c>
      <c r="AQ206" s="298">
        <f t="shared" si="63"/>
        <v>0</v>
      </c>
      <c r="AR206" s="298">
        <f t="shared" si="63"/>
        <v>0</v>
      </c>
      <c r="AS206" s="298">
        <f t="shared" si="63"/>
        <v>0</v>
      </c>
      <c r="AT206" s="298">
        <f t="shared" si="63"/>
        <v>0</v>
      </c>
      <c r="AU206" s="298">
        <f t="shared" si="63"/>
        <v>1</v>
      </c>
      <c r="AV206" s="298">
        <f t="shared" si="63"/>
        <v>0</v>
      </c>
      <c r="AW206" s="244"/>
      <c r="AX206" s="244"/>
      <c r="AY206" s="244"/>
      <c r="AZ206" s="244"/>
      <c r="BA206" s="244"/>
      <c r="BB206" s="244"/>
    </row>
    <row r="207" spans="1:54" hidden="1">
      <c r="A207" s="331" t="s">
        <v>842</v>
      </c>
      <c r="B207" s="295" t="str">
        <f t="shared" si="47"/>
        <v>Mut: 13 | Klugheit: 12 | Charisma: 15</v>
      </c>
      <c r="C207" s="308" t="b">
        <v>0</v>
      </c>
      <c r="D207" s="308" t="b">
        <v>0</v>
      </c>
      <c r="E207" s="308" t="b">
        <f t="shared" si="48"/>
        <v>1</v>
      </c>
      <c r="F207" t="s">
        <v>567</v>
      </c>
      <c r="G207" t="s">
        <v>110</v>
      </c>
      <c r="H207" t="s">
        <v>627</v>
      </c>
      <c r="I207" t="s">
        <v>843</v>
      </c>
      <c r="J207" s="295">
        <f>_xlfn.XLOOKUP(G207,Rechner!$A$17:$A$25,Rechner!$B$17:$B$25)</f>
        <v>4</v>
      </c>
      <c r="K207" s="295" t="str">
        <f>_xlfn.XLOOKUP(J207-SUMIF($V$31:$AV$31,TRUE,V207:AV207)-IF(D207=TRUE,1,0),Rechner!$B$17:$B$25,Rechner!$A$17:$A$25,"A+")</f>
        <v>C</v>
      </c>
      <c r="L207" s="295" t="str">
        <f>_xlfn.XLOOKUP(S207,Eigenschaften!$C$20:$C$27,Eigenschaften!$B$20:$B$27)</f>
        <v>Mut</v>
      </c>
      <c r="M207" s="295">
        <f>_xlfn.XLOOKUP(L207,Eigenschaften!$B$20:$B$27,Eigenschaften!$H$20:$H$27,"NaN",1)</f>
        <v>13</v>
      </c>
      <c r="N207" s="295" t="str">
        <f>_xlfn.XLOOKUP(T207,Eigenschaften!$C$20:$C$27,Eigenschaften!$B$20:$B$27)</f>
        <v>Klugheit</v>
      </c>
      <c r="O207" s="295">
        <f>_xlfn.XLOOKUP(N207,Eigenschaften!$B$20:$B$27,Eigenschaften!$H$20:$H$27,"NaN",1)</f>
        <v>12</v>
      </c>
      <c r="P207" s="295" t="str">
        <f>_xlfn.XLOOKUP(U207,Eigenschaften!$C$20:$C$27,Eigenschaften!$B$20:$B$27)</f>
        <v>Charisma</v>
      </c>
      <c r="Q207" s="295">
        <f>_xlfn.XLOOKUP(P207,Eigenschaften!$B$20:$B$27,Eigenschaften!$H$20:$H$27,"NaN",1)</f>
        <v>15</v>
      </c>
      <c r="R207" s="244"/>
      <c r="S207" s="244" t="str" cm="1">
        <f t="array" ref="S207:U207">_xlfn.TEXTSPLIT(F207,"/",,,,3)</f>
        <v>MU</v>
      </c>
      <c r="T207" s="244" t="str">
        <v>KL</v>
      </c>
      <c r="U207" s="244" t="str">
        <v>CH</v>
      </c>
      <c r="V207" s="298">
        <f t="shared" si="61"/>
        <v>0</v>
      </c>
      <c r="W207" s="298">
        <f t="shared" si="61"/>
        <v>1</v>
      </c>
      <c r="X207" s="298">
        <f t="shared" si="61"/>
        <v>0</v>
      </c>
      <c r="Y207" s="298">
        <f t="shared" si="61"/>
        <v>0</v>
      </c>
      <c r="Z207" s="298">
        <f t="shared" si="61"/>
        <v>0</v>
      </c>
      <c r="AA207" s="298">
        <f t="shared" si="61"/>
        <v>0</v>
      </c>
      <c r="AB207" s="298">
        <f t="shared" si="61"/>
        <v>0</v>
      </c>
      <c r="AC207" s="298">
        <f t="shared" si="61"/>
        <v>0</v>
      </c>
      <c r="AD207" s="298">
        <f t="shared" si="61"/>
        <v>0</v>
      </c>
      <c r="AE207" s="298">
        <f t="shared" si="61"/>
        <v>0</v>
      </c>
      <c r="AF207" s="298">
        <f t="shared" si="62"/>
        <v>0</v>
      </c>
      <c r="AG207" s="298">
        <f t="shared" si="62"/>
        <v>0</v>
      </c>
      <c r="AH207" s="298">
        <f t="shared" si="62"/>
        <v>0</v>
      </c>
      <c r="AI207" s="298">
        <f t="shared" si="62"/>
        <v>0</v>
      </c>
      <c r="AJ207" s="298">
        <f t="shared" si="62"/>
        <v>0</v>
      </c>
      <c r="AK207" s="298">
        <f t="shared" si="62"/>
        <v>0</v>
      </c>
      <c r="AL207" s="298">
        <f t="shared" si="62"/>
        <v>0</v>
      </c>
      <c r="AM207" s="298">
        <f t="shared" si="62"/>
        <v>0</v>
      </c>
      <c r="AN207" s="298">
        <f t="shared" si="62"/>
        <v>0</v>
      </c>
      <c r="AO207" s="298">
        <f t="shared" si="62"/>
        <v>0</v>
      </c>
      <c r="AP207" s="298">
        <f t="shared" si="63"/>
        <v>0</v>
      </c>
      <c r="AQ207" s="298">
        <f t="shared" si="63"/>
        <v>0</v>
      </c>
      <c r="AR207" s="298">
        <f t="shared" si="63"/>
        <v>0</v>
      </c>
      <c r="AS207" s="298">
        <f t="shared" si="63"/>
        <v>0</v>
      </c>
      <c r="AT207" s="298">
        <f t="shared" si="63"/>
        <v>0</v>
      </c>
      <c r="AU207" s="298">
        <f t="shared" si="63"/>
        <v>0</v>
      </c>
      <c r="AV207" s="298">
        <f t="shared" si="63"/>
        <v>0</v>
      </c>
      <c r="AW207" s="244"/>
      <c r="AX207" s="244"/>
      <c r="AY207" s="244"/>
      <c r="AZ207" s="244"/>
      <c r="BA207" s="244"/>
      <c r="BB207" s="244"/>
    </row>
    <row r="208" spans="1:54" hidden="1">
      <c r="A208" s="331" t="s">
        <v>844</v>
      </c>
      <c r="B208" s="295" t="str">
        <f t="shared" si="47"/>
        <v>Klugheit: 12 | Fingerfertigkeit: 10 | Konstitution: 12</v>
      </c>
      <c r="C208" s="308" t="b">
        <v>0</v>
      </c>
      <c r="D208" s="308" t="b">
        <v>0</v>
      </c>
      <c r="E208" s="308" t="b">
        <f t="shared" si="48"/>
        <v>0</v>
      </c>
      <c r="F208" t="s">
        <v>295</v>
      </c>
      <c r="G208" t="s">
        <v>113</v>
      </c>
      <c r="H208" t="s">
        <v>378</v>
      </c>
      <c r="I208" t="s">
        <v>845</v>
      </c>
      <c r="J208" s="295">
        <f>_xlfn.XLOOKUP(G208,Rechner!$A$17:$A$25,Rechner!$B$17:$B$25)</f>
        <v>5</v>
      </c>
      <c r="K208" s="295" t="str">
        <f>_xlfn.XLOOKUP(J208-SUMIF($V$31:$AV$31,TRUE,V208:AV208)-IF(D208=TRUE,1,0),Rechner!$B$17:$B$25,Rechner!$A$17:$A$25,"A+")</f>
        <v>D</v>
      </c>
      <c r="L208" s="295" t="str">
        <f>_xlfn.XLOOKUP(S208,Eigenschaften!$C$20:$C$27,Eigenschaften!$B$20:$B$27)</f>
        <v>Klugheit</v>
      </c>
      <c r="M208" s="295">
        <f>_xlfn.XLOOKUP(L208,Eigenschaften!$B$20:$B$27,Eigenschaften!$H$20:$H$27,"NaN",1)</f>
        <v>12</v>
      </c>
      <c r="N208" s="295" t="str">
        <f>_xlfn.XLOOKUP(T208,Eigenschaften!$C$20:$C$27,Eigenschaften!$B$20:$B$27)</f>
        <v>Fingerfertigkeit</v>
      </c>
      <c r="O208" s="295">
        <f>_xlfn.XLOOKUP(N208,Eigenschaften!$B$20:$B$27,Eigenschaften!$H$20:$H$27,"NaN",1)</f>
        <v>10</v>
      </c>
      <c r="P208" s="295" t="str">
        <f>_xlfn.XLOOKUP(U208,Eigenschaften!$C$20:$C$27,Eigenschaften!$B$20:$B$27)</f>
        <v>Konstitution</v>
      </c>
      <c r="Q208" s="295">
        <f>_xlfn.XLOOKUP(P208,Eigenschaften!$B$20:$B$27,Eigenschaften!$H$20:$H$27,"NaN",1)</f>
        <v>12</v>
      </c>
      <c r="R208" s="244"/>
      <c r="S208" s="244" t="str" cm="1">
        <f t="array" ref="S208:U208">_xlfn.TEXTSPLIT(F208,"/",,,,3)</f>
        <v>KL</v>
      </c>
      <c r="T208" s="244" t="str">
        <v>FF</v>
      </c>
      <c r="U208" s="244" t="str">
        <v>KO</v>
      </c>
      <c r="V208" s="298">
        <f t="shared" si="61"/>
        <v>0</v>
      </c>
      <c r="W208" s="298">
        <f t="shared" si="61"/>
        <v>0</v>
      </c>
      <c r="X208" s="298">
        <f t="shared" si="61"/>
        <v>0</v>
      </c>
      <c r="Y208" s="298">
        <f t="shared" si="61"/>
        <v>0</v>
      </c>
      <c r="Z208" s="298">
        <f t="shared" si="61"/>
        <v>0</v>
      </c>
      <c r="AA208" s="298">
        <f t="shared" si="61"/>
        <v>0</v>
      </c>
      <c r="AB208" s="298">
        <f t="shared" si="61"/>
        <v>0</v>
      </c>
      <c r="AC208" s="298">
        <f t="shared" si="61"/>
        <v>0</v>
      </c>
      <c r="AD208" s="298">
        <f t="shared" si="61"/>
        <v>0</v>
      </c>
      <c r="AE208" s="298">
        <f t="shared" si="61"/>
        <v>0</v>
      </c>
      <c r="AF208" s="298">
        <f t="shared" si="62"/>
        <v>0</v>
      </c>
      <c r="AG208" s="298">
        <f t="shared" si="62"/>
        <v>0</v>
      </c>
      <c r="AH208" s="298">
        <f t="shared" si="62"/>
        <v>0</v>
      </c>
      <c r="AI208" s="298">
        <f t="shared" si="62"/>
        <v>0</v>
      </c>
      <c r="AJ208" s="298">
        <f t="shared" si="62"/>
        <v>0</v>
      </c>
      <c r="AK208" s="298">
        <f t="shared" si="62"/>
        <v>0</v>
      </c>
      <c r="AL208" s="298">
        <f t="shared" si="62"/>
        <v>0</v>
      </c>
      <c r="AM208" s="298">
        <f t="shared" si="62"/>
        <v>0</v>
      </c>
      <c r="AN208" s="298">
        <f t="shared" si="62"/>
        <v>0</v>
      </c>
      <c r="AO208" s="298">
        <f t="shared" si="62"/>
        <v>0</v>
      </c>
      <c r="AP208" s="298">
        <f t="shared" si="63"/>
        <v>0</v>
      </c>
      <c r="AQ208" s="298">
        <f t="shared" si="63"/>
        <v>1</v>
      </c>
      <c r="AR208" s="298">
        <f t="shared" si="63"/>
        <v>0</v>
      </c>
      <c r="AS208" s="298">
        <f t="shared" si="63"/>
        <v>0</v>
      </c>
      <c r="AT208" s="298">
        <f t="shared" si="63"/>
        <v>0</v>
      </c>
      <c r="AU208" s="298">
        <f t="shared" si="63"/>
        <v>0</v>
      </c>
      <c r="AV208" s="298">
        <f t="shared" si="63"/>
        <v>0</v>
      </c>
      <c r="AW208" s="244"/>
      <c r="AX208" s="244"/>
      <c r="AY208" s="244"/>
      <c r="AZ208" s="244"/>
      <c r="BA208" s="244"/>
      <c r="BB208" s="244"/>
    </row>
    <row r="209" spans="1:54" hidden="1">
      <c r="A209" s="331" t="s">
        <v>846</v>
      </c>
      <c r="B209" s="295" t="str">
        <f t="shared" si="47"/>
        <v>Klugheit: 12 | Klugheit: 12 | Körperkraft: 12</v>
      </c>
      <c r="C209" s="308" t="b">
        <v>0</v>
      </c>
      <c r="D209" s="308" t="b">
        <v>0</v>
      </c>
      <c r="E209" s="308" t="b">
        <f t="shared" si="48"/>
        <v>0</v>
      </c>
      <c r="F209" t="s">
        <v>847</v>
      </c>
      <c r="G209" t="s">
        <v>113</v>
      </c>
      <c r="H209" t="s">
        <v>597</v>
      </c>
      <c r="I209" t="s">
        <v>848</v>
      </c>
      <c r="J209" s="295">
        <f>_xlfn.XLOOKUP(G209,Rechner!$A$17:$A$25,Rechner!$B$17:$B$25)</f>
        <v>5</v>
      </c>
      <c r="K209" s="295" t="str">
        <f>_xlfn.XLOOKUP(J209-SUMIF($V$31:$AV$31,TRUE,V209:AV209)-IF(D209=TRUE,1,0),Rechner!$B$17:$B$25,Rechner!$A$17:$A$25,"A+")</f>
        <v>D</v>
      </c>
      <c r="L209" s="295" t="str">
        <f>_xlfn.XLOOKUP(S209,Eigenschaften!$C$20:$C$27,Eigenschaften!$B$20:$B$27)</f>
        <v>Klugheit</v>
      </c>
      <c r="M209" s="295">
        <f>_xlfn.XLOOKUP(L209,Eigenschaften!$B$20:$B$27,Eigenschaften!$H$20:$H$27,"NaN",1)</f>
        <v>12</v>
      </c>
      <c r="N209" s="295" t="str">
        <f>_xlfn.XLOOKUP(T209,Eigenschaften!$C$20:$C$27,Eigenschaften!$B$20:$B$27)</f>
        <v>Klugheit</v>
      </c>
      <c r="O209" s="295">
        <f>_xlfn.XLOOKUP(N209,Eigenschaften!$B$20:$B$27,Eigenschaften!$H$20:$H$27,"NaN",1)</f>
        <v>12</v>
      </c>
      <c r="P209" s="295" t="str">
        <f>_xlfn.XLOOKUP(U209,Eigenschaften!$C$20:$C$27,Eigenschaften!$B$20:$B$27)</f>
        <v>Körperkraft</v>
      </c>
      <c r="Q209" s="295">
        <f>_xlfn.XLOOKUP(P209,Eigenschaften!$B$20:$B$27,Eigenschaften!$H$20:$H$27,"NaN",1)</f>
        <v>12</v>
      </c>
      <c r="R209" s="244"/>
      <c r="S209" s="244" t="str" cm="1">
        <f t="array" ref="S209:U209">_xlfn.TEXTSPLIT(F209,"/",,,,3)</f>
        <v>KL</v>
      </c>
      <c r="T209" s="244" t="str">
        <v>KL</v>
      </c>
      <c r="U209" s="244" t="str">
        <v>KK</v>
      </c>
      <c r="V209" s="298">
        <f t="shared" si="61"/>
        <v>0</v>
      </c>
      <c r="W209" s="298">
        <f t="shared" si="61"/>
        <v>0</v>
      </c>
      <c r="X209" s="298">
        <f t="shared" si="61"/>
        <v>0</v>
      </c>
      <c r="Y209" s="298">
        <f t="shared" si="61"/>
        <v>0</v>
      </c>
      <c r="Z209" s="298">
        <f t="shared" si="61"/>
        <v>0</v>
      </c>
      <c r="AA209" s="298">
        <f t="shared" si="61"/>
        <v>0</v>
      </c>
      <c r="AB209" s="298">
        <f t="shared" si="61"/>
        <v>0</v>
      </c>
      <c r="AC209" s="298">
        <f t="shared" si="61"/>
        <v>0</v>
      </c>
      <c r="AD209" s="298">
        <f t="shared" si="61"/>
        <v>0</v>
      </c>
      <c r="AE209" s="298">
        <f t="shared" si="61"/>
        <v>0</v>
      </c>
      <c r="AF209" s="298">
        <f t="shared" si="62"/>
        <v>0</v>
      </c>
      <c r="AG209" s="298">
        <f t="shared" si="62"/>
        <v>0</v>
      </c>
      <c r="AH209" s="298">
        <f t="shared" si="62"/>
        <v>0</v>
      </c>
      <c r="AI209" s="298">
        <f t="shared" si="62"/>
        <v>0</v>
      </c>
      <c r="AJ209" s="298">
        <f t="shared" si="62"/>
        <v>0</v>
      </c>
      <c r="AK209" s="298">
        <f t="shared" si="62"/>
        <v>0</v>
      </c>
      <c r="AL209" s="298">
        <f t="shared" si="62"/>
        <v>0</v>
      </c>
      <c r="AM209" s="298">
        <f t="shared" si="62"/>
        <v>0</v>
      </c>
      <c r="AN209" s="298">
        <f t="shared" si="62"/>
        <v>0</v>
      </c>
      <c r="AO209" s="298">
        <f t="shared" si="62"/>
        <v>0</v>
      </c>
      <c r="AP209" s="298">
        <f t="shared" si="63"/>
        <v>0</v>
      </c>
      <c r="AQ209" s="298">
        <f t="shared" si="63"/>
        <v>1</v>
      </c>
      <c r="AR209" s="298">
        <f t="shared" si="63"/>
        <v>0</v>
      </c>
      <c r="AS209" s="298">
        <f t="shared" si="63"/>
        <v>0</v>
      </c>
      <c r="AT209" s="298">
        <f t="shared" si="63"/>
        <v>1</v>
      </c>
      <c r="AU209" s="298">
        <f t="shared" si="63"/>
        <v>0</v>
      </c>
      <c r="AV209" s="298">
        <f t="shared" si="63"/>
        <v>0</v>
      </c>
      <c r="AW209" s="244"/>
      <c r="AX209" s="244"/>
      <c r="AY209" s="244"/>
      <c r="AZ209" s="244"/>
      <c r="BA209" s="244"/>
      <c r="BB209" s="244"/>
    </row>
    <row r="210" spans="1:54" hidden="1">
      <c r="A210" s="331" t="s">
        <v>849</v>
      </c>
      <c r="B210" s="295" t="str">
        <f t="shared" si="47"/>
        <v>Klugheit: 12 | Intuition: 15 | Charisma: 15</v>
      </c>
      <c r="C210" s="308" t="b">
        <v>0</v>
      </c>
      <c r="D210" s="308" t="b">
        <v>0</v>
      </c>
      <c r="E210" s="308" t="b">
        <f t="shared" si="48"/>
        <v>1</v>
      </c>
      <c r="F210" t="s">
        <v>307</v>
      </c>
      <c r="G210" t="s">
        <v>110</v>
      </c>
      <c r="H210" t="s">
        <v>383</v>
      </c>
      <c r="I210" t="s">
        <v>850</v>
      </c>
      <c r="J210" s="295">
        <f>_xlfn.XLOOKUP(G210,Rechner!$A$17:$A$25,Rechner!$B$17:$B$25)</f>
        <v>4</v>
      </c>
      <c r="K210" s="295" t="str">
        <f>_xlfn.XLOOKUP(J210-SUMIF($V$31:$AV$31,TRUE,V210:AV210)-IF(D210=TRUE,1,0),Rechner!$B$17:$B$25,Rechner!$A$17:$A$25,"A+")</f>
        <v>C</v>
      </c>
      <c r="L210" s="295" t="str">
        <f>_xlfn.XLOOKUP(S210,Eigenschaften!$C$20:$C$27,Eigenschaften!$B$20:$B$27)</f>
        <v>Klugheit</v>
      </c>
      <c r="M210" s="295">
        <f>_xlfn.XLOOKUP(L210,Eigenschaften!$B$20:$B$27,Eigenschaften!$H$20:$H$27,"NaN",1)</f>
        <v>12</v>
      </c>
      <c r="N210" s="295" t="str">
        <f>_xlfn.XLOOKUP(T210,Eigenschaften!$C$20:$C$27,Eigenschaften!$B$20:$B$27)</f>
        <v>Intuition</v>
      </c>
      <c r="O210" s="295">
        <f>_xlfn.XLOOKUP(N210,Eigenschaften!$B$20:$B$27,Eigenschaften!$H$20:$H$27,"NaN",1)</f>
        <v>15</v>
      </c>
      <c r="P210" s="295" t="str">
        <f>_xlfn.XLOOKUP(U210,Eigenschaften!$C$20:$C$27,Eigenschaften!$B$20:$B$27)</f>
        <v>Charisma</v>
      </c>
      <c r="Q210" s="295">
        <f>_xlfn.XLOOKUP(P210,Eigenschaften!$B$20:$B$27,Eigenschaften!$H$20:$H$27,"NaN",1)</f>
        <v>15</v>
      </c>
      <c r="R210" s="244"/>
      <c r="S210" s="244" t="str" cm="1">
        <f t="array" ref="S210:U210">_xlfn.TEXTSPLIT(F210,"/",,,,3)</f>
        <v>KL</v>
      </c>
      <c r="T210" s="244" t="str">
        <v>IN</v>
      </c>
      <c r="U210" s="244" t="str">
        <v>CH</v>
      </c>
      <c r="V210" s="298">
        <f t="shared" si="61"/>
        <v>0</v>
      </c>
      <c r="W210" s="298">
        <f t="shared" si="61"/>
        <v>0</v>
      </c>
      <c r="X210" s="298">
        <f t="shared" si="61"/>
        <v>0</v>
      </c>
      <c r="Y210" s="298">
        <f t="shared" si="61"/>
        <v>0</v>
      </c>
      <c r="Z210" s="298">
        <f t="shared" si="61"/>
        <v>0</v>
      </c>
      <c r="AA210" s="298">
        <f t="shared" si="61"/>
        <v>0</v>
      </c>
      <c r="AB210" s="298">
        <f t="shared" si="61"/>
        <v>0</v>
      </c>
      <c r="AC210" s="298">
        <f t="shared" si="61"/>
        <v>0</v>
      </c>
      <c r="AD210" s="298">
        <f t="shared" si="61"/>
        <v>0</v>
      </c>
      <c r="AE210" s="298">
        <f t="shared" si="61"/>
        <v>0</v>
      </c>
      <c r="AF210" s="298">
        <f t="shared" si="62"/>
        <v>0</v>
      </c>
      <c r="AG210" s="298">
        <f t="shared" si="62"/>
        <v>0</v>
      </c>
      <c r="AH210" s="298">
        <f t="shared" si="62"/>
        <v>0</v>
      </c>
      <c r="AI210" s="298">
        <f t="shared" si="62"/>
        <v>0</v>
      </c>
      <c r="AJ210" s="298">
        <f t="shared" si="62"/>
        <v>0</v>
      </c>
      <c r="AK210" s="298">
        <f t="shared" si="62"/>
        <v>0</v>
      </c>
      <c r="AL210" s="298">
        <f t="shared" si="62"/>
        <v>0</v>
      </c>
      <c r="AM210" s="298">
        <f t="shared" si="62"/>
        <v>0</v>
      </c>
      <c r="AN210" s="298">
        <f t="shared" si="62"/>
        <v>0</v>
      </c>
      <c r="AO210" s="298">
        <f t="shared" si="62"/>
        <v>0</v>
      </c>
      <c r="AP210" s="298">
        <f t="shared" si="63"/>
        <v>0</v>
      </c>
      <c r="AQ210" s="298">
        <f t="shared" si="63"/>
        <v>0</v>
      </c>
      <c r="AR210" s="298">
        <f t="shared" si="63"/>
        <v>0</v>
      </c>
      <c r="AS210" s="298">
        <f t="shared" si="63"/>
        <v>0</v>
      </c>
      <c r="AT210" s="298">
        <f t="shared" si="63"/>
        <v>0</v>
      </c>
      <c r="AU210" s="298">
        <f t="shared" si="63"/>
        <v>0</v>
      </c>
      <c r="AV210" s="298">
        <f t="shared" si="63"/>
        <v>1</v>
      </c>
      <c r="AW210" s="244"/>
      <c r="AX210" s="244"/>
      <c r="AY210" s="244"/>
      <c r="AZ210" s="244"/>
      <c r="BA210" s="244"/>
      <c r="BB210" s="244"/>
    </row>
    <row r="211" spans="1:54" hidden="1">
      <c r="A211" s="331" t="s">
        <v>851</v>
      </c>
      <c r="B211" s="295" t="str">
        <f t="shared" si="47"/>
        <v>Klugheit: 12 | Intuition: 15 | Fingerfertigkeit: 10</v>
      </c>
      <c r="C211" s="308" t="b">
        <v>0</v>
      </c>
      <c r="D211" s="308" t="b">
        <v>0</v>
      </c>
      <c r="E211" s="308" t="b">
        <f t="shared" si="48"/>
        <v>1</v>
      </c>
      <c r="F211" t="s">
        <v>277</v>
      </c>
      <c r="G211" t="s">
        <v>110</v>
      </c>
      <c r="H211" t="s">
        <v>632</v>
      </c>
      <c r="I211" t="s">
        <v>852</v>
      </c>
      <c r="J211" s="295">
        <f>_xlfn.XLOOKUP(G211,Rechner!$A$17:$A$25,Rechner!$B$17:$B$25)</f>
        <v>4</v>
      </c>
      <c r="K211" s="295" t="str">
        <f>_xlfn.XLOOKUP(J211-SUMIF($V$31:$AV$31,TRUE,V211:AV211)-IF(D211=TRUE,1,0),Rechner!$B$17:$B$25,Rechner!$A$17:$A$25,"A+")</f>
        <v>C</v>
      </c>
      <c r="L211" s="295" t="str">
        <f>_xlfn.XLOOKUP(S211,Eigenschaften!$C$20:$C$27,Eigenschaften!$B$20:$B$27)</f>
        <v>Klugheit</v>
      </c>
      <c r="M211" s="295">
        <f>_xlfn.XLOOKUP(L211,Eigenschaften!$B$20:$B$27,Eigenschaften!$H$20:$H$27,"NaN",1)</f>
        <v>12</v>
      </c>
      <c r="N211" s="295" t="str">
        <f>_xlfn.XLOOKUP(T211,Eigenschaften!$C$20:$C$27,Eigenschaften!$B$20:$B$27)</f>
        <v>Intuition</v>
      </c>
      <c r="O211" s="295">
        <f>_xlfn.XLOOKUP(N211,Eigenschaften!$B$20:$B$27,Eigenschaften!$H$20:$H$27,"NaN",1)</f>
        <v>15</v>
      </c>
      <c r="P211" s="295" t="str">
        <f>_xlfn.XLOOKUP(U211,Eigenschaften!$C$20:$C$27,Eigenschaften!$B$20:$B$27)</f>
        <v>Fingerfertigkeit</v>
      </c>
      <c r="Q211" s="295">
        <f>_xlfn.XLOOKUP(P211,Eigenschaften!$B$20:$B$27,Eigenschaften!$H$20:$H$27,"NaN",1)</f>
        <v>10</v>
      </c>
      <c r="R211" s="244"/>
      <c r="S211" s="244" t="str" cm="1">
        <f t="array" ref="S211:U211">_xlfn.TEXTSPLIT(F211,"/",,,,3)</f>
        <v>KL</v>
      </c>
      <c r="T211" s="244" t="str">
        <v>IN</v>
      </c>
      <c r="U211" s="244" t="str">
        <v>FF</v>
      </c>
      <c r="V211" s="298">
        <f t="shared" si="61"/>
        <v>1</v>
      </c>
      <c r="W211" s="298">
        <f t="shared" si="61"/>
        <v>0</v>
      </c>
      <c r="X211" s="298">
        <f t="shared" si="61"/>
        <v>0</v>
      </c>
      <c r="Y211" s="298">
        <f t="shared" si="61"/>
        <v>0</v>
      </c>
      <c r="Z211" s="298">
        <f t="shared" si="61"/>
        <v>0</v>
      </c>
      <c r="AA211" s="298">
        <f t="shared" si="61"/>
        <v>0</v>
      </c>
      <c r="AB211" s="298">
        <f t="shared" si="61"/>
        <v>0</v>
      </c>
      <c r="AC211" s="298">
        <f t="shared" si="61"/>
        <v>0</v>
      </c>
      <c r="AD211" s="298">
        <f t="shared" si="61"/>
        <v>0</v>
      </c>
      <c r="AE211" s="298">
        <f t="shared" si="61"/>
        <v>0</v>
      </c>
      <c r="AF211" s="298">
        <f t="shared" si="62"/>
        <v>0</v>
      </c>
      <c r="AG211" s="298">
        <f t="shared" si="62"/>
        <v>0</v>
      </c>
      <c r="AH211" s="298">
        <f t="shared" si="62"/>
        <v>0</v>
      </c>
      <c r="AI211" s="298">
        <f t="shared" si="62"/>
        <v>0</v>
      </c>
      <c r="AJ211" s="298">
        <f t="shared" si="62"/>
        <v>0</v>
      </c>
      <c r="AK211" s="298">
        <f t="shared" si="62"/>
        <v>0</v>
      </c>
      <c r="AL211" s="298">
        <f t="shared" si="62"/>
        <v>0</v>
      </c>
      <c r="AM211" s="298">
        <f t="shared" si="62"/>
        <v>0</v>
      </c>
      <c r="AN211" s="298">
        <f t="shared" si="62"/>
        <v>0</v>
      </c>
      <c r="AO211" s="298">
        <f t="shared" si="62"/>
        <v>0</v>
      </c>
      <c r="AP211" s="298">
        <f t="shared" si="63"/>
        <v>0</v>
      </c>
      <c r="AQ211" s="298">
        <f t="shared" si="63"/>
        <v>1</v>
      </c>
      <c r="AR211" s="298">
        <f t="shared" si="63"/>
        <v>0</v>
      </c>
      <c r="AS211" s="298">
        <f t="shared" si="63"/>
        <v>0</v>
      </c>
      <c r="AT211" s="298">
        <f t="shared" si="63"/>
        <v>0</v>
      </c>
      <c r="AU211" s="298">
        <f t="shared" si="63"/>
        <v>0</v>
      </c>
      <c r="AV211" s="298">
        <f t="shared" si="63"/>
        <v>0</v>
      </c>
      <c r="AW211" s="244"/>
      <c r="AX211" s="244"/>
      <c r="AY211" s="244"/>
      <c r="AZ211" s="244"/>
      <c r="BA211" s="244"/>
      <c r="BB211" s="244"/>
    </row>
    <row r="212" spans="1:54" hidden="1">
      <c r="A212" s="331" t="s">
        <v>853</v>
      </c>
      <c r="B212" s="295" t="str">
        <f t="shared" si="47"/>
        <v>Klugheit: 12 | Intuition: 15 | Charisma: 15</v>
      </c>
      <c r="C212" s="308" t="b">
        <v>0</v>
      </c>
      <c r="D212" s="308" t="b">
        <v>0</v>
      </c>
      <c r="E212" s="308" t="b">
        <f t="shared" si="48"/>
        <v>0</v>
      </c>
      <c r="F212" t="s">
        <v>307</v>
      </c>
      <c r="G212" t="s">
        <v>429</v>
      </c>
      <c r="H212" t="s">
        <v>854</v>
      </c>
      <c r="I212" t="s">
        <v>430</v>
      </c>
      <c r="J212" s="295">
        <f>_xlfn.XLOOKUP(G212,Rechner!$A$17:$A$25,Rechner!$B$17:$B$25)</f>
        <v>6</v>
      </c>
      <c r="K212" s="295" t="str">
        <f>_xlfn.XLOOKUP(J212-SUMIF($V$31:$AV$31,TRUE,V212:AV212)-IF(D212=TRUE,1,0),Rechner!$B$17:$B$25,Rechner!$A$17:$A$25,"A+")</f>
        <v>E</v>
      </c>
      <c r="L212" s="295" t="str">
        <f>_xlfn.XLOOKUP(S212,Eigenschaften!$C$20:$C$27,Eigenschaften!$B$20:$B$27)</f>
        <v>Klugheit</v>
      </c>
      <c r="M212" s="295">
        <f>_xlfn.XLOOKUP(L212,Eigenschaften!$B$20:$B$27,Eigenschaften!$H$20:$H$27,"NaN",1)</f>
        <v>12</v>
      </c>
      <c r="N212" s="295" t="str">
        <f>_xlfn.XLOOKUP(T212,Eigenschaften!$C$20:$C$27,Eigenschaften!$B$20:$B$27)</f>
        <v>Intuition</v>
      </c>
      <c r="O212" s="295">
        <f>_xlfn.XLOOKUP(N212,Eigenschaften!$B$20:$B$27,Eigenschaften!$H$20:$H$27,"NaN",1)</f>
        <v>15</v>
      </c>
      <c r="P212" s="295" t="str">
        <f>_xlfn.XLOOKUP(U212,Eigenschaften!$C$20:$C$27,Eigenschaften!$B$20:$B$27)</f>
        <v>Charisma</v>
      </c>
      <c r="Q212" s="295">
        <f>_xlfn.XLOOKUP(P212,Eigenschaften!$B$20:$B$27,Eigenschaften!$H$20:$H$27,"NaN",1)</f>
        <v>15</v>
      </c>
      <c r="R212" s="244"/>
      <c r="S212" s="244" t="str" cm="1">
        <f t="array" ref="S212:U212">_xlfn.TEXTSPLIT(F212,"/",,,,3)</f>
        <v>KL</v>
      </c>
      <c r="T212" s="244" t="str">
        <v>IN</v>
      </c>
      <c r="U212" s="244" t="str">
        <v>CH</v>
      </c>
      <c r="V212" s="298">
        <f t="shared" si="61"/>
        <v>0</v>
      </c>
      <c r="W212" s="298">
        <f t="shared" si="61"/>
        <v>0</v>
      </c>
      <c r="X212" s="298">
        <f t="shared" si="61"/>
        <v>0</v>
      </c>
      <c r="Y212" s="298">
        <f t="shared" si="61"/>
        <v>0</v>
      </c>
      <c r="Z212" s="298">
        <f t="shared" si="61"/>
        <v>0</v>
      </c>
      <c r="AA212" s="298">
        <f t="shared" si="61"/>
        <v>0</v>
      </c>
      <c r="AB212" s="298">
        <f t="shared" si="61"/>
        <v>0</v>
      </c>
      <c r="AC212" s="298">
        <f t="shared" si="61"/>
        <v>0</v>
      </c>
      <c r="AD212" s="298">
        <f t="shared" si="61"/>
        <v>0</v>
      </c>
      <c r="AE212" s="298">
        <f t="shared" si="61"/>
        <v>0</v>
      </c>
      <c r="AF212" s="298">
        <f t="shared" si="62"/>
        <v>0</v>
      </c>
      <c r="AG212" s="298">
        <f t="shared" si="62"/>
        <v>0</v>
      </c>
      <c r="AH212" s="298">
        <f t="shared" si="62"/>
        <v>0</v>
      </c>
      <c r="AI212" s="298">
        <f t="shared" si="62"/>
        <v>0</v>
      </c>
      <c r="AJ212" s="298">
        <f t="shared" si="62"/>
        <v>1</v>
      </c>
      <c r="AK212" s="298">
        <f t="shared" si="62"/>
        <v>0</v>
      </c>
      <c r="AL212" s="298">
        <f t="shared" si="62"/>
        <v>0</v>
      </c>
      <c r="AM212" s="298">
        <f t="shared" si="62"/>
        <v>0</v>
      </c>
      <c r="AN212" s="298">
        <f t="shared" si="62"/>
        <v>1</v>
      </c>
      <c r="AO212" s="298">
        <f t="shared" si="62"/>
        <v>1</v>
      </c>
      <c r="AP212" s="298">
        <f t="shared" si="63"/>
        <v>1</v>
      </c>
      <c r="AQ212" s="298">
        <f t="shared" si="63"/>
        <v>0</v>
      </c>
      <c r="AR212" s="298">
        <f t="shared" si="63"/>
        <v>0</v>
      </c>
      <c r="AS212" s="298">
        <f t="shared" si="63"/>
        <v>0</v>
      </c>
      <c r="AT212" s="298">
        <f t="shared" si="63"/>
        <v>0</v>
      </c>
      <c r="AU212" s="298">
        <f t="shared" si="63"/>
        <v>0</v>
      </c>
      <c r="AV212" s="298">
        <f t="shared" si="63"/>
        <v>0</v>
      </c>
      <c r="AW212" s="244"/>
      <c r="AX212" s="244"/>
      <c r="AY212" s="244"/>
      <c r="AZ212" s="244"/>
      <c r="BA212" s="244"/>
      <c r="BB212" s="244"/>
    </row>
    <row r="213" spans="1:54" ht="15">
      <c r="A213" s="331" t="s">
        <v>290</v>
      </c>
      <c r="B213" s="295" t="str">
        <f t="shared" si="47"/>
        <v>Klugheit: 12 | Klugheit: 12 | Charisma: 15</v>
      </c>
      <c r="C213" s="308" t="b">
        <v>1</v>
      </c>
      <c r="D213" s="308" t="b">
        <v>0</v>
      </c>
      <c r="E213" s="308" t="b">
        <f t="shared" si="48"/>
        <v>1</v>
      </c>
      <c r="F213" t="s">
        <v>291</v>
      </c>
      <c r="G213" t="s">
        <v>110</v>
      </c>
      <c r="H213" t="s">
        <v>417</v>
      </c>
      <c r="I213" t="s">
        <v>669</v>
      </c>
      <c r="J213" s="295">
        <f>_xlfn.XLOOKUP(G213,Rechner!$A$17:$A$25,Rechner!$B$17:$B$25)</f>
        <v>4</v>
      </c>
      <c r="K213" s="338" t="str">
        <f>_xlfn.XLOOKUP(J213-SUMIF($V$31:$AV$31,TRUE,V213:AV213)-IF(D213=TRUE,1,0),Rechner!$B$17:$B$25,Rechner!$A$17:$A$25,"A+")</f>
        <v>B</v>
      </c>
      <c r="L213" s="295" t="str">
        <f>_xlfn.XLOOKUP(S213,Eigenschaften!$C$20:$C$27,Eigenschaften!$B$20:$B$27)</f>
        <v>Klugheit</v>
      </c>
      <c r="M213" s="295">
        <f>_xlfn.XLOOKUP(L213,Eigenschaften!$B$20:$B$27,Eigenschaften!$H$20:$H$27,"NaN",1)</f>
        <v>12</v>
      </c>
      <c r="N213" s="295" t="str">
        <f>_xlfn.XLOOKUP(T213,Eigenschaften!$C$20:$C$27,Eigenschaften!$B$20:$B$27)</f>
        <v>Klugheit</v>
      </c>
      <c r="O213" s="295">
        <f>_xlfn.XLOOKUP(N213,Eigenschaften!$B$20:$B$27,Eigenschaften!$H$20:$H$27,"NaN",1)</f>
        <v>12</v>
      </c>
      <c r="P213" s="295" t="str">
        <f>_xlfn.XLOOKUP(U213,Eigenschaften!$C$20:$C$27,Eigenschaften!$B$20:$B$27)</f>
        <v>Charisma</v>
      </c>
      <c r="Q213" s="295">
        <f>_xlfn.XLOOKUP(P213,Eigenschaften!$B$20:$B$27,Eigenschaften!$H$20:$H$27,"NaN",1)</f>
        <v>15</v>
      </c>
      <c r="R213" s="244"/>
      <c r="S213" s="244" t="str" cm="1">
        <f t="array" ref="S213:U213">_xlfn.TEXTSPLIT(F213,"/",,,,3)</f>
        <v>KL</v>
      </c>
      <c r="T213" s="244" t="str">
        <v>KL</v>
      </c>
      <c r="U213" s="244" t="str">
        <v>CH</v>
      </c>
      <c r="V213" s="344">
        <f t="shared" si="61"/>
        <v>0</v>
      </c>
      <c r="W213" s="344">
        <f t="shared" si="61"/>
        <v>0</v>
      </c>
      <c r="X213" s="344">
        <f t="shared" si="61"/>
        <v>0</v>
      </c>
      <c r="Y213" s="344">
        <f t="shared" si="61"/>
        <v>0</v>
      </c>
      <c r="Z213" s="344">
        <f t="shared" si="61"/>
        <v>0</v>
      </c>
      <c r="AA213" s="344">
        <f t="shared" si="61"/>
        <v>0</v>
      </c>
      <c r="AB213" s="344">
        <f t="shared" si="61"/>
        <v>0</v>
      </c>
      <c r="AC213" s="344">
        <f t="shared" si="61"/>
        <v>0</v>
      </c>
      <c r="AD213" s="344">
        <f t="shared" si="61"/>
        <v>0</v>
      </c>
      <c r="AE213" s="344">
        <f t="shared" si="61"/>
        <v>0</v>
      </c>
      <c r="AF213" s="344">
        <f t="shared" si="62"/>
        <v>1</v>
      </c>
      <c r="AG213" s="344">
        <f t="shared" si="62"/>
        <v>0</v>
      </c>
      <c r="AH213" s="344">
        <f t="shared" si="62"/>
        <v>0</v>
      </c>
      <c r="AI213" s="344">
        <f t="shared" si="62"/>
        <v>0</v>
      </c>
      <c r="AJ213" s="344">
        <f t="shared" si="62"/>
        <v>0</v>
      </c>
      <c r="AK213" s="344">
        <f t="shared" si="62"/>
        <v>0</v>
      </c>
      <c r="AL213" s="344">
        <f t="shared" si="62"/>
        <v>1</v>
      </c>
      <c r="AM213" s="344">
        <f t="shared" si="62"/>
        <v>0</v>
      </c>
      <c r="AN213" s="344">
        <f t="shared" si="62"/>
        <v>0</v>
      </c>
      <c r="AO213" s="344">
        <f t="shared" si="62"/>
        <v>0</v>
      </c>
      <c r="AP213" s="344">
        <f t="shared" si="63"/>
        <v>0</v>
      </c>
      <c r="AQ213" s="344">
        <f t="shared" si="63"/>
        <v>0</v>
      </c>
      <c r="AR213" s="344">
        <f t="shared" si="63"/>
        <v>0</v>
      </c>
      <c r="AS213" s="344">
        <f t="shared" si="63"/>
        <v>0</v>
      </c>
      <c r="AT213" s="344">
        <f t="shared" si="63"/>
        <v>0</v>
      </c>
      <c r="AU213" s="344">
        <f t="shared" si="63"/>
        <v>0</v>
      </c>
      <c r="AV213" s="344">
        <f t="shared" si="63"/>
        <v>0</v>
      </c>
      <c r="AW213" s="244">
        <v>4</v>
      </c>
      <c r="AX213" s="244" t="s">
        <v>1615</v>
      </c>
      <c r="AY213" s="244" t="s">
        <v>1632</v>
      </c>
      <c r="AZ213" s="244" t="s">
        <v>283</v>
      </c>
      <c r="BA213" s="244" t="s">
        <v>292</v>
      </c>
      <c r="BB213" s="244"/>
    </row>
    <row r="214" spans="1:54" hidden="1">
      <c r="A214" s="331" t="s">
        <v>857</v>
      </c>
      <c r="B214" s="295" t="str">
        <f t="shared" si="47"/>
        <v>Klugheit: 12 | Fingerfertigkeit: 10 | Konstitution: 12</v>
      </c>
      <c r="C214" s="308" t="b">
        <v>0</v>
      </c>
      <c r="D214" s="308" t="b">
        <v>0</v>
      </c>
      <c r="E214" s="308" t="b">
        <f t="shared" si="48"/>
        <v>0</v>
      </c>
      <c r="F214" t="s">
        <v>295</v>
      </c>
      <c r="G214" t="s">
        <v>110</v>
      </c>
      <c r="H214" t="s">
        <v>858</v>
      </c>
      <c r="I214" t="s">
        <v>436</v>
      </c>
      <c r="J214" s="295">
        <f>_xlfn.XLOOKUP(G214,Rechner!$A$17:$A$25,Rechner!$B$17:$B$25)</f>
        <v>4</v>
      </c>
      <c r="K214" s="295" t="str">
        <f>_xlfn.XLOOKUP(J214-SUMIF($V$31:$AV$31,TRUE,V214:AV214)-IF(D214=TRUE,1,0),Rechner!$B$17:$B$25,Rechner!$A$17:$A$25,"A+")</f>
        <v>C</v>
      </c>
      <c r="L214" s="295" t="str">
        <f>_xlfn.XLOOKUP(S214,Eigenschaften!$C$20:$C$27,Eigenschaften!$B$20:$B$27)</f>
        <v>Klugheit</v>
      </c>
      <c r="M214" s="295">
        <f>_xlfn.XLOOKUP(L214,Eigenschaften!$B$20:$B$27,Eigenschaften!$H$20:$H$27,"NaN",1)</f>
        <v>12</v>
      </c>
      <c r="N214" s="295" t="str">
        <f>_xlfn.XLOOKUP(T214,Eigenschaften!$C$20:$C$27,Eigenschaften!$B$20:$B$27)</f>
        <v>Fingerfertigkeit</v>
      </c>
      <c r="O214" s="295">
        <f>_xlfn.XLOOKUP(N214,Eigenschaften!$B$20:$B$27,Eigenschaften!$H$20:$H$27,"NaN",1)</f>
        <v>10</v>
      </c>
      <c r="P214" s="295" t="str">
        <f>_xlfn.XLOOKUP(U214,Eigenschaften!$C$20:$C$27,Eigenschaften!$B$20:$B$27)</f>
        <v>Konstitution</v>
      </c>
      <c r="Q214" s="295">
        <f>_xlfn.XLOOKUP(P214,Eigenschaften!$B$20:$B$27,Eigenschaften!$H$20:$H$27,"NaN",1)</f>
        <v>12</v>
      </c>
      <c r="R214" s="244"/>
      <c r="S214" s="244" t="str" cm="1">
        <f t="array" ref="S214:U214">_xlfn.TEXTSPLIT(F214,"/",,,,3)</f>
        <v>KL</v>
      </c>
      <c r="T214" s="244" t="str">
        <v>FF</v>
      </c>
      <c r="U214" s="244" t="str">
        <v>KO</v>
      </c>
      <c r="V214" s="298">
        <f t="shared" si="61"/>
        <v>0</v>
      </c>
      <c r="W214" s="298">
        <f t="shared" si="61"/>
        <v>0</v>
      </c>
      <c r="X214" s="298">
        <f t="shared" si="61"/>
        <v>0</v>
      </c>
      <c r="Y214" s="298">
        <f t="shared" si="61"/>
        <v>1</v>
      </c>
      <c r="Z214" s="298">
        <f t="shared" si="61"/>
        <v>0</v>
      </c>
      <c r="AA214" s="298">
        <f t="shared" si="61"/>
        <v>0</v>
      </c>
      <c r="AB214" s="298">
        <f t="shared" si="61"/>
        <v>0</v>
      </c>
      <c r="AC214" s="298">
        <f t="shared" si="61"/>
        <v>0</v>
      </c>
      <c r="AD214" s="298">
        <f t="shared" si="61"/>
        <v>1</v>
      </c>
      <c r="AE214" s="298">
        <f t="shared" si="61"/>
        <v>0</v>
      </c>
      <c r="AF214" s="298">
        <f t="shared" si="62"/>
        <v>0</v>
      </c>
      <c r="AG214" s="298">
        <f t="shared" si="62"/>
        <v>0</v>
      </c>
      <c r="AH214" s="298">
        <f t="shared" si="62"/>
        <v>0</v>
      </c>
      <c r="AI214" s="298">
        <f t="shared" si="62"/>
        <v>0</v>
      </c>
      <c r="AJ214" s="298">
        <f t="shared" si="62"/>
        <v>0</v>
      </c>
      <c r="AK214" s="298">
        <f t="shared" si="62"/>
        <v>0</v>
      </c>
      <c r="AL214" s="298">
        <f t="shared" si="62"/>
        <v>0</v>
      </c>
      <c r="AM214" s="298">
        <f t="shared" si="62"/>
        <v>0</v>
      </c>
      <c r="AN214" s="298">
        <f t="shared" si="62"/>
        <v>0</v>
      </c>
      <c r="AO214" s="298">
        <f t="shared" si="62"/>
        <v>0</v>
      </c>
      <c r="AP214" s="298">
        <f t="shared" si="63"/>
        <v>0</v>
      </c>
      <c r="AQ214" s="298">
        <f t="shared" si="63"/>
        <v>0</v>
      </c>
      <c r="AR214" s="298">
        <f t="shared" si="63"/>
        <v>1</v>
      </c>
      <c r="AS214" s="298">
        <f t="shared" si="63"/>
        <v>0</v>
      </c>
      <c r="AT214" s="298">
        <f t="shared" si="63"/>
        <v>0</v>
      </c>
      <c r="AU214" s="298">
        <f t="shared" si="63"/>
        <v>0</v>
      </c>
      <c r="AV214" s="298">
        <f t="shared" si="63"/>
        <v>0</v>
      </c>
      <c r="AW214" s="244"/>
      <c r="AX214" s="244"/>
      <c r="AY214" s="244"/>
      <c r="AZ214" s="244"/>
      <c r="BA214" s="244"/>
      <c r="BB214" s="244"/>
    </row>
    <row r="215" spans="1:54" hidden="1">
      <c r="A215" s="331" t="s">
        <v>859</v>
      </c>
      <c r="B215" s="295" t="str">
        <f t="shared" si="47"/>
        <v>Mut: 13 | Intuition: 15 | Konstitution: 12</v>
      </c>
      <c r="C215" s="308" t="b">
        <v>0</v>
      </c>
      <c r="D215" s="308" t="b">
        <v>0</v>
      </c>
      <c r="E215" s="308" t="b">
        <f t="shared" si="48"/>
        <v>0</v>
      </c>
      <c r="F215" t="s">
        <v>310</v>
      </c>
      <c r="G215" t="s">
        <v>113</v>
      </c>
      <c r="H215" t="s">
        <v>860</v>
      </c>
      <c r="I215" t="s">
        <v>440</v>
      </c>
      <c r="J215" s="295">
        <f>_xlfn.XLOOKUP(G215,Rechner!$A$17:$A$25,Rechner!$B$17:$B$25)</f>
        <v>5</v>
      </c>
      <c r="K215" s="295" t="str">
        <f>_xlfn.XLOOKUP(J215-SUMIF($V$31:$AV$31,TRUE,V215:AV215)-IF(D215=TRUE,1,0),Rechner!$B$17:$B$25,Rechner!$A$17:$A$25,"A+")</f>
        <v>D</v>
      </c>
      <c r="L215" s="295" t="str">
        <f>_xlfn.XLOOKUP(S215,Eigenschaften!$C$20:$C$27,Eigenschaften!$B$20:$B$27)</f>
        <v>Mut</v>
      </c>
      <c r="M215" s="295">
        <f>_xlfn.XLOOKUP(L215,Eigenschaften!$B$20:$B$27,Eigenschaften!$H$20:$H$27,"NaN",1)</f>
        <v>13</v>
      </c>
      <c r="N215" s="295" t="str">
        <f>_xlfn.XLOOKUP(T215,Eigenschaften!$C$20:$C$27,Eigenschaften!$B$20:$B$27)</f>
        <v>Intuition</v>
      </c>
      <c r="O215" s="295">
        <f>_xlfn.XLOOKUP(N215,Eigenschaften!$B$20:$B$27,Eigenschaften!$H$20:$H$27,"NaN",1)</f>
        <v>15</v>
      </c>
      <c r="P215" s="295" t="str">
        <f>_xlfn.XLOOKUP(U215,Eigenschaften!$C$20:$C$27,Eigenschaften!$B$20:$B$27)</f>
        <v>Konstitution</v>
      </c>
      <c r="Q215" s="295">
        <f>_xlfn.XLOOKUP(P215,Eigenschaften!$B$20:$B$27,Eigenschaften!$H$20:$H$27,"NaN",1)</f>
        <v>12</v>
      </c>
      <c r="R215" s="244"/>
      <c r="S215" s="244" t="str" cm="1">
        <f t="array" ref="S215:U215">_xlfn.TEXTSPLIT(F215,"/",,,,3)</f>
        <v>MU</v>
      </c>
      <c r="T215" s="244" t="str">
        <v>IN</v>
      </c>
      <c r="U215" s="244" t="str">
        <v>KO</v>
      </c>
      <c r="V215" s="298">
        <f t="shared" si="61"/>
        <v>0</v>
      </c>
      <c r="W215" s="298">
        <f t="shared" si="61"/>
        <v>0</v>
      </c>
      <c r="X215" s="298">
        <f t="shared" si="61"/>
        <v>0</v>
      </c>
      <c r="Y215" s="298">
        <f t="shared" si="61"/>
        <v>1</v>
      </c>
      <c r="Z215" s="298">
        <f t="shared" si="61"/>
        <v>0</v>
      </c>
      <c r="AA215" s="298">
        <f t="shared" si="61"/>
        <v>0</v>
      </c>
      <c r="AB215" s="298">
        <f t="shared" si="61"/>
        <v>0</v>
      </c>
      <c r="AC215" s="298">
        <f t="shared" si="61"/>
        <v>0</v>
      </c>
      <c r="AD215" s="298">
        <f t="shared" si="61"/>
        <v>1</v>
      </c>
      <c r="AE215" s="298">
        <f t="shared" si="61"/>
        <v>0</v>
      </c>
      <c r="AF215" s="298">
        <f t="shared" si="62"/>
        <v>0</v>
      </c>
      <c r="AG215" s="298">
        <f t="shared" si="62"/>
        <v>0</v>
      </c>
      <c r="AH215" s="298">
        <f t="shared" si="62"/>
        <v>0</v>
      </c>
      <c r="AI215" s="298">
        <f t="shared" si="62"/>
        <v>0</v>
      </c>
      <c r="AJ215" s="298">
        <f t="shared" si="62"/>
        <v>0</v>
      </c>
      <c r="AK215" s="298">
        <f t="shared" si="62"/>
        <v>0</v>
      </c>
      <c r="AL215" s="298">
        <f t="shared" si="62"/>
        <v>0</v>
      </c>
      <c r="AM215" s="298">
        <f t="shared" si="62"/>
        <v>0</v>
      </c>
      <c r="AN215" s="298">
        <f t="shared" si="62"/>
        <v>0</v>
      </c>
      <c r="AO215" s="298">
        <f t="shared" si="62"/>
        <v>0</v>
      </c>
      <c r="AP215" s="298">
        <f t="shared" si="63"/>
        <v>0</v>
      </c>
      <c r="AQ215" s="298">
        <f t="shared" si="63"/>
        <v>0</v>
      </c>
      <c r="AR215" s="298">
        <f t="shared" si="63"/>
        <v>1</v>
      </c>
      <c r="AS215" s="298">
        <f t="shared" si="63"/>
        <v>1</v>
      </c>
      <c r="AT215" s="298">
        <f t="shared" si="63"/>
        <v>0</v>
      </c>
      <c r="AU215" s="298">
        <f t="shared" si="63"/>
        <v>0</v>
      </c>
      <c r="AV215" s="298">
        <f t="shared" si="63"/>
        <v>0</v>
      </c>
      <c r="AW215" s="244"/>
      <c r="AX215" s="244"/>
      <c r="AY215" s="244"/>
      <c r="AZ215" s="244"/>
      <c r="BA215" s="244"/>
      <c r="BB215" s="244"/>
    </row>
    <row r="216" spans="1:54" hidden="1">
      <c r="A216" s="331" t="s">
        <v>861</v>
      </c>
      <c r="B216" s="295" t="str">
        <f t="shared" si="47"/>
        <v>Mut: 13 | Mut: 13 | Charisma: 15</v>
      </c>
      <c r="C216" s="308" t="b">
        <v>0</v>
      </c>
      <c r="D216" s="308" t="b">
        <v>0</v>
      </c>
      <c r="E216" s="308" t="b">
        <f t="shared" si="48"/>
        <v>1</v>
      </c>
      <c r="F216" t="s">
        <v>527</v>
      </c>
      <c r="G216" t="s">
        <v>113</v>
      </c>
      <c r="H216" t="s">
        <v>555</v>
      </c>
      <c r="I216" t="s">
        <v>862</v>
      </c>
      <c r="J216" s="295">
        <f>_xlfn.XLOOKUP(G216,Rechner!$A$17:$A$25,Rechner!$B$17:$B$25)</f>
        <v>5</v>
      </c>
      <c r="K216" s="295" t="str">
        <f>_xlfn.XLOOKUP(J216-SUMIF($V$31:$AV$31,TRUE,V216:AV216)-IF(D216=TRUE,1,0),Rechner!$B$17:$B$25,Rechner!$A$17:$A$25,"A+")</f>
        <v>D</v>
      </c>
      <c r="L216" s="295" t="str">
        <f>_xlfn.XLOOKUP(S216,Eigenschaften!$C$20:$C$27,Eigenschaften!$B$20:$B$27)</f>
        <v>Mut</v>
      </c>
      <c r="M216" s="295">
        <f>_xlfn.XLOOKUP(L216,Eigenschaften!$B$20:$B$27,Eigenschaften!$H$20:$H$27,"NaN",1)</f>
        <v>13</v>
      </c>
      <c r="N216" s="295" t="str">
        <f>_xlfn.XLOOKUP(T216,Eigenschaften!$C$20:$C$27,Eigenschaften!$B$20:$B$27)</f>
        <v>Mut</v>
      </c>
      <c r="O216" s="295">
        <f>_xlfn.XLOOKUP(N216,Eigenschaften!$B$20:$B$27,Eigenschaften!$H$20:$H$27,"NaN",1)</f>
        <v>13</v>
      </c>
      <c r="P216" s="295" t="str">
        <f>_xlfn.XLOOKUP(U216,Eigenschaften!$C$20:$C$27,Eigenschaften!$B$20:$B$27)</f>
        <v>Charisma</v>
      </c>
      <c r="Q216" s="295">
        <f>_xlfn.XLOOKUP(P216,Eigenschaften!$B$20:$B$27,Eigenschaften!$H$20:$H$27,"NaN",1)</f>
        <v>15</v>
      </c>
      <c r="R216" s="244"/>
      <c r="S216" s="244" t="str" cm="1">
        <f t="array" ref="S216:U216">_xlfn.TEXTSPLIT(F216,"/",,,,3)</f>
        <v>MU</v>
      </c>
      <c r="T216" s="244" t="str">
        <v>MU</v>
      </c>
      <c r="U216" s="244" t="str">
        <v>CH</v>
      </c>
      <c r="V216" s="298">
        <f t="shared" ref="V216:AE225" si="64">IF(ISNUMBER(SEARCH(V$32,$H216)),1,0)</f>
        <v>0</v>
      </c>
      <c r="W216" s="298">
        <f t="shared" si="64"/>
        <v>1</v>
      </c>
      <c r="X216" s="298">
        <f t="shared" si="64"/>
        <v>0</v>
      </c>
      <c r="Y216" s="298">
        <f t="shared" si="64"/>
        <v>0</v>
      </c>
      <c r="Z216" s="298">
        <f t="shared" si="64"/>
        <v>0</v>
      </c>
      <c r="AA216" s="298">
        <f t="shared" si="64"/>
        <v>0</v>
      </c>
      <c r="AB216" s="298">
        <f t="shared" si="64"/>
        <v>0</v>
      </c>
      <c r="AC216" s="298">
        <f t="shared" si="64"/>
        <v>0</v>
      </c>
      <c r="AD216" s="298">
        <f t="shared" si="64"/>
        <v>0</v>
      </c>
      <c r="AE216" s="298">
        <f t="shared" si="64"/>
        <v>0</v>
      </c>
      <c r="AF216" s="298">
        <f t="shared" ref="AF216:AO225" si="65">IF(ISNUMBER(SEARCH(AF$32,$H216)),1,0)</f>
        <v>0</v>
      </c>
      <c r="AG216" s="298">
        <f t="shared" si="65"/>
        <v>0</v>
      </c>
      <c r="AH216" s="298">
        <f t="shared" si="65"/>
        <v>0</v>
      </c>
      <c r="AI216" s="298">
        <f t="shared" si="65"/>
        <v>0</v>
      </c>
      <c r="AJ216" s="298">
        <f t="shared" si="65"/>
        <v>0</v>
      </c>
      <c r="AK216" s="298">
        <f t="shared" si="65"/>
        <v>0</v>
      </c>
      <c r="AL216" s="298">
        <f t="shared" si="65"/>
        <v>0</v>
      </c>
      <c r="AM216" s="298">
        <f t="shared" si="65"/>
        <v>0</v>
      </c>
      <c r="AN216" s="298">
        <f t="shared" si="65"/>
        <v>0</v>
      </c>
      <c r="AO216" s="298">
        <f t="shared" si="65"/>
        <v>0</v>
      </c>
      <c r="AP216" s="298">
        <f t="shared" ref="AP216:AV225" si="66">IF(ISNUMBER(SEARCH(AP$32,$H216)),1,0)</f>
        <v>0</v>
      </c>
      <c r="AQ216" s="298">
        <f t="shared" si="66"/>
        <v>0</v>
      </c>
      <c r="AR216" s="298">
        <f t="shared" si="66"/>
        <v>0</v>
      </c>
      <c r="AS216" s="298">
        <f t="shared" si="66"/>
        <v>0</v>
      </c>
      <c r="AT216" s="298">
        <f t="shared" si="66"/>
        <v>0</v>
      </c>
      <c r="AU216" s="298">
        <f t="shared" si="66"/>
        <v>0</v>
      </c>
      <c r="AV216" s="298">
        <f t="shared" si="66"/>
        <v>0</v>
      </c>
      <c r="AW216" s="244"/>
      <c r="AX216" s="244"/>
      <c r="AY216" s="244"/>
      <c r="AZ216" s="244"/>
      <c r="BA216" s="244"/>
      <c r="BB216" s="244"/>
    </row>
    <row r="217" spans="1:54" hidden="1">
      <c r="A217" s="331" t="s">
        <v>863</v>
      </c>
      <c r="B217" s="295" t="str">
        <f t="shared" si="47"/>
        <v>Mut: 13 | Charisma: 15 | Charisma: 15</v>
      </c>
      <c r="C217" s="308" t="b">
        <v>0</v>
      </c>
      <c r="D217" s="308" t="b">
        <v>0</v>
      </c>
      <c r="E217" s="308" t="b">
        <f t="shared" si="48"/>
        <v>0</v>
      </c>
      <c r="F217" t="s">
        <v>320</v>
      </c>
      <c r="G217" t="s">
        <v>429</v>
      </c>
      <c r="H217" t="s">
        <v>864</v>
      </c>
      <c r="I217" t="s">
        <v>865</v>
      </c>
      <c r="J217" s="295">
        <f>_xlfn.XLOOKUP(G217,Rechner!$A$17:$A$25,Rechner!$B$17:$B$25)</f>
        <v>6</v>
      </c>
      <c r="K217" s="295" t="str">
        <f>_xlfn.XLOOKUP(J217-SUMIF($V$31:$AV$31,TRUE,V217:AV217)-IF(D217=TRUE,1,0),Rechner!$B$17:$B$25,Rechner!$A$17:$A$25,"A+")</f>
        <v>D</v>
      </c>
      <c r="L217" s="295" t="str">
        <f>_xlfn.XLOOKUP(S217,Eigenschaften!$C$20:$C$27,Eigenschaften!$B$20:$B$27)</f>
        <v>Mut</v>
      </c>
      <c r="M217" s="295">
        <f>_xlfn.XLOOKUP(L217,Eigenschaften!$B$20:$B$27,Eigenschaften!$H$20:$H$27,"NaN",1)</f>
        <v>13</v>
      </c>
      <c r="N217" s="295" t="str">
        <f>_xlfn.XLOOKUP(T217,Eigenschaften!$C$20:$C$27,Eigenschaften!$B$20:$B$27)</f>
        <v>Charisma</v>
      </c>
      <c r="O217" s="295">
        <f>_xlfn.XLOOKUP(N217,Eigenschaften!$B$20:$B$27,Eigenschaften!$H$20:$H$27,"NaN",1)</f>
        <v>15</v>
      </c>
      <c r="P217" s="295" t="str">
        <f>_xlfn.XLOOKUP(U217,Eigenschaften!$C$20:$C$27,Eigenschaften!$B$20:$B$27)</f>
        <v>Charisma</v>
      </c>
      <c r="Q217" s="295">
        <f>_xlfn.XLOOKUP(P217,Eigenschaften!$B$20:$B$27,Eigenschaften!$H$20:$H$27,"NaN",1)</f>
        <v>15</v>
      </c>
      <c r="R217" s="244"/>
      <c r="S217" s="244" t="str" cm="1">
        <f t="array" ref="S217:U217">_xlfn.TEXTSPLIT(F217,"/",,,,3)</f>
        <v>MU</v>
      </c>
      <c r="T217" s="244" t="str">
        <v>CH</v>
      </c>
      <c r="U217" s="244" t="str">
        <v>CH</v>
      </c>
      <c r="V217" s="298">
        <f t="shared" si="64"/>
        <v>0</v>
      </c>
      <c r="W217" s="298">
        <f t="shared" si="64"/>
        <v>0</v>
      </c>
      <c r="X217" s="298">
        <f t="shared" si="64"/>
        <v>0</v>
      </c>
      <c r="Y217" s="298">
        <f t="shared" si="64"/>
        <v>0</v>
      </c>
      <c r="Z217" s="298">
        <f t="shared" si="64"/>
        <v>0</v>
      </c>
      <c r="AA217" s="298">
        <f t="shared" si="64"/>
        <v>0</v>
      </c>
      <c r="AB217" s="298">
        <f t="shared" si="64"/>
        <v>0</v>
      </c>
      <c r="AC217" s="298">
        <f t="shared" si="64"/>
        <v>0</v>
      </c>
      <c r="AD217" s="298">
        <f t="shared" si="64"/>
        <v>0</v>
      </c>
      <c r="AE217" s="298">
        <f t="shared" si="64"/>
        <v>0</v>
      </c>
      <c r="AF217" s="298">
        <f t="shared" si="65"/>
        <v>1</v>
      </c>
      <c r="AG217" s="298">
        <f t="shared" si="65"/>
        <v>0</v>
      </c>
      <c r="AH217" s="298">
        <f t="shared" si="65"/>
        <v>0</v>
      </c>
      <c r="AI217" s="298">
        <f t="shared" si="65"/>
        <v>0</v>
      </c>
      <c r="AJ217" s="298">
        <f t="shared" si="65"/>
        <v>0</v>
      </c>
      <c r="AK217" s="298">
        <f t="shared" si="65"/>
        <v>0</v>
      </c>
      <c r="AL217" s="298">
        <f t="shared" si="65"/>
        <v>0</v>
      </c>
      <c r="AM217" s="298">
        <f t="shared" si="65"/>
        <v>0</v>
      </c>
      <c r="AN217" s="298">
        <f t="shared" si="65"/>
        <v>0</v>
      </c>
      <c r="AO217" s="298">
        <f t="shared" si="65"/>
        <v>0</v>
      </c>
      <c r="AP217" s="298">
        <f t="shared" si="66"/>
        <v>0</v>
      </c>
      <c r="AQ217" s="298">
        <f t="shared" si="66"/>
        <v>0</v>
      </c>
      <c r="AR217" s="298">
        <f t="shared" si="66"/>
        <v>0</v>
      </c>
      <c r="AS217" s="298">
        <f t="shared" si="66"/>
        <v>0</v>
      </c>
      <c r="AT217" s="298">
        <f t="shared" si="66"/>
        <v>0</v>
      </c>
      <c r="AU217" s="298">
        <f t="shared" si="66"/>
        <v>0</v>
      </c>
      <c r="AV217" s="298">
        <f t="shared" si="66"/>
        <v>0</v>
      </c>
      <c r="AW217" s="244"/>
      <c r="AX217" s="244"/>
      <c r="AY217" s="244"/>
      <c r="AZ217" s="244"/>
      <c r="BA217" s="244"/>
      <c r="BB217" s="244"/>
    </row>
    <row r="218" spans="1:54" hidden="1">
      <c r="A218" s="331" t="s">
        <v>866</v>
      </c>
      <c r="B218" s="295" t="str">
        <f t="shared" si="47"/>
        <v>Intuition: 15 | Intuition: 15 | Fingerfertigkeit: 10</v>
      </c>
      <c r="C218" s="308" t="b">
        <v>0</v>
      </c>
      <c r="D218" s="308" t="b">
        <v>0</v>
      </c>
      <c r="E218" s="308" t="b">
        <f t="shared" si="48"/>
        <v>0</v>
      </c>
      <c r="F218" t="s">
        <v>707</v>
      </c>
      <c r="G218" t="s">
        <v>113</v>
      </c>
      <c r="H218" t="s">
        <v>368</v>
      </c>
      <c r="I218" t="s">
        <v>565</v>
      </c>
      <c r="J218" s="295">
        <f>_xlfn.XLOOKUP(G218,Rechner!$A$17:$A$25,Rechner!$B$17:$B$25)</f>
        <v>5</v>
      </c>
      <c r="K218" s="295" t="str">
        <f>_xlfn.XLOOKUP(J218-SUMIF($V$31:$AV$31,TRUE,V218:AV218)-IF(D218=TRUE,1,0),Rechner!$B$17:$B$25,Rechner!$A$17:$A$25,"A+")</f>
        <v>C</v>
      </c>
      <c r="L218" s="295" t="str">
        <f>_xlfn.XLOOKUP(S218,Eigenschaften!$C$20:$C$27,Eigenschaften!$B$20:$B$27)</f>
        <v>Intuition</v>
      </c>
      <c r="M218" s="295">
        <f>_xlfn.XLOOKUP(L218,Eigenschaften!$B$20:$B$27,Eigenschaften!$H$20:$H$27,"NaN",1)</f>
        <v>15</v>
      </c>
      <c r="N218" s="295" t="str">
        <f>_xlfn.XLOOKUP(T218,Eigenschaften!$C$20:$C$27,Eigenschaften!$B$20:$B$27)</f>
        <v>Intuition</v>
      </c>
      <c r="O218" s="295">
        <f>_xlfn.XLOOKUP(N218,Eigenschaften!$B$20:$B$27,Eigenschaften!$H$20:$H$27,"NaN",1)</f>
        <v>15</v>
      </c>
      <c r="P218" s="295" t="str">
        <f>_xlfn.XLOOKUP(U218,Eigenschaften!$C$20:$C$27,Eigenschaften!$B$20:$B$27)</f>
        <v>Fingerfertigkeit</v>
      </c>
      <c r="Q218" s="295">
        <f>_xlfn.XLOOKUP(P218,Eigenschaften!$B$20:$B$27,Eigenschaften!$H$20:$H$27,"NaN",1)</f>
        <v>10</v>
      </c>
      <c r="R218" s="244"/>
      <c r="S218" s="244" t="str" cm="1">
        <f t="array" ref="S218:U218">_xlfn.TEXTSPLIT(F218,"/",,,,3)</f>
        <v>IN</v>
      </c>
      <c r="T218" s="244" t="str">
        <v>IN</v>
      </c>
      <c r="U218" s="244" t="str">
        <v>FF</v>
      </c>
      <c r="V218" s="298">
        <f t="shared" si="64"/>
        <v>0</v>
      </c>
      <c r="W218" s="298">
        <f t="shared" si="64"/>
        <v>0</v>
      </c>
      <c r="X218" s="298">
        <f t="shared" si="64"/>
        <v>0</v>
      </c>
      <c r="Y218" s="298">
        <f t="shared" si="64"/>
        <v>0</v>
      </c>
      <c r="Z218" s="298">
        <f t="shared" si="64"/>
        <v>0</v>
      </c>
      <c r="AA218" s="298">
        <f t="shared" si="64"/>
        <v>0</v>
      </c>
      <c r="AB218" s="298">
        <f t="shared" si="64"/>
        <v>0</v>
      </c>
      <c r="AC218" s="298">
        <f t="shared" si="64"/>
        <v>0</v>
      </c>
      <c r="AD218" s="298">
        <f t="shared" si="64"/>
        <v>0</v>
      </c>
      <c r="AE218" s="298">
        <f t="shared" si="64"/>
        <v>0</v>
      </c>
      <c r="AF218" s="298">
        <f t="shared" si="65"/>
        <v>1</v>
      </c>
      <c r="AG218" s="298">
        <f t="shared" si="65"/>
        <v>0</v>
      </c>
      <c r="AH218" s="298">
        <f t="shared" si="65"/>
        <v>0</v>
      </c>
      <c r="AI218" s="298">
        <f t="shared" si="65"/>
        <v>0</v>
      </c>
      <c r="AJ218" s="298">
        <f t="shared" si="65"/>
        <v>0</v>
      </c>
      <c r="AK218" s="298">
        <f t="shared" si="65"/>
        <v>0</v>
      </c>
      <c r="AL218" s="298">
        <f t="shared" si="65"/>
        <v>0</v>
      </c>
      <c r="AM218" s="298">
        <f t="shared" si="65"/>
        <v>0</v>
      </c>
      <c r="AN218" s="298">
        <f t="shared" si="65"/>
        <v>0</v>
      </c>
      <c r="AO218" s="298">
        <f t="shared" si="65"/>
        <v>0</v>
      </c>
      <c r="AP218" s="298">
        <f t="shared" si="66"/>
        <v>0</v>
      </c>
      <c r="AQ218" s="298">
        <f t="shared" si="66"/>
        <v>0</v>
      </c>
      <c r="AR218" s="298">
        <f t="shared" si="66"/>
        <v>0</v>
      </c>
      <c r="AS218" s="298">
        <f t="shared" si="66"/>
        <v>0</v>
      </c>
      <c r="AT218" s="298">
        <f t="shared" si="66"/>
        <v>0</v>
      </c>
      <c r="AU218" s="298">
        <f t="shared" si="66"/>
        <v>0</v>
      </c>
      <c r="AV218" s="298">
        <f t="shared" si="66"/>
        <v>0</v>
      </c>
      <c r="AW218" s="244"/>
      <c r="AX218" s="244"/>
      <c r="AY218" s="244"/>
      <c r="AZ218" s="244"/>
      <c r="BA218" s="244"/>
      <c r="BB218" s="244"/>
    </row>
    <row r="219" spans="1:54" hidden="1">
      <c r="A219" s="331" t="s">
        <v>867</v>
      </c>
      <c r="B219" s="295" t="str">
        <f t="shared" si="47"/>
        <v>Intuition: 15 | Charisma: 15 | Körperkraft: 12</v>
      </c>
      <c r="C219" s="308" t="b">
        <v>0</v>
      </c>
      <c r="D219" s="308" t="b">
        <v>0</v>
      </c>
      <c r="E219" s="308" t="b">
        <f t="shared" si="48"/>
        <v>0</v>
      </c>
      <c r="F219" t="s">
        <v>868</v>
      </c>
      <c r="G219" t="s">
        <v>110</v>
      </c>
      <c r="H219" t="s">
        <v>667</v>
      </c>
      <c r="I219" t="s">
        <v>869</v>
      </c>
      <c r="J219" s="295">
        <f>_xlfn.XLOOKUP(G219,Rechner!$A$17:$A$25,Rechner!$B$17:$B$25)</f>
        <v>4</v>
      </c>
      <c r="K219" s="295" t="str">
        <f>_xlfn.XLOOKUP(J219-SUMIF($V$31:$AV$31,TRUE,V219:AV219)-IF(D219=TRUE,1,0),Rechner!$B$17:$B$25,Rechner!$A$17:$A$25,"A+")</f>
        <v>C</v>
      </c>
      <c r="L219" s="295" t="str">
        <f>_xlfn.XLOOKUP(S219,Eigenschaften!$C$20:$C$27,Eigenschaften!$B$20:$B$27)</f>
        <v>Intuition</v>
      </c>
      <c r="M219" s="295">
        <f>_xlfn.XLOOKUP(L219,Eigenschaften!$B$20:$B$27,Eigenschaften!$H$20:$H$27,"NaN",1)</f>
        <v>15</v>
      </c>
      <c r="N219" s="295" t="str">
        <f>_xlfn.XLOOKUP(T219,Eigenschaften!$C$20:$C$27,Eigenschaften!$B$20:$B$27)</f>
        <v>Charisma</v>
      </c>
      <c r="O219" s="295">
        <f>_xlfn.XLOOKUP(N219,Eigenschaften!$B$20:$B$27,Eigenschaften!$H$20:$H$27,"NaN",1)</f>
        <v>15</v>
      </c>
      <c r="P219" s="295" t="str">
        <f>_xlfn.XLOOKUP(U219,Eigenschaften!$C$20:$C$27,Eigenschaften!$B$20:$B$27)</f>
        <v>Körperkraft</v>
      </c>
      <c r="Q219" s="295">
        <f>_xlfn.XLOOKUP(P219,Eigenschaften!$B$20:$B$27,Eigenschaften!$H$20:$H$27,"NaN",1)</f>
        <v>12</v>
      </c>
      <c r="R219" s="244"/>
      <c r="S219" s="244" t="str" cm="1">
        <f t="array" ref="S219:U219">_xlfn.TEXTSPLIT(F219,"/",,,,3)</f>
        <v>IN</v>
      </c>
      <c r="T219" s="244" t="str">
        <v>CH</v>
      </c>
      <c r="U219" s="244" t="str">
        <v>KK</v>
      </c>
      <c r="V219" s="298">
        <f t="shared" si="64"/>
        <v>0</v>
      </c>
      <c r="W219" s="298">
        <f t="shared" si="64"/>
        <v>0</v>
      </c>
      <c r="X219" s="298">
        <f t="shared" si="64"/>
        <v>0</v>
      </c>
      <c r="Y219" s="298">
        <f t="shared" si="64"/>
        <v>1</v>
      </c>
      <c r="Z219" s="298">
        <f t="shared" si="64"/>
        <v>0</v>
      </c>
      <c r="AA219" s="298">
        <f t="shared" si="64"/>
        <v>0</v>
      </c>
      <c r="AB219" s="298">
        <f t="shared" si="64"/>
        <v>1</v>
      </c>
      <c r="AC219" s="298">
        <f t="shared" si="64"/>
        <v>0</v>
      </c>
      <c r="AD219" s="298">
        <f t="shared" si="64"/>
        <v>0</v>
      </c>
      <c r="AE219" s="298">
        <f t="shared" si="64"/>
        <v>0</v>
      </c>
      <c r="AF219" s="298">
        <f t="shared" si="65"/>
        <v>0</v>
      </c>
      <c r="AG219" s="298">
        <f t="shared" si="65"/>
        <v>1</v>
      </c>
      <c r="AH219" s="298">
        <f t="shared" si="65"/>
        <v>0</v>
      </c>
      <c r="AI219" s="298">
        <f t="shared" si="65"/>
        <v>0</v>
      </c>
      <c r="AJ219" s="298">
        <f t="shared" si="65"/>
        <v>0</v>
      </c>
      <c r="AK219" s="298">
        <f t="shared" si="65"/>
        <v>0</v>
      </c>
      <c r="AL219" s="298">
        <f t="shared" si="65"/>
        <v>0</v>
      </c>
      <c r="AM219" s="298">
        <f t="shared" si="65"/>
        <v>0</v>
      </c>
      <c r="AN219" s="298">
        <f t="shared" si="65"/>
        <v>0</v>
      </c>
      <c r="AO219" s="298">
        <f t="shared" si="65"/>
        <v>0</v>
      </c>
      <c r="AP219" s="298">
        <f t="shared" si="66"/>
        <v>0</v>
      </c>
      <c r="AQ219" s="298">
        <f t="shared" si="66"/>
        <v>0</v>
      </c>
      <c r="AR219" s="298">
        <f t="shared" si="66"/>
        <v>0</v>
      </c>
      <c r="AS219" s="298">
        <f t="shared" si="66"/>
        <v>0</v>
      </c>
      <c r="AT219" s="298">
        <f t="shared" si="66"/>
        <v>0</v>
      </c>
      <c r="AU219" s="298">
        <f t="shared" si="66"/>
        <v>0</v>
      </c>
      <c r="AV219" s="298">
        <f t="shared" si="66"/>
        <v>0</v>
      </c>
      <c r="AW219" s="244"/>
      <c r="AX219" s="244"/>
      <c r="AY219" s="244"/>
      <c r="AZ219" s="244"/>
      <c r="BA219" s="244"/>
      <c r="BB219" s="244"/>
    </row>
    <row r="220" spans="1:54" hidden="1">
      <c r="A220" s="331" t="s">
        <v>870</v>
      </c>
      <c r="B220" s="295" t="str">
        <f t="shared" si="47"/>
        <v>Klugheit: 12 | Charisma: 15 | Fingerfertigkeit: 10</v>
      </c>
      <c r="C220" s="308" t="b">
        <v>0</v>
      </c>
      <c r="D220" s="308" t="b">
        <v>0</v>
      </c>
      <c r="E220" s="308" t="b">
        <f t="shared" si="48"/>
        <v>1</v>
      </c>
      <c r="F220" t="s">
        <v>393</v>
      </c>
      <c r="G220" t="s">
        <v>125</v>
      </c>
      <c r="H220" t="s">
        <v>369</v>
      </c>
      <c r="I220" t="s">
        <v>871</v>
      </c>
      <c r="J220" s="295">
        <f>_xlfn.XLOOKUP(G220,Rechner!$A$17:$A$25,Rechner!$B$17:$B$25)</f>
        <v>3</v>
      </c>
      <c r="K220" s="295" t="str">
        <f>_xlfn.XLOOKUP(J220-SUMIF($V$31:$AV$31,TRUE,V220:AV220)-IF(D220=TRUE,1,0),Rechner!$B$17:$B$25,Rechner!$A$17:$A$25,"A+")</f>
        <v>B</v>
      </c>
      <c r="L220" s="295" t="str">
        <f>_xlfn.XLOOKUP(S220,Eigenschaften!$C$20:$C$27,Eigenschaften!$B$20:$B$27)</f>
        <v>Klugheit</v>
      </c>
      <c r="M220" s="295">
        <f>_xlfn.XLOOKUP(L220,Eigenschaften!$B$20:$B$27,Eigenschaften!$H$20:$H$27,"NaN",1)</f>
        <v>12</v>
      </c>
      <c r="N220" s="295" t="str">
        <f>_xlfn.XLOOKUP(T220,Eigenschaften!$C$20:$C$27,Eigenschaften!$B$20:$B$27)</f>
        <v>Charisma</v>
      </c>
      <c r="O220" s="295">
        <f>_xlfn.XLOOKUP(N220,Eigenschaften!$B$20:$B$27,Eigenschaften!$H$20:$H$27,"NaN",1)</f>
        <v>15</v>
      </c>
      <c r="P220" s="295" t="str">
        <f>_xlfn.XLOOKUP(U220,Eigenschaften!$C$20:$C$27,Eigenschaften!$B$20:$B$27)</f>
        <v>Fingerfertigkeit</v>
      </c>
      <c r="Q220" s="295">
        <f>_xlfn.XLOOKUP(P220,Eigenschaften!$B$20:$B$27,Eigenschaften!$H$20:$H$27,"NaN",1)</f>
        <v>10</v>
      </c>
      <c r="R220" s="244"/>
      <c r="S220" s="244" t="str" cm="1">
        <f t="array" ref="S220:U220">_xlfn.TEXTSPLIT(F220,"/",,,,3)</f>
        <v>KL</v>
      </c>
      <c r="T220" s="244" t="str">
        <v>CH</v>
      </c>
      <c r="U220" s="244" t="str">
        <v>FF</v>
      </c>
      <c r="V220" s="298">
        <f t="shared" si="64"/>
        <v>0</v>
      </c>
      <c r="W220" s="298">
        <f t="shared" si="64"/>
        <v>0</v>
      </c>
      <c r="X220" s="298">
        <f t="shared" si="64"/>
        <v>0</v>
      </c>
      <c r="Y220" s="298">
        <f t="shared" si="64"/>
        <v>0</v>
      </c>
      <c r="Z220" s="298">
        <f t="shared" si="64"/>
        <v>0</v>
      </c>
      <c r="AA220" s="298">
        <f t="shared" si="64"/>
        <v>0</v>
      </c>
      <c r="AB220" s="298">
        <f t="shared" si="64"/>
        <v>0</v>
      </c>
      <c r="AC220" s="298">
        <f t="shared" si="64"/>
        <v>0</v>
      </c>
      <c r="AD220" s="298">
        <f t="shared" si="64"/>
        <v>0</v>
      </c>
      <c r="AE220" s="298">
        <f t="shared" si="64"/>
        <v>0</v>
      </c>
      <c r="AF220" s="298">
        <f t="shared" si="65"/>
        <v>0</v>
      </c>
      <c r="AG220" s="298">
        <f t="shared" si="65"/>
        <v>1</v>
      </c>
      <c r="AH220" s="298">
        <f t="shared" si="65"/>
        <v>0</v>
      </c>
      <c r="AI220" s="298">
        <f t="shared" si="65"/>
        <v>0</v>
      </c>
      <c r="AJ220" s="298">
        <f t="shared" si="65"/>
        <v>0</v>
      </c>
      <c r="AK220" s="298">
        <f t="shared" si="65"/>
        <v>0</v>
      </c>
      <c r="AL220" s="298">
        <f t="shared" si="65"/>
        <v>0</v>
      </c>
      <c r="AM220" s="298">
        <f t="shared" si="65"/>
        <v>0</v>
      </c>
      <c r="AN220" s="298">
        <f t="shared" si="65"/>
        <v>0</v>
      </c>
      <c r="AO220" s="298">
        <f t="shared" si="65"/>
        <v>0</v>
      </c>
      <c r="AP220" s="298">
        <f t="shared" si="66"/>
        <v>0</v>
      </c>
      <c r="AQ220" s="298">
        <f t="shared" si="66"/>
        <v>0</v>
      </c>
      <c r="AR220" s="298">
        <f t="shared" si="66"/>
        <v>0</v>
      </c>
      <c r="AS220" s="298">
        <f t="shared" si="66"/>
        <v>0</v>
      </c>
      <c r="AT220" s="298">
        <f t="shared" si="66"/>
        <v>0</v>
      </c>
      <c r="AU220" s="298">
        <f t="shared" si="66"/>
        <v>0</v>
      </c>
      <c r="AV220" s="298">
        <f t="shared" si="66"/>
        <v>0</v>
      </c>
      <c r="AW220" s="244"/>
      <c r="AX220" s="244"/>
      <c r="AY220" s="244"/>
      <c r="AZ220" s="244"/>
      <c r="BA220" s="244"/>
      <c r="BB220" s="244"/>
    </row>
    <row r="221" spans="1:54" hidden="1">
      <c r="A221" s="331" t="s">
        <v>872</v>
      </c>
      <c r="B221" s="295" t="str">
        <f t="shared" si="47"/>
        <v>Klugheit: 12 | Klugheit: 12 | Konstitution: 12</v>
      </c>
      <c r="C221" s="308" t="b">
        <v>0</v>
      </c>
      <c r="D221" s="308" t="b">
        <v>0</v>
      </c>
      <c r="E221" s="308" t="b">
        <f t="shared" si="48"/>
        <v>0</v>
      </c>
      <c r="F221" t="s">
        <v>824</v>
      </c>
      <c r="G221" t="s">
        <v>110</v>
      </c>
      <c r="H221" t="s">
        <v>372</v>
      </c>
      <c r="I221" t="s">
        <v>873</v>
      </c>
      <c r="J221" s="295">
        <f>_xlfn.XLOOKUP(G221,Rechner!$A$17:$A$25,Rechner!$B$17:$B$25)</f>
        <v>4</v>
      </c>
      <c r="K221" s="295" t="str">
        <f>_xlfn.XLOOKUP(J221-SUMIF($V$31:$AV$31,TRUE,V221:AV221)-IF(D221=TRUE,1,0),Rechner!$B$17:$B$25,Rechner!$A$17:$A$25,"A+")</f>
        <v>C</v>
      </c>
      <c r="L221" s="295" t="str">
        <f>_xlfn.XLOOKUP(S221,Eigenschaften!$C$20:$C$27,Eigenschaften!$B$20:$B$27)</f>
        <v>Klugheit</v>
      </c>
      <c r="M221" s="295">
        <f>_xlfn.XLOOKUP(L221,Eigenschaften!$B$20:$B$27,Eigenschaften!$H$20:$H$27,"NaN",1)</f>
        <v>12</v>
      </c>
      <c r="N221" s="295" t="str">
        <f>_xlfn.XLOOKUP(T221,Eigenschaften!$C$20:$C$27,Eigenschaften!$B$20:$B$27)</f>
        <v>Klugheit</v>
      </c>
      <c r="O221" s="295">
        <f>_xlfn.XLOOKUP(N221,Eigenschaften!$B$20:$B$27,Eigenschaften!$H$20:$H$27,"NaN",1)</f>
        <v>12</v>
      </c>
      <c r="P221" s="295" t="str">
        <f>_xlfn.XLOOKUP(U221,Eigenschaften!$C$20:$C$27,Eigenschaften!$B$20:$B$27)</f>
        <v>Konstitution</v>
      </c>
      <c r="Q221" s="295">
        <f>_xlfn.XLOOKUP(P221,Eigenschaften!$B$20:$B$27,Eigenschaften!$H$20:$H$27,"NaN",1)</f>
        <v>12</v>
      </c>
      <c r="R221" s="244"/>
      <c r="S221" s="244" t="str" cm="1">
        <f t="array" ref="S221:U221">_xlfn.TEXTSPLIT(F221,"/",,,,3)</f>
        <v>KL</v>
      </c>
      <c r="T221" s="244" t="str">
        <v>KL</v>
      </c>
      <c r="U221" s="244" t="str">
        <v>KO</v>
      </c>
      <c r="V221" s="298">
        <f t="shared" si="64"/>
        <v>0</v>
      </c>
      <c r="W221" s="298">
        <f t="shared" si="64"/>
        <v>0</v>
      </c>
      <c r="X221" s="298">
        <f t="shared" si="64"/>
        <v>0</v>
      </c>
      <c r="Y221" s="298">
        <f t="shared" si="64"/>
        <v>0</v>
      </c>
      <c r="Z221" s="298">
        <f t="shared" si="64"/>
        <v>0</v>
      </c>
      <c r="AA221" s="298">
        <f t="shared" si="64"/>
        <v>0</v>
      </c>
      <c r="AB221" s="298">
        <f t="shared" si="64"/>
        <v>0</v>
      </c>
      <c r="AC221" s="298">
        <f t="shared" si="64"/>
        <v>0</v>
      </c>
      <c r="AD221" s="298">
        <f t="shared" si="64"/>
        <v>0</v>
      </c>
      <c r="AE221" s="298">
        <f t="shared" si="64"/>
        <v>0</v>
      </c>
      <c r="AF221" s="298">
        <f t="shared" si="65"/>
        <v>0</v>
      </c>
      <c r="AG221" s="298">
        <f t="shared" si="65"/>
        <v>0</v>
      </c>
      <c r="AH221" s="298">
        <f t="shared" si="65"/>
        <v>0</v>
      </c>
      <c r="AI221" s="298">
        <f t="shared" si="65"/>
        <v>0</v>
      </c>
      <c r="AJ221" s="298">
        <f t="shared" si="65"/>
        <v>1</v>
      </c>
      <c r="AK221" s="298">
        <f t="shared" si="65"/>
        <v>0</v>
      </c>
      <c r="AL221" s="298">
        <f t="shared" si="65"/>
        <v>0</v>
      </c>
      <c r="AM221" s="298">
        <f t="shared" si="65"/>
        <v>0</v>
      </c>
      <c r="AN221" s="298">
        <f t="shared" si="65"/>
        <v>0</v>
      </c>
      <c r="AO221" s="298">
        <f t="shared" si="65"/>
        <v>0</v>
      </c>
      <c r="AP221" s="298">
        <f t="shared" si="66"/>
        <v>0</v>
      </c>
      <c r="AQ221" s="298">
        <f t="shared" si="66"/>
        <v>0</v>
      </c>
      <c r="AR221" s="298">
        <f t="shared" si="66"/>
        <v>0</v>
      </c>
      <c r="AS221" s="298">
        <f t="shared" si="66"/>
        <v>0</v>
      </c>
      <c r="AT221" s="298">
        <f t="shared" si="66"/>
        <v>0</v>
      </c>
      <c r="AU221" s="298">
        <f t="shared" si="66"/>
        <v>0</v>
      </c>
      <c r="AV221" s="298">
        <f t="shared" si="66"/>
        <v>0</v>
      </c>
      <c r="AW221" s="244"/>
      <c r="AX221" s="244"/>
      <c r="AY221" s="244"/>
      <c r="AZ221" s="244"/>
      <c r="BA221" s="244"/>
      <c r="BB221" s="244"/>
    </row>
    <row r="222" spans="1:54" hidden="1">
      <c r="A222" s="331" t="s">
        <v>874</v>
      </c>
      <c r="B222" s="295" t="str">
        <f t="shared" si="47"/>
        <v>Mut: 13 | Mut: 13 | Charisma: 15</v>
      </c>
      <c r="C222" s="308" t="b">
        <v>0</v>
      </c>
      <c r="D222" s="308" t="b">
        <v>0</v>
      </c>
      <c r="E222" s="308" t="b">
        <f t="shared" si="48"/>
        <v>1</v>
      </c>
      <c r="F222" t="s">
        <v>527</v>
      </c>
      <c r="G222" t="s">
        <v>113</v>
      </c>
      <c r="H222" t="s">
        <v>645</v>
      </c>
      <c r="I222" t="s">
        <v>875</v>
      </c>
      <c r="J222" s="295">
        <f>_xlfn.XLOOKUP(G222,Rechner!$A$17:$A$25,Rechner!$B$17:$B$25)</f>
        <v>5</v>
      </c>
      <c r="K222" s="295" t="str">
        <f>_xlfn.XLOOKUP(J222-SUMIF($V$31:$AV$31,TRUE,V222:AV222)-IF(D222=TRUE,1,0),Rechner!$B$17:$B$25,Rechner!$A$17:$A$25,"A+")</f>
        <v>D</v>
      </c>
      <c r="L222" s="295" t="str">
        <f>_xlfn.XLOOKUP(S222,Eigenschaften!$C$20:$C$27,Eigenschaften!$B$20:$B$27)</f>
        <v>Mut</v>
      </c>
      <c r="M222" s="295">
        <f>_xlfn.XLOOKUP(L222,Eigenschaften!$B$20:$B$27,Eigenschaften!$H$20:$H$27,"NaN",1)</f>
        <v>13</v>
      </c>
      <c r="N222" s="295" t="str">
        <f>_xlfn.XLOOKUP(T222,Eigenschaften!$C$20:$C$27,Eigenschaften!$B$20:$B$27)</f>
        <v>Mut</v>
      </c>
      <c r="O222" s="295">
        <f>_xlfn.XLOOKUP(N222,Eigenschaften!$B$20:$B$27,Eigenschaften!$H$20:$H$27,"NaN",1)</f>
        <v>13</v>
      </c>
      <c r="P222" s="295" t="str">
        <f>_xlfn.XLOOKUP(U222,Eigenschaften!$C$20:$C$27,Eigenschaften!$B$20:$B$27)</f>
        <v>Charisma</v>
      </c>
      <c r="Q222" s="295">
        <f>_xlfn.XLOOKUP(P222,Eigenschaften!$B$20:$B$27,Eigenschaften!$H$20:$H$27,"NaN",1)</f>
        <v>15</v>
      </c>
      <c r="R222" s="244"/>
      <c r="S222" s="244" t="str" cm="1">
        <f t="array" ref="S222:U222">_xlfn.TEXTSPLIT(F222,"/",,,,3)</f>
        <v>MU</v>
      </c>
      <c r="T222" s="244" t="str">
        <v>MU</v>
      </c>
      <c r="U222" s="244" t="str">
        <v>CH</v>
      </c>
      <c r="V222" s="298">
        <f t="shared" si="64"/>
        <v>1</v>
      </c>
      <c r="W222" s="298">
        <f t="shared" si="64"/>
        <v>1</v>
      </c>
      <c r="X222" s="298">
        <f t="shared" si="64"/>
        <v>0</v>
      </c>
      <c r="Y222" s="298">
        <f t="shared" si="64"/>
        <v>0</v>
      </c>
      <c r="Z222" s="298">
        <f t="shared" si="64"/>
        <v>0</v>
      </c>
      <c r="AA222" s="298">
        <f t="shared" si="64"/>
        <v>0</v>
      </c>
      <c r="AB222" s="298">
        <f t="shared" si="64"/>
        <v>0</v>
      </c>
      <c r="AC222" s="298">
        <f t="shared" si="64"/>
        <v>1</v>
      </c>
      <c r="AD222" s="298">
        <f t="shared" si="64"/>
        <v>0</v>
      </c>
      <c r="AE222" s="298">
        <f t="shared" si="64"/>
        <v>0</v>
      </c>
      <c r="AF222" s="298">
        <f t="shared" si="65"/>
        <v>0</v>
      </c>
      <c r="AG222" s="298">
        <f t="shared" si="65"/>
        <v>0</v>
      </c>
      <c r="AH222" s="298">
        <f t="shared" si="65"/>
        <v>1</v>
      </c>
      <c r="AI222" s="298">
        <f t="shared" si="65"/>
        <v>0</v>
      </c>
      <c r="AJ222" s="298">
        <f t="shared" si="65"/>
        <v>0</v>
      </c>
      <c r="AK222" s="298">
        <f t="shared" si="65"/>
        <v>0</v>
      </c>
      <c r="AL222" s="298">
        <f t="shared" si="65"/>
        <v>0</v>
      </c>
      <c r="AM222" s="298">
        <f t="shared" si="65"/>
        <v>0</v>
      </c>
      <c r="AN222" s="298">
        <f t="shared" si="65"/>
        <v>0</v>
      </c>
      <c r="AO222" s="298">
        <f t="shared" si="65"/>
        <v>0</v>
      </c>
      <c r="AP222" s="298">
        <f t="shared" si="66"/>
        <v>0</v>
      </c>
      <c r="AQ222" s="298">
        <f t="shared" si="66"/>
        <v>0</v>
      </c>
      <c r="AR222" s="298">
        <f t="shared" si="66"/>
        <v>0</v>
      </c>
      <c r="AS222" s="298">
        <f t="shared" si="66"/>
        <v>0</v>
      </c>
      <c r="AT222" s="298">
        <f t="shared" si="66"/>
        <v>0</v>
      </c>
      <c r="AU222" s="298">
        <f t="shared" si="66"/>
        <v>0</v>
      </c>
      <c r="AV222" s="298">
        <f t="shared" si="66"/>
        <v>0</v>
      </c>
      <c r="AW222" s="244"/>
      <c r="AX222" s="244"/>
      <c r="AY222" s="244"/>
      <c r="AZ222" s="244"/>
      <c r="BA222" s="244"/>
      <c r="BB222" s="244"/>
    </row>
    <row r="223" spans="1:54" hidden="1">
      <c r="A223" s="331" t="s">
        <v>876</v>
      </c>
      <c r="B223" s="295" t="str">
        <f t="shared" si="47"/>
        <v>Klugheit: 12 | Intuition: 15 | Charisma: 15</v>
      </c>
      <c r="C223" s="308" t="b">
        <v>0</v>
      </c>
      <c r="D223" s="308" t="b">
        <v>0</v>
      </c>
      <c r="E223" s="308" t="b">
        <f t="shared" si="48"/>
        <v>1</v>
      </c>
      <c r="F223" t="s">
        <v>307</v>
      </c>
      <c r="G223" t="s">
        <v>110</v>
      </c>
      <c r="H223" t="s">
        <v>372</v>
      </c>
      <c r="I223" t="s">
        <v>877</v>
      </c>
      <c r="J223" s="295">
        <f>_xlfn.XLOOKUP(G223,Rechner!$A$17:$A$25,Rechner!$B$17:$B$25)</f>
        <v>4</v>
      </c>
      <c r="K223" s="295" t="str">
        <f>_xlfn.XLOOKUP(J223-SUMIF($V$31:$AV$31,TRUE,V223:AV223)-IF(D223=TRUE,1,0),Rechner!$B$17:$B$25,Rechner!$A$17:$A$25,"A+")</f>
        <v>C</v>
      </c>
      <c r="L223" s="295" t="str">
        <f>_xlfn.XLOOKUP(S223,Eigenschaften!$C$20:$C$27,Eigenschaften!$B$20:$B$27)</f>
        <v>Klugheit</v>
      </c>
      <c r="M223" s="295">
        <f>_xlfn.XLOOKUP(L223,Eigenschaften!$B$20:$B$27,Eigenschaften!$H$20:$H$27,"NaN",1)</f>
        <v>12</v>
      </c>
      <c r="N223" s="295" t="str">
        <f>_xlfn.XLOOKUP(T223,Eigenschaften!$C$20:$C$27,Eigenschaften!$B$20:$B$27)</f>
        <v>Intuition</v>
      </c>
      <c r="O223" s="295">
        <f>_xlfn.XLOOKUP(N223,Eigenschaften!$B$20:$B$27,Eigenschaften!$H$20:$H$27,"NaN",1)</f>
        <v>15</v>
      </c>
      <c r="P223" s="295" t="str">
        <f>_xlfn.XLOOKUP(U223,Eigenschaften!$C$20:$C$27,Eigenschaften!$B$20:$B$27)</f>
        <v>Charisma</v>
      </c>
      <c r="Q223" s="295">
        <f>_xlfn.XLOOKUP(P223,Eigenschaften!$B$20:$B$27,Eigenschaften!$H$20:$H$27,"NaN",1)</f>
        <v>15</v>
      </c>
      <c r="R223" s="244"/>
      <c r="S223" s="244" t="str" cm="1">
        <f t="array" ref="S223:U223">_xlfn.TEXTSPLIT(F223,"/",,,,3)</f>
        <v>KL</v>
      </c>
      <c r="T223" s="244" t="str">
        <v>IN</v>
      </c>
      <c r="U223" s="244" t="str">
        <v>CH</v>
      </c>
      <c r="V223" s="298">
        <f t="shared" si="64"/>
        <v>0</v>
      </c>
      <c r="W223" s="298">
        <f t="shared" si="64"/>
        <v>0</v>
      </c>
      <c r="X223" s="298">
        <f t="shared" si="64"/>
        <v>0</v>
      </c>
      <c r="Y223" s="298">
        <f t="shared" si="64"/>
        <v>0</v>
      </c>
      <c r="Z223" s="298">
        <f t="shared" si="64"/>
        <v>0</v>
      </c>
      <c r="AA223" s="298">
        <f t="shared" si="64"/>
        <v>0</v>
      </c>
      <c r="AB223" s="298">
        <f t="shared" si="64"/>
        <v>0</v>
      </c>
      <c r="AC223" s="298">
        <f t="shared" si="64"/>
        <v>0</v>
      </c>
      <c r="AD223" s="298">
        <f t="shared" si="64"/>
        <v>0</v>
      </c>
      <c r="AE223" s="298">
        <f t="shared" si="64"/>
        <v>0</v>
      </c>
      <c r="AF223" s="298">
        <f t="shared" si="65"/>
        <v>0</v>
      </c>
      <c r="AG223" s="298">
        <f t="shared" si="65"/>
        <v>0</v>
      </c>
      <c r="AH223" s="298">
        <f t="shared" si="65"/>
        <v>0</v>
      </c>
      <c r="AI223" s="298">
        <f t="shared" si="65"/>
        <v>0</v>
      </c>
      <c r="AJ223" s="298">
        <f t="shared" si="65"/>
        <v>1</v>
      </c>
      <c r="AK223" s="298">
        <f t="shared" si="65"/>
        <v>0</v>
      </c>
      <c r="AL223" s="298">
        <f t="shared" si="65"/>
        <v>0</v>
      </c>
      <c r="AM223" s="298">
        <f t="shared" si="65"/>
        <v>0</v>
      </c>
      <c r="AN223" s="298">
        <f t="shared" si="65"/>
        <v>0</v>
      </c>
      <c r="AO223" s="298">
        <f t="shared" si="65"/>
        <v>0</v>
      </c>
      <c r="AP223" s="298">
        <f t="shared" si="66"/>
        <v>0</v>
      </c>
      <c r="AQ223" s="298">
        <f t="shared" si="66"/>
        <v>0</v>
      </c>
      <c r="AR223" s="298">
        <f t="shared" si="66"/>
        <v>0</v>
      </c>
      <c r="AS223" s="298">
        <f t="shared" si="66"/>
        <v>0</v>
      </c>
      <c r="AT223" s="298">
        <f t="shared" si="66"/>
        <v>0</v>
      </c>
      <c r="AU223" s="298">
        <f t="shared" si="66"/>
        <v>0</v>
      </c>
      <c r="AV223" s="298">
        <f t="shared" si="66"/>
        <v>0</v>
      </c>
      <c r="AW223" s="244"/>
      <c r="AX223" s="244"/>
      <c r="AY223" s="244"/>
      <c r="AZ223" s="244"/>
      <c r="BA223" s="244"/>
      <c r="BB223" s="244"/>
    </row>
    <row r="224" spans="1:54" hidden="1">
      <c r="A224" s="331" t="s">
        <v>878</v>
      </c>
      <c r="B224" s="295" t="str">
        <f t="shared" si="47"/>
        <v>Klugheit: 12 | Intuition: 15 | Charisma: 15</v>
      </c>
      <c r="C224" s="308" t="b">
        <v>0</v>
      </c>
      <c r="D224" s="308" t="b">
        <v>0</v>
      </c>
      <c r="E224" s="308" t="b">
        <f t="shared" si="48"/>
        <v>0</v>
      </c>
      <c r="F224" t="s">
        <v>307</v>
      </c>
      <c r="G224" t="s">
        <v>110</v>
      </c>
      <c r="H224" t="s">
        <v>879</v>
      </c>
      <c r="I224" t="s">
        <v>880</v>
      </c>
      <c r="J224" s="295">
        <f>_xlfn.XLOOKUP(G224,Rechner!$A$17:$A$25,Rechner!$B$17:$B$25)</f>
        <v>4</v>
      </c>
      <c r="K224" s="295" t="str">
        <f>_xlfn.XLOOKUP(J224-SUMIF($V$31:$AV$31,TRUE,V224:AV224)-IF(D224=TRUE,1,0),Rechner!$B$17:$B$25,Rechner!$A$17:$A$25,"A+")</f>
        <v>C</v>
      </c>
      <c r="L224" s="295" t="str">
        <f>_xlfn.XLOOKUP(S224,Eigenschaften!$C$20:$C$27,Eigenschaften!$B$20:$B$27)</f>
        <v>Klugheit</v>
      </c>
      <c r="M224" s="295">
        <f>_xlfn.XLOOKUP(L224,Eigenschaften!$B$20:$B$27,Eigenschaften!$H$20:$H$27,"NaN",1)</f>
        <v>12</v>
      </c>
      <c r="N224" s="295" t="str">
        <f>_xlfn.XLOOKUP(T224,Eigenschaften!$C$20:$C$27,Eigenschaften!$B$20:$B$27)</f>
        <v>Intuition</v>
      </c>
      <c r="O224" s="295">
        <f>_xlfn.XLOOKUP(N224,Eigenschaften!$B$20:$B$27,Eigenschaften!$H$20:$H$27,"NaN",1)</f>
        <v>15</v>
      </c>
      <c r="P224" s="295" t="str">
        <f>_xlfn.XLOOKUP(U224,Eigenschaften!$C$20:$C$27,Eigenschaften!$B$20:$B$27)</f>
        <v>Charisma</v>
      </c>
      <c r="Q224" s="295">
        <f>_xlfn.XLOOKUP(P224,Eigenschaften!$B$20:$B$27,Eigenschaften!$H$20:$H$27,"NaN",1)</f>
        <v>15</v>
      </c>
      <c r="R224" s="244"/>
      <c r="S224" s="244" t="str" cm="1">
        <f t="array" ref="S224:U224">_xlfn.TEXTSPLIT(F224,"/",,,,3)</f>
        <v>KL</v>
      </c>
      <c r="T224" s="244" t="str">
        <v>IN</v>
      </c>
      <c r="U224" s="244" t="str">
        <v>CH</v>
      </c>
      <c r="V224" s="298">
        <f t="shared" si="64"/>
        <v>0</v>
      </c>
      <c r="W224" s="298">
        <f t="shared" si="64"/>
        <v>0</v>
      </c>
      <c r="X224" s="298">
        <f t="shared" si="64"/>
        <v>0</v>
      </c>
      <c r="Y224" s="298">
        <f t="shared" si="64"/>
        <v>1</v>
      </c>
      <c r="Z224" s="298">
        <f t="shared" si="64"/>
        <v>0</v>
      </c>
      <c r="AA224" s="298">
        <f t="shared" si="64"/>
        <v>0</v>
      </c>
      <c r="AB224" s="298">
        <f t="shared" si="64"/>
        <v>0</v>
      </c>
      <c r="AC224" s="298">
        <f t="shared" si="64"/>
        <v>0</v>
      </c>
      <c r="AD224" s="298">
        <f t="shared" si="64"/>
        <v>1</v>
      </c>
      <c r="AE224" s="298">
        <f t="shared" si="64"/>
        <v>0</v>
      </c>
      <c r="AF224" s="298">
        <f t="shared" si="65"/>
        <v>0</v>
      </c>
      <c r="AG224" s="298">
        <f t="shared" si="65"/>
        <v>0</v>
      </c>
      <c r="AH224" s="298">
        <f t="shared" si="65"/>
        <v>0</v>
      </c>
      <c r="AI224" s="298">
        <f t="shared" si="65"/>
        <v>0</v>
      </c>
      <c r="AJ224" s="298">
        <f t="shared" si="65"/>
        <v>0</v>
      </c>
      <c r="AK224" s="298">
        <f t="shared" si="65"/>
        <v>0</v>
      </c>
      <c r="AL224" s="298">
        <f t="shared" si="65"/>
        <v>0</v>
      </c>
      <c r="AM224" s="298">
        <f t="shared" si="65"/>
        <v>0</v>
      </c>
      <c r="AN224" s="298">
        <f t="shared" si="65"/>
        <v>0</v>
      </c>
      <c r="AO224" s="298">
        <f t="shared" si="65"/>
        <v>0</v>
      </c>
      <c r="AP224" s="298">
        <f t="shared" si="66"/>
        <v>0</v>
      </c>
      <c r="AQ224" s="298">
        <f t="shared" si="66"/>
        <v>1</v>
      </c>
      <c r="AR224" s="298">
        <f t="shared" si="66"/>
        <v>0</v>
      </c>
      <c r="AS224" s="298">
        <f t="shared" si="66"/>
        <v>0</v>
      </c>
      <c r="AT224" s="298">
        <f t="shared" si="66"/>
        <v>0</v>
      </c>
      <c r="AU224" s="298">
        <f t="shared" si="66"/>
        <v>0</v>
      </c>
      <c r="AV224" s="298">
        <f t="shared" si="66"/>
        <v>0</v>
      </c>
      <c r="AW224" s="244"/>
      <c r="AX224" s="244"/>
      <c r="AY224" s="244"/>
      <c r="AZ224" s="244"/>
      <c r="BA224" s="244"/>
      <c r="BB224" s="244"/>
    </row>
    <row r="225" spans="1:54" hidden="1">
      <c r="A225" s="331" t="s">
        <v>881</v>
      </c>
      <c r="B225" s="295" t="str">
        <f t="shared" si="47"/>
        <v>Klugheit: 12 | Intuition: 15 | Charisma: 15</v>
      </c>
      <c r="C225" s="308" t="b">
        <v>0</v>
      </c>
      <c r="D225" s="308" t="b">
        <v>0</v>
      </c>
      <c r="E225" s="308" t="b">
        <f t="shared" si="48"/>
        <v>0</v>
      </c>
      <c r="F225" t="s">
        <v>307</v>
      </c>
      <c r="G225" t="s">
        <v>110</v>
      </c>
      <c r="H225" t="s">
        <v>827</v>
      </c>
      <c r="I225" t="s">
        <v>882</v>
      </c>
      <c r="J225" s="295">
        <f>_xlfn.XLOOKUP(G225,Rechner!$A$17:$A$25,Rechner!$B$17:$B$25)</f>
        <v>4</v>
      </c>
      <c r="K225" s="295" t="str">
        <f>_xlfn.XLOOKUP(J225-SUMIF($V$31:$AV$31,TRUE,V225:AV225)-IF(D225=TRUE,1,0),Rechner!$B$17:$B$25,Rechner!$A$17:$A$25,"A+")</f>
        <v>C</v>
      </c>
      <c r="L225" s="295" t="str">
        <f>_xlfn.XLOOKUP(S225,Eigenschaften!$C$20:$C$27,Eigenschaften!$B$20:$B$27)</f>
        <v>Klugheit</v>
      </c>
      <c r="M225" s="295">
        <f>_xlfn.XLOOKUP(L225,Eigenschaften!$B$20:$B$27,Eigenschaften!$H$20:$H$27,"NaN",1)</f>
        <v>12</v>
      </c>
      <c r="N225" s="295" t="str">
        <f>_xlfn.XLOOKUP(T225,Eigenschaften!$C$20:$C$27,Eigenschaften!$B$20:$B$27)</f>
        <v>Intuition</v>
      </c>
      <c r="O225" s="295">
        <f>_xlfn.XLOOKUP(N225,Eigenschaften!$B$20:$B$27,Eigenschaften!$H$20:$H$27,"NaN",1)</f>
        <v>15</v>
      </c>
      <c r="P225" s="295" t="str">
        <f>_xlfn.XLOOKUP(U225,Eigenschaften!$C$20:$C$27,Eigenschaften!$B$20:$B$27)</f>
        <v>Charisma</v>
      </c>
      <c r="Q225" s="295">
        <f>_xlfn.XLOOKUP(P225,Eigenschaften!$B$20:$B$27,Eigenschaften!$H$20:$H$27,"NaN",1)</f>
        <v>15</v>
      </c>
      <c r="R225" s="244"/>
      <c r="S225" s="244" t="str" cm="1">
        <f t="array" ref="S225:U225">_xlfn.TEXTSPLIT(F225,"/",,,,3)</f>
        <v>KL</v>
      </c>
      <c r="T225" s="244" t="str">
        <v>IN</v>
      </c>
      <c r="U225" s="244" t="str">
        <v>CH</v>
      </c>
      <c r="V225" s="298">
        <f t="shared" si="64"/>
        <v>0</v>
      </c>
      <c r="W225" s="298">
        <f t="shared" si="64"/>
        <v>0</v>
      </c>
      <c r="X225" s="298">
        <f t="shared" si="64"/>
        <v>0</v>
      </c>
      <c r="Y225" s="298">
        <f t="shared" si="64"/>
        <v>1</v>
      </c>
      <c r="Z225" s="298">
        <f t="shared" si="64"/>
        <v>0</v>
      </c>
      <c r="AA225" s="298">
        <f t="shared" si="64"/>
        <v>0</v>
      </c>
      <c r="AB225" s="298">
        <f t="shared" si="64"/>
        <v>0</v>
      </c>
      <c r="AC225" s="298">
        <f t="shared" si="64"/>
        <v>1</v>
      </c>
      <c r="AD225" s="298">
        <f t="shared" si="64"/>
        <v>0</v>
      </c>
      <c r="AE225" s="298">
        <f t="shared" si="64"/>
        <v>0</v>
      </c>
      <c r="AF225" s="298">
        <f t="shared" si="65"/>
        <v>0</v>
      </c>
      <c r="AG225" s="298">
        <f t="shared" si="65"/>
        <v>0</v>
      </c>
      <c r="AH225" s="298">
        <f t="shared" si="65"/>
        <v>0</v>
      </c>
      <c r="AI225" s="298">
        <f t="shared" si="65"/>
        <v>0</v>
      </c>
      <c r="AJ225" s="298">
        <f t="shared" si="65"/>
        <v>0</v>
      </c>
      <c r="AK225" s="298">
        <f t="shared" si="65"/>
        <v>0</v>
      </c>
      <c r="AL225" s="298">
        <f t="shared" si="65"/>
        <v>0</v>
      </c>
      <c r="AM225" s="298">
        <f t="shared" si="65"/>
        <v>0</v>
      </c>
      <c r="AN225" s="298">
        <f t="shared" si="65"/>
        <v>0</v>
      </c>
      <c r="AO225" s="298">
        <f t="shared" si="65"/>
        <v>0</v>
      </c>
      <c r="AP225" s="298">
        <f t="shared" si="66"/>
        <v>0</v>
      </c>
      <c r="AQ225" s="298">
        <f t="shared" si="66"/>
        <v>1</v>
      </c>
      <c r="AR225" s="298">
        <f t="shared" si="66"/>
        <v>0</v>
      </c>
      <c r="AS225" s="298">
        <f t="shared" si="66"/>
        <v>0</v>
      </c>
      <c r="AT225" s="298">
        <f t="shared" si="66"/>
        <v>0</v>
      </c>
      <c r="AU225" s="298">
        <f t="shared" si="66"/>
        <v>0</v>
      </c>
      <c r="AV225" s="298">
        <f t="shared" si="66"/>
        <v>0</v>
      </c>
      <c r="AW225" s="244"/>
      <c r="AX225" s="244"/>
      <c r="AY225" s="244"/>
      <c r="AZ225" s="244"/>
      <c r="BA225" s="244"/>
      <c r="BB225" s="244"/>
    </row>
    <row r="226" spans="1:54" hidden="1">
      <c r="A226" s="331" t="s">
        <v>883</v>
      </c>
      <c r="B226" s="295" t="str">
        <f t="shared" si="47"/>
        <v>Klugheit: 12 | Intuition: 15 | Charisma: 15</v>
      </c>
      <c r="C226" s="308" t="b">
        <v>0</v>
      </c>
      <c r="D226" s="308" t="b">
        <v>0</v>
      </c>
      <c r="E226" s="308" t="b">
        <f t="shared" si="48"/>
        <v>0</v>
      </c>
      <c r="F226" t="s">
        <v>307</v>
      </c>
      <c r="G226" t="s">
        <v>110</v>
      </c>
      <c r="H226" t="s">
        <v>396</v>
      </c>
      <c r="I226" t="s">
        <v>413</v>
      </c>
      <c r="J226" s="295">
        <f>_xlfn.XLOOKUP(G226,Rechner!$A$17:$A$25,Rechner!$B$17:$B$25)</f>
        <v>4</v>
      </c>
      <c r="K226" s="295" t="str">
        <f>_xlfn.XLOOKUP(J226-SUMIF($V$31:$AV$31,TRUE,V226:AV226)-IF(D226=TRUE,1,0),Rechner!$B$17:$B$25,Rechner!$A$17:$A$25,"A+")</f>
        <v>C</v>
      </c>
      <c r="L226" s="295" t="str">
        <f>_xlfn.XLOOKUP(S226,Eigenschaften!$C$20:$C$27,Eigenschaften!$B$20:$B$27)</f>
        <v>Klugheit</v>
      </c>
      <c r="M226" s="295">
        <f>_xlfn.XLOOKUP(L226,Eigenschaften!$B$20:$B$27,Eigenschaften!$H$20:$H$27,"NaN",1)</f>
        <v>12</v>
      </c>
      <c r="N226" s="295" t="str">
        <f>_xlfn.XLOOKUP(T226,Eigenschaften!$C$20:$C$27,Eigenschaften!$B$20:$B$27)</f>
        <v>Intuition</v>
      </c>
      <c r="O226" s="295">
        <f>_xlfn.XLOOKUP(N226,Eigenschaften!$B$20:$B$27,Eigenschaften!$H$20:$H$27,"NaN",1)</f>
        <v>15</v>
      </c>
      <c r="P226" s="295" t="str">
        <f>_xlfn.XLOOKUP(U226,Eigenschaften!$C$20:$C$27,Eigenschaften!$B$20:$B$27)</f>
        <v>Charisma</v>
      </c>
      <c r="Q226" s="295">
        <f>_xlfn.XLOOKUP(P226,Eigenschaften!$B$20:$B$27,Eigenschaften!$H$20:$H$27,"NaN",1)</f>
        <v>15</v>
      </c>
      <c r="R226" s="244"/>
      <c r="S226" s="244" t="str" cm="1">
        <f t="array" ref="S226:U226">_xlfn.TEXTSPLIT(F226,"/",,,,3)</f>
        <v>KL</v>
      </c>
      <c r="T226" s="244" t="str">
        <v>IN</v>
      </c>
      <c r="U226" s="244" t="str">
        <v>CH</v>
      </c>
      <c r="V226" s="298">
        <f t="shared" ref="V226:AE235" si="67">IF(ISNUMBER(SEARCH(V$32,$H226)),1,0)</f>
        <v>0</v>
      </c>
      <c r="W226" s="298">
        <f t="shared" si="67"/>
        <v>0</v>
      </c>
      <c r="X226" s="298">
        <f t="shared" si="67"/>
        <v>0</v>
      </c>
      <c r="Y226" s="298">
        <f t="shared" si="67"/>
        <v>1</v>
      </c>
      <c r="Z226" s="298">
        <f t="shared" si="67"/>
        <v>0</v>
      </c>
      <c r="AA226" s="298">
        <f t="shared" si="67"/>
        <v>0</v>
      </c>
      <c r="AB226" s="298">
        <f t="shared" si="67"/>
        <v>1</v>
      </c>
      <c r="AC226" s="298">
        <f t="shared" si="67"/>
        <v>0</v>
      </c>
      <c r="AD226" s="298">
        <f t="shared" si="67"/>
        <v>0</v>
      </c>
      <c r="AE226" s="298">
        <f t="shared" si="67"/>
        <v>0</v>
      </c>
      <c r="AF226" s="298">
        <f t="shared" ref="AF226:AO235" si="68">IF(ISNUMBER(SEARCH(AF$32,$H226)),1,0)</f>
        <v>0</v>
      </c>
      <c r="AG226" s="298">
        <f t="shared" si="68"/>
        <v>0</v>
      </c>
      <c r="AH226" s="298">
        <f t="shared" si="68"/>
        <v>0</v>
      </c>
      <c r="AI226" s="298">
        <f t="shared" si="68"/>
        <v>0</v>
      </c>
      <c r="AJ226" s="298">
        <f t="shared" si="68"/>
        <v>0</v>
      </c>
      <c r="AK226" s="298">
        <f t="shared" si="68"/>
        <v>0</v>
      </c>
      <c r="AL226" s="298">
        <f t="shared" si="68"/>
        <v>0</v>
      </c>
      <c r="AM226" s="298">
        <f t="shared" si="68"/>
        <v>0</v>
      </c>
      <c r="AN226" s="298">
        <f t="shared" si="68"/>
        <v>0</v>
      </c>
      <c r="AO226" s="298">
        <f t="shared" si="68"/>
        <v>0</v>
      </c>
      <c r="AP226" s="298">
        <f t="shared" ref="AP226:AV235" si="69">IF(ISNUMBER(SEARCH(AP$32,$H226)),1,0)</f>
        <v>0</v>
      </c>
      <c r="AQ226" s="298">
        <f t="shared" si="69"/>
        <v>1</v>
      </c>
      <c r="AR226" s="298">
        <f t="shared" si="69"/>
        <v>0</v>
      </c>
      <c r="AS226" s="298">
        <f t="shared" si="69"/>
        <v>0</v>
      </c>
      <c r="AT226" s="298">
        <f t="shared" si="69"/>
        <v>0</v>
      </c>
      <c r="AU226" s="298">
        <f t="shared" si="69"/>
        <v>0</v>
      </c>
      <c r="AV226" s="298">
        <f t="shared" si="69"/>
        <v>0</v>
      </c>
      <c r="AW226" s="244"/>
      <c r="AX226" s="244"/>
      <c r="AY226" s="244"/>
      <c r="AZ226" s="244"/>
      <c r="BA226" s="244"/>
      <c r="BB226" s="244"/>
    </row>
    <row r="227" spans="1:54" hidden="1">
      <c r="A227" s="331" t="s">
        <v>884</v>
      </c>
      <c r="B227" s="295" t="str">
        <f t="shared" si="47"/>
        <v>Klugheit: 12 | Intuition: 15 | Charisma: 15</v>
      </c>
      <c r="C227" s="308" t="b">
        <v>0</v>
      </c>
      <c r="D227" s="308" t="b">
        <v>0</v>
      </c>
      <c r="E227" s="308" t="b">
        <f t="shared" si="48"/>
        <v>0</v>
      </c>
      <c r="F227" t="s">
        <v>307</v>
      </c>
      <c r="G227" t="s">
        <v>110</v>
      </c>
      <c r="H227" t="s">
        <v>885</v>
      </c>
      <c r="I227" t="s">
        <v>886</v>
      </c>
      <c r="J227" s="295">
        <f>_xlfn.XLOOKUP(G227,Rechner!$A$17:$A$25,Rechner!$B$17:$B$25)</f>
        <v>4</v>
      </c>
      <c r="K227" s="295" t="str">
        <f>_xlfn.XLOOKUP(J227-SUMIF($V$31:$AV$31,TRUE,V227:AV227)-IF(D227=TRUE,1,0),Rechner!$B$17:$B$25,Rechner!$A$17:$A$25,"A+")</f>
        <v>C</v>
      </c>
      <c r="L227" s="295" t="str">
        <f>_xlfn.XLOOKUP(S227,Eigenschaften!$C$20:$C$27,Eigenschaften!$B$20:$B$27)</f>
        <v>Klugheit</v>
      </c>
      <c r="M227" s="295">
        <f>_xlfn.XLOOKUP(L227,Eigenschaften!$B$20:$B$27,Eigenschaften!$H$20:$H$27,"NaN",1)</f>
        <v>12</v>
      </c>
      <c r="N227" s="295" t="str">
        <f>_xlfn.XLOOKUP(T227,Eigenschaften!$C$20:$C$27,Eigenschaften!$B$20:$B$27)</f>
        <v>Intuition</v>
      </c>
      <c r="O227" s="295">
        <f>_xlfn.XLOOKUP(N227,Eigenschaften!$B$20:$B$27,Eigenschaften!$H$20:$H$27,"NaN",1)</f>
        <v>15</v>
      </c>
      <c r="P227" s="295" t="str">
        <f>_xlfn.XLOOKUP(U227,Eigenschaften!$C$20:$C$27,Eigenschaften!$B$20:$B$27)</f>
        <v>Charisma</v>
      </c>
      <c r="Q227" s="295">
        <f>_xlfn.XLOOKUP(P227,Eigenschaften!$B$20:$B$27,Eigenschaften!$H$20:$H$27,"NaN",1)</f>
        <v>15</v>
      </c>
      <c r="R227" s="244"/>
      <c r="S227" s="244" t="str" cm="1">
        <f t="array" ref="S227:U227">_xlfn.TEXTSPLIT(F227,"/",,,,3)</f>
        <v>KL</v>
      </c>
      <c r="T227" s="244" t="str">
        <v>IN</v>
      </c>
      <c r="U227" s="244" t="str">
        <v>CH</v>
      </c>
      <c r="V227" s="298">
        <f t="shared" si="67"/>
        <v>0</v>
      </c>
      <c r="W227" s="298">
        <f t="shared" si="67"/>
        <v>0</v>
      </c>
      <c r="X227" s="298">
        <f t="shared" si="67"/>
        <v>0</v>
      </c>
      <c r="Y227" s="298">
        <f t="shared" si="67"/>
        <v>1</v>
      </c>
      <c r="Z227" s="298">
        <f t="shared" si="67"/>
        <v>0</v>
      </c>
      <c r="AA227" s="298">
        <f t="shared" si="67"/>
        <v>1</v>
      </c>
      <c r="AB227" s="298">
        <f t="shared" si="67"/>
        <v>0</v>
      </c>
      <c r="AC227" s="298">
        <f t="shared" si="67"/>
        <v>0</v>
      </c>
      <c r="AD227" s="298">
        <f t="shared" si="67"/>
        <v>0</v>
      </c>
      <c r="AE227" s="298">
        <f t="shared" si="67"/>
        <v>0</v>
      </c>
      <c r="AF227" s="298">
        <f t="shared" si="68"/>
        <v>0</v>
      </c>
      <c r="AG227" s="298">
        <f t="shared" si="68"/>
        <v>0</v>
      </c>
      <c r="AH227" s="298">
        <f t="shared" si="68"/>
        <v>0</v>
      </c>
      <c r="AI227" s="298">
        <f t="shared" si="68"/>
        <v>0</v>
      </c>
      <c r="AJ227" s="298">
        <f t="shared" si="68"/>
        <v>0</v>
      </c>
      <c r="AK227" s="298">
        <f t="shared" si="68"/>
        <v>0</v>
      </c>
      <c r="AL227" s="298">
        <f t="shared" si="68"/>
        <v>0</v>
      </c>
      <c r="AM227" s="298">
        <f t="shared" si="68"/>
        <v>0</v>
      </c>
      <c r="AN227" s="298">
        <f t="shared" si="68"/>
        <v>0</v>
      </c>
      <c r="AO227" s="298">
        <f t="shared" si="68"/>
        <v>0</v>
      </c>
      <c r="AP227" s="298">
        <f t="shared" si="69"/>
        <v>0</v>
      </c>
      <c r="AQ227" s="298">
        <f t="shared" si="69"/>
        <v>1</v>
      </c>
      <c r="AR227" s="298">
        <f t="shared" si="69"/>
        <v>0</v>
      </c>
      <c r="AS227" s="298">
        <f t="shared" si="69"/>
        <v>0</v>
      </c>
      <c r="AT227" s="298">
        <f t="shared" si="69"/>
        <v>0</v>
      </c>
      <c r="AU227" s="298">
        <f t="shared" si="69"/>
        <v>0</v>
      </c>
      <c r="AV227" s="298">
        <f t="shared" si="69"/>
        <v>0</v>
      </c>
      <c r="AW227" s="244"/>
      <c r="AX227" s="244"/>
      <c r="AY227" s="244"/>
      <c r="AZ227" s="244"/>
      <c r="BA227" s="244"/>
      <c r="BB227" s="244"/>
    </row>
    <row r="228" spans="1:54" hidden="1">
      <c r="A228" s="331" t="s">
        <v>887</v>
      </c>
      <c r="B228" s="295" t="str">
        <f t="shared" ref="B228:B291" si="70">L228&amp;": "&amp;M228&amp;" | "&amp;N228&amp;": "&amp;O228&amp;" | "&amp;P228&amp;": "&amp;Q228</f>
        <v>Klugheit: 12 | Intuition: 15 | Charisma: 15</v>
      </c>
      <c r="C228" s="308" t="b">
        <v>0</v>
      </c>
      <c r="D228" s="308" t="b">
        <v>0</v>
      </c>
      <c r="E228" s="308" t="b">
        <f t="shared" ref="E228:E291" si="71">ISNUMBER(FIND($B$1,I228))</f>
        <v>0</v>
      </c>
      <c r="F228" t="s">
        <v>307</v>
      </c>
      <c r="G228" t="s">
        <v>110</v>
      </c>
      <c r="H228" t="s">
        <v>888</v>
      </c>
      <c r="I228" t="s">
        <v>889</v>
      </c>
      <c r="J228" s="295">
        <f>_xlfn.XLOOKUP(G228,Rechner!$A$17:$A$25,Rechner!$B$17:$B$25)</f>
        <v>4</v>
      </c>
      <c r="K228" s="295" t="str">
        <f>_xlfn.XLOOKUP(J228-SUMIF($V$31:$AV$31,TRUE,V228:AV228)-IF(D228=TRUE,1,0),Rechner!$B$17:$B$25,Rechner!$A$17:$A$25,"A+")</f>
        <v>C</v>
      </c>
      <c r="L228" s="295" t="str">
        <f>_xlfn.XLOOKUP(S228,Eigenschaften!$C$20:$C$27,Eigenschaften!$B$20:$B$27)</f>
        <v>Klugheit</v>
      </c>
      <c r="M228" s="295">
        <f>_xlfn.XLOOKUP(L228,Eigenschaften!$B$20:$B$27,Eigenschaften!$H$20:$H$27,"NaN",1)</f>
        <v>12</v>
      </c>
      <c r="N228" s="295" t="str">
        <f>_xlfn.XLOOKUP(T228,Eigenschaften!$C$20:$C$27,Eigenschaften!$B$20:$B$27)</f>
        <v>Intuition</v>
      </c>
      <c r="O228" s="295">
        <f>_xlfn.XLOOKUP(N228,Eigenschaften!$B$20:$B$27,Eigenschaften!$H$20:$H$27,"NaN",1)</f>
        <v>15</v>
      </c>
      <c r="P228" s="295" t="str">
        <f>_xlfn.XLOOKUP(U228,Eigenschaften!$C$20:$C$27,Eigenschaften!$B$20:$B$27)</f>
        <v>Charisma</v>
      </c>
      <c r="Q228" s="295">
        <f>_xlfn.XLOOKUP(P228,Eigenschaften!$B$20:$B$27,Eigenschaften!$H$20:$H$27,"NaN",1)</f>
        <v>15</v>
      </c>
      <c r="R228" s="244"/>
      <c r="S228" s="244" t="str" cm="1">
        <f t="array" ref="S228:U228">_xlfn.TEXTSPLIT(F228,"/",,,,3)</f>
        <v>KL</v>
      </c>
      <c r="T228" s="244" t="str">
        <v>IN</v>
      </c>
      <c r="U228" s="244" t="str">
        <v>CH</v>
      </c>
      <c r="V228" s="298">
        <f t="shared" si="67"/>
        <v>0</v>
      </c>
      <c r="W228" s="298">
        <f t="shared" si="67"/>
        <v>0</v>
      </c>
      <c r="X228" s="298">
        <f t="shared" si="67"/>
        <v>0</v>
      </c>
      <c r="Y228" s="298">
        <f t="shared" si="67"/>
        <v>1</v>
      </c>
      <c r="Z228" s="298">
        <f t="shared" si="67"/>
        <v>1</v>
      </c>
      <c r="AA228" s="298">
        <f t="shared" si="67"/>
        <v>0</v>
      </c>
      <c r="AB228" s="298">
        <f t="shared" si="67"/>
        <v>0</v>
      </c>
      <c r="AC228" s="298">
        <f t="shared" si="67"/>
        <v>0</v>
      </c>
      <c r="AD228" s="298">
        <f t="shared" si="67"/>
        <v>0</v>
      </c>
      <c r="AE228" s="298">
        <f t="shared" si="67"/>
        <v>0</v>
      </c>
      <c r="AF228" s="298">
        <f t="shared" si="68"/>
        <v>0</v>
      </c>
      <c r="AG228" s="298">
        <f t="shared" si="68"/>
        <v>0</v>
      </c>
      <c r="AH228" s="298">
        <f t="shared" si="68"/>
        <v>0</v>
      </c>
      <c r="AI228" s="298">
        <f t="shared" si="68"/>
        <v>0</v>
      </c>
      <c r="AJ228" s="298">
        <f t="shared" si="68"/>
        <v>0</v>
      </c>
      <c r="AK228" s="298">
        <f t="shared" si="68"/>
        <v>0</v>
      </c>
      <c r="AL228" s="298">
        <f t="shared" si="68"/>
        <v>0</v>
      </c>
      <c r="AM228" s="298">
        <f t="shared" si="68"/>
        <v>0</v>
      </c>
      <c r="AN228" s="298">
        <f t="shared" si="68"/>
        <v>0</v>
      </c>
      <c r="AO228" s="298">
        <f t="shared" si="68"/>
        <v>0</v>
      </c>
      <c r="AP228" s="298">
        <f t="shared" si="69"/>
        <v>0</v>
      </c>
      <c r="AQ228" s="298">
        <f t="shared" si="69"/>
        <v>1</v>
      </c>
      <c r="AR228" s="298">
        <f t="shared" si="69"/>
        <v>0</v>
      </c>
      <c r="AS228" s="298">
        <f t="shared" si="69"/>
        <v>0</v>
      </c>
      <c r="AT228" s="298">
        <f t="shared" si="69"/>
        <v>0</v>
      </c>
      <c r="AU228" s="298">
        <f t="shared" si="69"/>
        <v>0</v>
      </c>
      <c r="AV228" s="298">
        <f t="shared" si="69"/>
        <v>0</v>
      </c>
      <c r="AW228" s="244"/>
      <c r="AX228" s="244"/>
      <c r="AY228" s="244"/>
      <c r="AZ228" s="244"/>
      <c r="BA228" s="244"/>
      <c r="BB228" s="244"/>
    </row>
    <row r="229" spans="1:54" hidden="1">
      <c r="A229" s="331" t="s">
        <v>890</v>
      </c>
      <c r="B229" s="295" t="str">
        <f t="shared" si="70"/>
        <v>Klugheit: 12 | Intuition: 15 | Charisma: 15</v>
      </c>
      <c r="C229" s="308" t="b">
        <v>0</v>
      </c>
      <c r="D229" s="308" t="b">
        <v>0</v>
      </c>
      <c r="E229" s="308" t="b">
        <f t="shared" si="71"/>
        <v>0</v>
      </c>
      <c r="F229" t="s">
        <v>307</v>
      </c>
      <c r="G229" t="s">
        <v>110</v>
      </c>
      <c r="H229" t="s">
        <v>891</v>
      </c>
      <c r="I229" t="s">
        <v>892</v>
      </c>
      <c r="J229" s="295">
        <f>_xlfn.XLOOKUP(G229,Rechner!$A$17:$A$25,Rechner!$B$17:$B$25)</f>
        <v>4</v>
      </c>
      <c r="K229" s="295" t="str">
        <f>_xlfn.XLOOKUP(J229-SUMIF($V$31:$AV$31,TRUE,V229:AV229)-IF(D229=TRUE,1,0),Rechner!$B$17:$B$25,Rechner!$A$17:$A$25,"A+")</f>
        <v>C</v>
      </c>
      <c r="L229" s="295" t="str">
        <f>_xlfn.XLOOKUP(S229,Eigenschaften!$C$20:$C$27,Eigenschaften!$B$20:$B$27)</f>
        <v>Klugheit</v>
      </c>
      <c r="M229" s="295">
        <f>_xlfn.XLOOKUP(L229,Eigenschaften!$B$20:$B$27,Eigenschaften!$H$20:$H$27,"NaN",1)</f>
        <v>12</v>
      </c>
      <c r="N229" s="295" t="str">
        <f>_xlfn.XLOOKUP(T229,Eigenschaften!$C$20:$C$27,Eigenschaften!$B$20:$B$27)</f>
        <v>Intuition</v>
      </c>
      <c r="O229" s="295">
        <f>_xlfn.XLOOKUP(N229,Eigenschaften!$B$20:$B$27,Eigenschaften!$H$20:$H$27,"NaN",1)</f>
        <v>15</v>
      </c>
      <c r="P229" s="295" t="str">
        <f>_xlfn.XLOOKUP(U229,Eigenschaften!$C$20:$C$27,Eigenschaften!$B$20:$B$27)</f>
        <v>Charisma</v>
      </c>
      <c r="Q229" s="295">
        <f>_xlfn.XLOOKUP(P229,Eigenschaften!$B$20:$B$27,Eigenschaften!$H$20:$H$27,"NaN",1)</f>
        <v>15</v>
      </c>
      <c r="R229" s="244"/>
      <c r="S229" s="244" t="str" cm="1">
        <f t="array" ref="S229:U229">_xlfn.TEXTSPLIT(F229,"/",,,,3)</f>
        <v>KL</v>
      </c>
      <c r="T229" s="244" t="str">
        <v>IN</v>
      </c>
      <c r="U229" s="244" t="str">
        <v>CH</v>
      </c>
      <c r="V229" s="298">
        <f t="shared" si="67"/>
        <v>0</v>
      </c>
      <c r="W229" s="298">
        <f t="shared" si="67"/>
        <v>0</v>
      </c>
      <c r="X229" s="298">
        <f t="shared" si="67"/>
        <v>0</v>
      </c>
      <c r="Y229" s="298">
        <f t="shared" si="67"/>
        <v>1</v>
      </c>
      <c r="Z229" s="298">
        <f t="shared" si="67"/>
        <v>0</v>
      </c>
      <c r="AA229" s="298">
        <f t="shared" si="67"/>
        <v>0</v>
      </c>
      <c r="AB229" s="298">
        <f t="shared" si="67"/>
        <v>0</v>
      </c>
      <c r="AC229" s="298">
        <f t="shared" si="67"/>
        <v>0</v>
      </c>
      <c r="AD229" s="298">
        <f t="shared" si="67"/>
        <v>0</v>
      </c>
      <c r="AE229" s="298">
        <f t="shared" si="67"/>
        <v>1</v>
      </c>
      <c r="AF229" s="298">
        <f t="shared" si="68"/>
        <v>0</v>
      </c>
      <c r="AG229" s="298">
        <f t="shared" si="68"/>
        <v>0</v>
      </c>
      <c r="AH229" s="298">
        <f t="shared" si="68"/>
        <v>0</v>
      </c>
      <c r="AI229" s="298">
        <f t="shared" si="68"/>
        <v>0</v>
      </c>
      <c r="AJ229" s="298">
        <f t="shared" si="68"/>
        <v>0</v>
      </c>
      <c r="AK229" s="298">
        <f t="shared" si="68"/>
        <v>0</v>
      </c>
      <c r="AL229" s="298">
        <f t="shared" si="68"/>
        <v>0</v>
      </c>
      <c r="AM229" s="298">
        <f t="shared" si="68"/>
        <v>0</v>
      </c>
      <c r="AN229" s="298">
        <f t="shared" si="68"/>
        <v>0</v>
      </c>
      <c r="AO229" s="298">
        <f t="shared" si="68"/>
        <v>0</v>
      </c>
      <c r="AP229" s="298">
        <f t="shared" si="69"/>
        <v>0</v>
      </c>
      <c r="AQ229" s="298">
        <f t="shared" si="69"/>
        <v>1</v>
      </c>
      <c r="AR229" s="298">
        <f t="shared" si="69"/>
        <v>0</v>
      </c>
      <c r="AS229" s="298">
        <f t="shared" si="69"/>
        <v>0</v>
      </c>
      <c r="AT229" s="298">
        <f t="shared" si="69"/>
        <v>0</v>
      </c>
      <c r="AU229" s="298">
        <f t="shared" si="69"/>
        <v>0</v>
      </c>
      <c r="AV229" s="298">
        <f t="shared" si="69"/>
        <v>0</v>
      </c>
      <c r="AW229" s="244"/>
      <c r="AX229" s="244"/>
      <c r="AY229" s="244"/>
      <c r="AZ229" s="244"/>
      <c r="BA229" s="244"/>
      <c r="BB229" s="244"/>
    </row>
    <row r="230" spans="1:54" hidden="1">
      <c r="A230" s="331" t="s">
        <v>893</v>
      </c>
      <c r="B230" s="295" t="str">
        <f t="shared" si="70"/>
        <v>Mut: 13 | Mut: 13 | Konstitution: 12</v>
      </c>
      <c r="C230" s="308" t="b">
        <v>0</v>
      </c>
      <c r="D230" s="308" t="b">
        <v>0</v>
      </c>
      <c r="E230" s="308" t="b">
        <f t="shared" si="71"/>
        <v>0</v>
      </c>
      <c r="F230" t="s">
        <v>894</v>
      </c>
      <c r="G230" t="s">
        <v>530</v>
      </c>
      <c r="H230" t="s">
        <v>78</v>
      </c>
      <c r="I230" t="s">
        <v>655</v>
      </c>
      <c r="J230" s="295">
        <f>_xlfn.XLOOKUP(G230,Rechner!$A$17:$A$25,Rechner!$B$17:$B$25)</f>
        <v>7</v>
      </c>
      <c r="K230" s="295" t="str">
        <f>_xlfn.XLOOKUP(J230-SUMIF($V$31:$AV$31,TRUE,V230:AV230)-IF(D230=TRUE,1,0),Rechner!$B$17:$B$25,Rechner!$A$17:$A$25,"A+")</f>
        <v>F</v>
      </c>
      <c r="L230" s="295" t="str">
        <f>_xlfn.XLOOKUP(S230,Eigenschaften!$C$20:$C$27,Eigenschaften!$B$20:$B$27)</f>
        <v>Mut</v>
      </c>
      <c r="M230" s="295">
        <f>_xlfn.XLOOKUP(L230,Eigenschaften!$B$20:$B$27,Eigenschaften!$H$20:$H$27,"NaN",1)</f>
        <v>13</v>
      </c>
      <c r="N230" s="295" t="str">
        <f>_xlfn.XLOOKUP(T230,Eigenschaften!$C$20:$C$27,Eigenschaften!$B$20:$B$27)</f>
        <v>Mut</v>
      </c>
      <c r="O230" s="295">
        <f>_xlfn.XLOOKUP(N230,Eigenschaften!$B$20:$B$27,Eigenschaften!$H$20:$H$27,"NaN",1)</f>
        <v>13</v>
      </c>
      <c r="P230" s="295" t="str">
        <f>_xlfn.XLOOKUP(U230,Eigenschaften!$C$20:$C$27,Eigenschaften!$B$20:$B$27)</f>
        <v>Konstitution</v>
      </c>
      <c r="Q230" s="295">
        <f>_xlfn.XLOOKUP(P230,Eigenschaften!$B$20:$B$27,Eigenschaften!$H$20:$H$27,"NaN",1)</f>
        <v>12</v>
      </c>
      <c r="R230" s="244"/>
      <c r="S230" s="244" t="str" cm="1">
        <f t="array" ref="S230:U230">_xlfn.TEXTSPLIT(F230,"/",,,,3)</f>
        <v>MU</v>
      </c>
      <c r="T230" s="244" t="str">
        <v>MU</v>
      </c>
      <c r="U230" s="244" t="str">
        <v>KO</v>
      </c>
      <c r="V230" s="298">
        <f t="shared" si="67"/>
        <v>0</v>
      </c>
      <c r="W230" s="298">
        <f t="shared" si="67"/>
        <v>0</v>
      </c>
      <c r="X230" s="298">
        <f t="shared" si="67"/>
        <v>0</v>
      </c>
      <c r="Y230" s="298">
        <f t="shared" si="67"/>
        <v>0</v>
      </c>
      <c r="Z230" s="298">
        <f t="shared" si="67"/>
        <v>0</v>
      </c>
      <c r="AA230" s="298">
        <f t="shared" si="67"/>
        <v>0</v>
      </c>
      <c r="AB230" s="298">
        <f t="shared" si="67"/>
        <v>0</v>
      </c>
      <c r="AC230" s="298">
        <f t="shared" si="67"/>
        <v>0</v>
      </c>
      <c r="AD230" s="298">
        <f t="shared" si="67"/>
        <v>0</v>
      </c>
      <c r="AE230" s="298">
        <f t="shared" si="67"/>
        <v>0</v>
      </c>
      <c r="AF230" s="298">
        <f t="shared" si="68"/>
        <v>0</v>
      </c>
      <c r="AG230" s="298">
        <f t="shared" si="68"/>
        <v>0</v>
      </c>
      <c r="AH230" s="298">
        <f t="shared" si="68"/>
        <v>0</v>
      </c>
      <c r="AI230" s="298">
        <f t="shared" si="68"/>
        <v>0</v>
      </c>
      <c r="AJ230" s="298">
        <f t="shared" si="68"/>
        <v>0</v>
      </c>
      <c r="AK230" s="298">
        <f t="shared" si="68"/>
        <v>0</v>
      </c>
      <c r="AL230" s="298">
        <f t="shared" si="68"/>
        <v>0</v>
      </c>
      <c r="AM230" s="298">
        <f t="shared" si="68"/>
        <v>0</v>
      </c>
      <c r="AN230" s="298">
        <f t="shared" si="68"/>
        <v>0</v>
      </c>
      <c r="AO230" s="298">
        <f t="shared" si="68"/>
        <v>1</v>
      </c>
      <c r="AP230" s="298">
        <f t="shared" si="69"/>
        <v>0</v>
      </c>
      <c r="AQ230" s="298">
        <f t="shared" si="69"/>
        <v>0</v>
      </c>
      <c r="AR230" s="298">
        <f t="shared" si="69"/>
        <v>0</v>
      </c>
      <c r="AS230" s="298">
        <f t="shared" si="69"/>
        <v>0</v>
      </c>
      <c r="AT230" s="298">
        <f t="shared" si="69"/>
        <v>0</v>
      </c>
      <c r="AU230" s="298">
        <f t="shared" si="69"/>
        <v>0</v>
      </c>
      <c r="AV230" s="298">
        <f t="shared" si="69"/>
        <v>0</v>
      </c>
      <c r="AW230" s="244"/>
      <c r="AX230" s="244"/>
      <c r="AY230" s="244"/>
      <c r="AZ230" s="244"/>
      <c r="BA230" s="244"/>
      <c r="BB230" s="244"/>
    </row>
    <row r="231" spans="1:54">
      <c r="A231" s="326" t="s">
        <v>351</v>
      </c>
      <c r="B231" s="295" t="str">
        <f t="shared" si="70"/>
        <v>Mut: 13 | Intuition: 15 | Charisma: 15</v>
      </c>
      <c r="C231" s="308" t="b">
        <v>1</v>
      </c>
      <c r="D231" s="308" t="b">
        <v>0</v>
      </c>
      <c r="E231" s="308" t="b">
        <f t="shared" si="71"/>
        <v>1</v>
      </c>
      <c r="F231" s="324" t="s">
        <v>336</v>
      </c>
      <c r="G231" s="324" t="s">
        <v>110</v>
      </c>
      <c r="H231" s="324" t="s">
        <v>426</v>
      </c>
      <c r="I231" s="324" t="s">
        <v>1485</v>
      </c>
      <c r="J231" s="295">
        <f>_xlfn.XLOOKUP(G231,Rechner!$A$17:$A$25,Rechner!$B$17:$B$25)</f>
        <v>4</v>
      </c>
      <c r="K231" s="338" t="str">
        <f>_xlfn.XLOOKUP(J231-SUMIF($V$31:$AV$31,TRUE,V231:AV231)-IF(D231=TRUE,1,0),Rechner!$B$17:$B$25,Rechner!$A$17:$A$25,"A+")</f>
        <v>C</v>
      </c>
      <c r="L231" s="295" t="str">
        <f>_xlfn.XLOOKUP(S231,Eigenschaften!$C$20:$C$27,Eigenschaften!$B$20:$B$27)</f>
        <v>Mut</v>
      </c>
      <c r="M231" s="295">
        <f>_xlfn.XLOOKUP(L231,Eigenschaften!$B$20:$B$27,Eigenschaften!$H$20:$H$27,"NaN",1)</f>
        <v>13</v>
      </c>
      <c r="N231" s="295" t="str">
        <f>_xlfn.XLOOKUP(T231,Eigenschaften!$C$20:$C$27,Eigenschaften!$B$20:$B$27)</f>
        <v>Intuition</v>
      </c>
      <c r="O231" s="295">
        <f>_xlfn.XLOOKUP(N231,Eigenschaften!$B$20:$B$27,Eigenschaften!$H$20:$H$27,"NaN",1)</f>
        <v>15</v>
      </c>
      <c r="P231" s="295" t="str">
        <f>_xlfn.XLOOKUP(U231,Eigenschaften!$C$20:$C$27,Eigenschaften!$B$20:$B$27)</f>
        <v>Charisma</v>
      </c>
      <c r="Q231" s="295">
        <f>_xlfn.XLOOKUP(P231,Eigenschaften!$B$20:$B$27,Eigenschaften!$H$20:$H$27,"NaN",1)</f>
        <v>15</v>
      </c>
      <c r="R231" s="244"/>
      <c r="S231" s="244" t="str" cm="1">
        <f t="array" ref="S231:U231">_xlfn.TEXTSPLIT(F231,"/",,,,3)</f>
        <v>MU</v>
      </c>
      <c r="T231" s="244" t="str">
        <v>IN</v>
      </c>
      <c r="U231" s="244" t="str">
        <v>CH</v>
      </c>
      <c r="V231" s="325">
        <f t="shared" si="67"/>
        <v>0</v>
      </c>
      <c r="W231" s="325">
        <f t="shared" si="67"/>
        <v>0</v>
      </c>
      <c r="X231" s="325">
        <f t="shared" si="67"/>
        <v>0</v>
      </c>
      <c r="Y231" s="325">
        <f t="shared" si="67"/>
        <v>0</v>
      </c>
      <c r="Z231" s="325">
        <f t="shared" si="67"/>
        <v>0</v>
      </c>
      <c r="AA231" s="325">
        <f t="shared" si="67"/>
        <v>0</v>
      </c>
      <c r="AB231" s="325">
        <f t="shared" si="67"/>
        <v>0</v>
      </c>
      <c r="AC231" s="325">
        <f t="shared" si="67"/>
        <v>0</v>
      </c>
      <c r="AD231" s="325">
        <f t="shared" si="67"/>
        <v>0</v>
      </c>
      <c r="AE231" s="325">
        <f t="shared" si="67"/>
        <v>0</v>
      </c>
      <c r="AF231" s="325">
        <f t="shared" si="68"/>
        <v>0</v>
      </c>
      <c r="AG231" s="325">
        <f t="shared" si="68"/>
        <v>1</v>
      </c>
      <c r="AH231" s="325">
        <f t="shared" si="68"/>
        <v>0</v>
      </c>
      <c r="AI231" s="325">
        <f t="shared" si="68"/>
        <v>1</v>
      </c>
      <c r="AJ231" s="325">
        <f t="shared" si="68"/>
        <v>0</v>
      </c>
      <c r="AK231" s="325">
        <f t="shared" si="68"/>
        <v>0</v>
      </c>
      <c r="AL231" s="325">
        <f t="shared" si="68"/>
        <v>0</v>
      </c>
      <c r="AM231" s="325">
        <f t="shared" si="68"/>
        <v>0</v>
      </c>
      <c r="AN231" s="325">
        <f t="shared" si="68"/>
        <v>0</v>
      </c>
      <c r="AO231" s="325">
        <f t="shared" si="68"/>
        <v>0</v>
      </c>
      <c r="AP231" s="325">
        <f t="shared" si="69"/>
        <v>0</v>
      </c>
      <c r="AQ231" s="325">
        <f t="shared" si="69"/>
        <v>0</v>
      </c>
      <c r="AR231" s="325">
        <f t="shared" si="69"/>
        <v>0</v>
      </c>
      <c r="AS231" s="325">
        <f t="shared" si="69"/>
        <v>0</v>
      </c>
      <c r="AT231" s="325">
        <f t="shared" si="69"/>
        <v>0</v>
      </c>
      <c r="AU231" s="325">
        <f t="shared" si="69"/>
        <v>0</v>
      </c>
      <c r="AV231" s="325">
        <f t="shared" si="69"/>
        <v>0</v>
      </c>
      <c r="AW231" s="244">
        <v>4</v>
      </c>
      <c r="AX231" s="244" t="s">
        <v>1667</v>
      </c>
      <c r="AY231" s="244" t="s">
        <v>1668</v>
      </c>
      <c r="AZ231" s="244" t="s">
        <v>283</v>
      </c>
      <c r="BA231" s="244" t="s">
        <v>316</v>
      </c>
      <c r="BB231" s="244"/>
    </row>
    <row r="232" spans="1:54" hidden="1">
      <c r="A232" s="331" t="s">
        <v>897</v>
      </c>
      <c r="B232" s="295" t="str">
        <f t="shared" si="70"/>
        <v>Mut: 13 | Intuition: 15 | Charisma: 15</v>
      </c>
      <c r="C232" s="308" t="b">
        <v>0</v>
      </c>
      <c r="D232" s="308" t="b">
        <v>0</v>
      </c>
      <c r="E232" s="308" t="b">
        <f t="shared" si="71"/>
        <v>0</v>
      </c>
      <c r="F232" t="s">
        <v>336</v>
      </c>
      <c r="G232" t="s">
        <v>113</v>
      </c>
      <c r="H232" t="s">
        <v>898</v>
      </c>
      <c r="I232" t="s">
        <v>899</v>
      </c>
      <c r="J232" s="295">
        <f>_xlfn.XLOOKUP(G232,Rechner!$A$17:$A$25,Rechner!$B$17:$B$25)</f>
        <v>5</v>
      </c>
      <c r="K232" s="295" t="str">
        <f>_xlfn.XLOOKUP(J232-SUMIF($V$31:$AV$31,TRUE,V232:AV232)-IF(D232=TRUE,1,0),Rechner!$B$17:$B$25,Rechner!$A$17:$A$25,"A+")</f>
        <v>D</v>
      </c>
      <c r="L232" s="295" t="str">
        <f>_xlfn.XLOOKUP(S232,Eigenschaften!$C$20:$C$27,Eigenschaften!$B$20:$B$27)</f>
        <v>Mut</v>
      </c>
      <c r="M232" s="295">
        <f>_xlfn.XLOOKUP(L232,Eigenschaften!$B$20:$B$27,Eigenschaften!$H$20:$H$27,"NaN",1)</f>
        <v>13</v>
      </c>
      <c r="N232" s="295" t="str">
        <f>_xlfn.XLOOKUP(T232,Eigenschaften!$C$20:$C$27,Eigenschaften!$B$20:$B$27)</f>
        <v>Intuition</v>
      </c>
      <c r="O232" s="295">
        <f>_xlfn.XLOOKUP(N232,Eigenschaften!$B$20:$B$27,Eigenschaften!$H$20:$H$27,"NaN",1)</f>
        <v>15</v>
      </c>
      <c r="P232" s="295" t="str">
        <f>_xlfn.XLOOKUP(U232,Eigenschaften!$C$20:$C$27,Eigenschaften!$B$20:$B$27)</f>
        <v>Charisma</v>
      </c>
      <c r="Q232" s="295">
        <f>_xlfn.XLOOKUP(P232,Eigenschaften!$B$20:$B$27,Eigenschaften!$H$20:$H$27,"NaN",1)</f>
        <v>15</v>
      </c>
      <c r="R232" s="244"/>
      <c r="S232" s="244" t="str" cm="1">
        <f t="array" ref="S232:U232">_xlfn.TEXTSPLIT(F232,"/",,,,3)</f>
        <v>MU</v>
      </c>
      <c r="T232" s="244" t="str">
        <v>IN</v>
      </c>
      <c r="U232" s="244" t="str">
        <v>CH</v>
      </c>
      <c r="V232" s="298">
        <f t="shared" si="67"/>
        <v>0</v>
      </c>
      <c r="W232" s="298">
        <f t="shared" si="67"/>
        <v>0</v>
      </c>
      <c r="X232" s="298">
        <f t="shared" si="67"/>
        <v>0</v>
      </c>
      <c r="Y232" s="298">
        <f t="shared" si="67"/>
        <v>0</v>
      </c>
      <c r="Z232" s="298">
        <f t="shared" si="67"/>
        <v>0</v>
      </c>
      <c r="AA232" s="298">
        <f t="shared" si="67"/>
        <v>0</v>
      </c>
      <c r="AB232" s="298">
        <f t="shared" si="67"/>
        <v>0</v>
      </c>
      <c r="AC232" s="298">
        <f t="shared" si="67"/>
        <v>0</v>
      </c>
      <c r="AD232" s="298">
        <f t="shared" si="67"/>
        <v>0</v>
      </c>
      <c r="AE232" s="298">
        <f t="shared" si="67"/>
        <v>0</v>
      </c>
      <c r="AF232" s="298">
        <f t="shared" si="68"/>
        <v>0</v>
      </c>
      <c r="AG232" s="298">
        <f t="shared" si="68"/>
        <v>0</v>
      </c>
      <c r="AH232" s="298">
        <f t="shared" si="68"/>
        <v>0</v>
      </c>
      <c r="AI232" s="298">
        <f t="shared" si="68"/>
        <v>0</v>
      </c>
      <c r="AJ232" s="298">
        <f t="shared" si="68"/>
        <v>0</v>
      </c>
      <c r="AK232" s="298">
        <f t="shared" si="68"/>
        <v>0</v>
      </c>
      <c r="AL232" s="298">
        <f t="shared" si="68"/>
        <v>0</v>
      </c>
      <c r="AM232" s="298">
        <f t="shared" si="68"/>
        <v>1</v>
      </c>
      <c r="AN232" s="298">
        <f t="shared" si="68"/>
        <v>0</v>
      </c>
      <c r="AO232" s="298">
        <f t="shared" si="68"/>
        <v>0</v>
      </c>
      <c r="AP232" s="298">
        <f t="shared" si="69"/>
        <v>0</v>
      </c>
      <c r="AQ232" s="298">
        <f t="shared" si="69"/>
        <v>0</v>
      </c>
      <c r="AR232" s="298">
        <f t="shared" si="69"/>
        <v>0</v>
      </c>
      <c r="AS232" s="298">
        <f t="shared" si="69"/>
        <v>0</v>
      </c>
      <c r="AT232" s="298">
        <f t="shared" si="69"/>
        <v>0</v>
      </c>
      <c r="AU232" s="298">
        <f t="shared" si="69"/>
        <v>0</v>
      </c>
      <c r="AV232" s="298">
        <f t="shared" si="69"/>
        <v>1</v>
      </c>
      <c r="AW232" s="244"/>
      <c r="AX232" s="244"/>
      <c r="AY232" s="244"/>
      <c r="AZ232" s="244"/>
      <c r="BA232" s="244"/>
      <c r="BB232" s="244"/>
    </row>
    <row r="233" spans="1:54" hidden="1">
      <c r="A233" s="331" t="s">
        <v>900</v>
      </c>
      <c r="B233" s="295" t="str">
        <f t="shared" si="70"/>
        <v>Klugheit: 12 | Charisma: 15 | Konstitution: 12</v>
      </c>
      <c r="C233" s="308" t="b">
        <v>0</v>
      </c>
      <c r="D233" s="308" t="b">
        <v>0</v>
      </c>
      <c r="E233" s="308" t="b">
        <f t="shared" si="71"/>
        <v>0</v>
      </c>
      <c r="F233" t="s">
        <v>406</v>
      </c>
      <c r="G233" t="s">
        <v>530</v>
      </c>
      <c r="H233" t="s">
        <v>825</v>
      </c>
      <c r="I233" t="s">
        <v>668</v>
      </c>
      <c r="J233" s="295">
        <f>_xlfn.XLOOKUP(G233,Rechner!$A$17:$A$25,Rechner!$B$17:$B$25)</f>
        <v>7</v>
      </c>
      <c r="K233" s="295" t="str">
        <f>_xlfn.XLOOKUP(J233-SUMIF($V$31:$AV$31,TRUE,V233:AV233)-IF(D233=TRUE,1,0),Rechner!$B$17:$B$25,Rechner!$A$17:$A$25,"A+")</f>
        <v>F</v>
      </c>
      <c r="L233" s="295" t="str">
        <f>_xlfn.XLOOKUP(S233,Eigenschaften!$C$20:$C$27,Eigenschaften!$B$20:$B$27)</f>
        <v>Klugheit</v>
      </c>
      <c r="M233" s="295">
        <f>_xlfn.XLOOKUP(L233,Eigenschaften!$B$20:$B$27,Eigenschaften!$H$20:$H$27,"NaN",1)</f>
        <v>12</v>
      </c>
      <c r="N233" s="295" t="str">
        <f>_xlfn.XLOOKUP(T233,Eigenschaften!$C$20:$C$27,Eigenschaften!$B$20:$B$27)</f>
        <v>Charisma</v>
      </c>
      <c r="O233" s="295">
        <f>_xlfn.XLOOKUP(N233,Eigenschaften!$B$20:$B$27,Eigenschaften!$H$20:$H$27,"NaN",1)</f>
        <v>15</v>
      </c>
      <c r="P233" s="295" t="str">
        <f>_xlfn.XLOOKUP(U233,Eigenschaften!$C$20:$C$27,Eigenschaften!$B$20:$B$27)</f>
        <v>Konstitution</v>
      </c>
      <c r="Q233" s="295">
        <f>_xlfn.XLOOKUP(P233,Eigenschaften!$B$20:$B$27,Eigenschaften!$H$20:$H$27,"NaN",1)</f>
        <v>12</v>
      </c>
      <c r="R233" s="244"/>
      <c r="S233" s="244" t="str" cm="1">
        <f t="array" ref="S233:U233">_xlfn.TEXTSPLIT(F233,"/",,,,3)</f>
        <v>KL</v>
      </c>
      <c r="T233" s="244" t="str">
        <v>CH</v>
      </c>
      <c r="U233" s="244" t="str">
        <v>KO</v>
      </c>
      <c r="V233" s="298">
        <f t="shared" si="67"/>
        <v>1</v>
      </c>
      <c r="W233" s="298">
        <f t="shared" si="67"/>
        <v>0</v>
      </c>
      <c r="X233" s="298">
        <f t="shared" si="67"/>
        <v>0</v>
      </c>
      <c r="Y233" s="298">
        <f t="shared" si="67"/>
        <v>0</v>
      </c>
      <c r="Z233" s="298">
        <f t="shared" si="67"/>
        <v>0</v>
      </c>
      <c r="AA233" s="298">
        <f t="shared" si="67"/>
        <v>0</v>
      </c>
      <c r="AB233" s="298">
        <f t="shared" si="67"/>
        <v>0</v>
      </c>
      <c r="AC233" s="298">
        <f t="shared" si="67"/>
        <v>0</v>
      </c>
      <c r="AD233" s="298">
        <f t="shared" si="67"/>
        <v>0</v>
      </c>
      <c r="AE233" s="298">
        <f t="shared" si="67"/>
        <v>0</v>
      </c>
      <c r="AF233" s="298">
        <f t="shared" si="68"/>
        <v>0</v>
      </c>
      <c r="AG233" s="298">
        <f t="shared" si="68"/>
        <v>0</v>
      </c>
      <c r="AH233" s="298">
        <f t="shared" si="68"/>
        <v>0</v>
      </c>
      <c r="AI233" s="298">
        <f t="shared" si="68"/>
        <v>0</v>
      </c>
      <c r="AJ233" s="298">
        <f t="shared" si="68"/>
        <v>0</v>
      </c>
      <c r="AK233" s="298">
        <f t="shared" si="68"/>
        <v>0</v>
      </c>
      <c r="AL233" s="298">
        <f t="shared" si="68"/>
        <v>0</v>
      </c>
      <c r="AM233" s="298">
        <f t="shared" si="68"/>
        <v>0</v>
      </c>
      <c r="AN233" s="298">
        <f t="shared" si="68"/>
        <v>0</v>
      </c>
      <c r="AO233" s="298">
        <f t="shared" si="68"/>
        <v>0</v>
      </c>
      <c r="AP233" s="298">
        <f t="shared" si="69"/>
        <v>1</v>
      </c>
      <c r="AQ233" s="298">
        <f t="shared" si="69"/>
        <v>0</v>
      </c>
      <c r="AR233" s="298">
        <f t="shared" si="69"/>
        <v>0</v>
      </c>
      <c r="AS233" s="298">
        <f t="shared" si="69"/>
        <v>0</v>
      </c>
      <c r="AT233" s="298">
        <f t="shared" si="69"/>
        <v>0</v>
      </c>
      <c r="AU233" s="298">
        <f t="shared" si="69"/>
        <v>0</v>
      </c>
      <c r="AV233" s="298">
        <f t="shared" si="69"/>
        <v>0</v>
      </c>
      <c r="AW233" s="244"/>
      <c r="AX233" s="244"/>
      <c r="AY233" s="244"/>
      <c r="AZ233" s="244"/>
      <c r="BA233" s="244"/>
      <c r="BB233" s="244"/>
    </row>
    <row r="234" spans="1:54" hidden="1">
      <c r="A234" s="331" t="s">
        <v>901</v>
      </c>
      <c r="B234" s="295" t="str">
        <f t="shared" si="70"/>
        <v>Mut: 13 | Klugheit: 12 | Konstitution: 12</v>
      </c>
      <c r="C234" s="308" t="b">
        <v>0</v>
      </c>
      <c r="D234" s="308" t="b">
        <v>0</v>
      </c>
      <c r="E234" s="308" t="b">
        <f t="shared" si="71"/>
        <v>1</v>
      </c>
      <c r="F234" t="s">
        <v>516</v>
      </c>
      <c r="G234" t="s">
        <v>110</v>
      </c>
      <c r="H234" t="s">
        <v>472</v>
      </c>
      <c r="I234" t="s">
        <v>902</v>
      </c>
      <c r="J234" s="295">
        <f>_xlfn.XLOOKUP(G234,Rechner!$A$17:$A$25,Rechner!$B$17:$B$25)</f>
        <v>4</v>
      </c>
      <c r="K234" s="295" t="str">
        <f>_xlfn.XLOOKUP(J234-SUMIF($V$31:$AV$31,TRUE,V234:AV234)-IF(D234=TRUE,1,0),Rechner!$B$17:$B$25,Rechner!$A$17:$A$25,"A+")</f>
        <v>B</v>
      </c>
      <c r="L234" s="295" t="str">
        <f>_xlfn.XLOOKUP(S234,Eigenschaften!$C$20:$C$27,Eigenschaften!$B$20:$B$27)</f>
        <v>Mut</v>
      </c>
      <c r="M234" s="295">
        <f>_xlfn.XLOOKUP(L234,Eigenschaften!$B$20:$B$27,Eigenschaften!$H$20:$H$27,"NaN",1)</f>
        <v>13</v>
      </c>
      <c r="N234" s="295" t="str">
        <f>_xlfn.XLOOKUP(T234,Eigenschaften!$C$20:$C$27,Eigenschaften!$B$20:$B$27)</f>
        <v>Klugheit</v>
      </c>
      <c r="O234" s="295">
        <f>_xlfn.XLOOKUP(N234,Eigenschaften!$B$20:$B$27,Eigenschaften!$H$20:$H$27,"NaN",1)</f>
        <v>12</v>
      </c>
      <c r="P234" s="295" t="str">
        <f>_xlfn.XLOOKUP(U234,Eigenschaften!$C$20:$C$27,Eigenschaften!$B$20:$B$27)</f>
        <v>Konstitution</v>
      </c>
      <c r="Q234" s="295">
        <f>_xlfn.XLOOKUP(P234,Eigenschaften!$B$20:$B$27,Eigenschaften!$H$20:$H$27,"NaN",1)</f>
        <v>12</v>
      </c>
      <c r="R234" s="244"/>
      <c r="S234" s="244" t="str" cm="1">
        <f t="array" ref="S234:U234">_xlfn.TEXTSPLIT(F234,"/",,,,3)</f>
        <v>MU</v>
      </c>
      <c r="T234" s="244" t="str">
        <v>KL</v>
      </c>
      <c r="U234" s="244" t="str">
        <v>KO</v>
      </c>
      <c r="V234" s="298">
        <f t="shared" si="67"/>
        <v>1</v>
      </c>
      <c r="W234" s="298">
        <f t="shared" si="67"/>
        <v>0</v>
      </c>
      <c r="X234" s="298">
        <f t="shared" si="67"/>
        <v>1</v>
      </c>
      <c r="Y234" s="298">
        <f t="shared" si="67"/>
        <v>0</v>
      </c>
      <c r="Z234" s="298">
        <f t="shared" si="67"/>
        <v>0</v>
      </c>
      <c r="AA234" s="298">
        <f t="shared" si="67"/>
        <v>0</v>
      </c>
      <c r="AB234" s="298">
        <f t="shared" si="67"/>
        <v>0</v>
      </c>
      <c r="AC234" s="298">
        <f t="shared" si="67"/>
        <v>0</v>
      </c>
      <c r="AD234" s="298">
        <f t="shared" si="67"/>
        <v>0</v>
      </c>
      <c r="AE234" s="298">
        <f t="shared" si="67"/>
        <v>0</v>
      </c>
      <c r="AF234" s="298">
        <f t="shared" si="68"/>
        <v>0</v>
      </c>
      <c r="AG234" s="298">
        <f t="shared" si="68"/>
        <v>0</v>
      </c>
      <c r="AH234" s="298">
        <f t="shared" si="68"/>
        <v>0</v>
      </c>
      <c r="AI234" s="298">
        <f t="shared" si="68"/>
        <v>0</v>
      </c>
      <c r="AJ234" s="298">
        <f t="shared" si="68"/>
        <v>0</v>
      </c>
      <c r="AK234" s="298">
        <f t="shared" si="68"/>
        <v>0</v>
      </c>
      <c r="AL234" s="298">
        <f t="shared" si="68"/>
        <v>0</v>
      </c>
      <c r="AM234" s="298">
        <f t="shared" si="68"/>
        <v>0</v>
      </c>
      <c r="AN234" s="298">
        <f t="shared" si="68"/>
        <v>0</v>
      </c>
      <c r="AO234" s="298">
        <f t="shared" si="68"/>
        <v>0</v>
      </c>
      <c r="AP234" s="298">
        <f t="shared" si="69"/>
        <v>0</v>
      </c>
      <c r="AQ234" s="298">
        <f t="shared" si="69"/>
        <v>0</v>
      </c>
      <c r="AR234" s="298">
        <f t="shared" si="69"/>
        <v>0</v>
      </c>
      <c r="AS234" s="298">
        <f t="shared" si="69"/>
        <v>0</v>
      </c>
      <c r="AT234" s="298">
        <f t="shared" si="69"/>
        <v>0</v>
      </c>
      <c r="AU234" s="298">
        <f t="shared" si="69"/>
        <v>0</v>
      </c>
      <c r="AV234" s="298">
        <f t="shared" si="69"/>
        <v>0</v>
      </c>
      <c r="AW234" s="244"/>
      <c r="AX234" s="244"/>
      <c r="AY234" s="244"/>
      <c r="AZ234" s="244"/>
      <c r="BA234" s="244"/>
      <c r="BB234" s="244"/>
    </row>
    <row r="235" spans="1:54" ht="15">
      <c r="A235" s="331" t="s">
        <v>399</v>
      </c>
      <c r="B235" s="295" t="str">
        <f t="shared" si="70"/>
        <v>Klugheit: 12 | Intuition: 15 | Fingerfertigkeit: 10</v>
      </c>
      <c r="C235" s="308" t="b">
        <v>1</v>
      </c>
      <c r="D235" s="308" t="b">
        <v>0</v>
      </c>
      <c r="E235" s="308" t="b">
        <f t="shared" si="71"/>
        <v>1</v>
      </c>
      <c r="F235" t="s">
        <v>277</v>
      </c>
      <c r="G235" t="s">
        <v>125</v>
      </c>
      <c r="H235" t="s">
        <v>398</v>
      </c>
      <c r="I235" t="s">
        <v>400</v>
      </c>
      <c r="J235" s="295">
        <f>_xlfn.XLOOKUP(G235,Rechner!$A$17:$A$25,Rechner!$B$17:$B$25)</f>
        <v>3</v>
      </c>
      <c r="K235" s="338" t="str">
        <f>_xlfn.XLOOKUP(J235-SUMIF($V$31:$AV$31,TRUE,V235:AV235)-IF(D235=TRUE,1,0),Rechner!$B$17:$B$25,Rechner!$A$17:$A$25,"A+")</f>
        <v>A</v>
      </c>
      <c r="L235" s="295" t="str">
        <f>_xlfn.XLOOKUP(S235,Eigenschaften!$C$20:$C$27,Eigenschaften!$B$20:$B$27)</f>
        <v>Klugheit</v>
      </c>
      <c r="M235" s="295">
        <f>_xlfn.XLOOKUP(L235,Eigenschaften!$B$20:$B$27,Eigenschaften!$H$20:$H$27,"NaN",1)</f>
        <v>12</v>
      </c>
      <c r="N235" s="295" t="str">
        <f>_xlfn.XLOOKUP(T235,Eigenschaften!$C$20:$C$27,Eigenschaften!$B$20:$B$27)</f>
        <v>Intuition</v>
      </c>
      <c r="O235" s="295">
        <f>_xlfn.XLOOKUP(N235,Eigenschaften!$B$20:$B$27,Eigenschaften!$H$20:$H$27,"NaN",1)</f>
        <v>15</v>
      </c>
      <c r="P235" s="295" t="str">
        <f>_xlfn.XLOOKUP(U235,Eigenschaften!$C$20:$C$27,Eigenschaften!$B$20:$B$27)</f>
        <v>Fingerfertigkeit</v>
      </c>
      <c r="Q235" s="295">
        <f>_xlfn.XLOOKUP(P235,Eigenschaften!$B$20:$B$27,Eigenschaften!$H$20:$H$27,"NaN",1)</f>
        <v>10</v>
      </c>
      <c r="R235" s="244"/>
      <c r="S235" s="244" t="str" cm="1">
        <f t="array" ref="S235:U235">_xlfn.TEXTSPLIT(F235,"/",,,,3)</f>
        <v>KL</v>
      </c>
      <c r="T235" s="244" t="str">
        <v>IN</v>
      </c>
      <c r="U235" s="244" t="str">
        <v>FF</v>
      </c>
      <c r="V235" s="344">
        <f t="shared" si="67"/>
        <v>0</v>
      </c>
      <c r="W235" s="344">
        <f t="shared" si="67"/>
        <v>0</v>
      </c>
      <c r="X235" s="344">
        <f t="shared" si="67"/>
        <v>1</v>
      </c>
      <c r="Y235" s="344">
        <f t="shared" si="67"/>
        <v>0</v>
      </c>
      <c r="Z235" s="344">
        <f t="shared" si="67"/>
        <v>0</v>
      </c>
      <c r="AA235" s="344">
        <f t="shared" si="67"/>
        <v>0</v>
      </c>
      <c r="AB235" s="344">
        <f t="shared" si="67"/>
        <v>0</v>
      </c>
      <c r="AC235" s="344">
        <f t="shared" si="67"/>
        <v>0</v>
      </c>
      <c r="AD235" s="344">
        <f t="shared" si="67"/>
        <v>0</v>
      </c>
      <c r="AE235" s="344">
        <f t="shared" si="67"/>
        <v>0</v>
      </c>
      <c r="AF235" s="344">
        <f t="shared" si="68"/>
        <v>0</v>
      </c>
      <c r="AG235" s="344">
        <f t="shared" si="68"/>
        <v>0</v>
      </c>
      <c r="AH235" s="344">
        <f t="shared" si="68"/>
        <v>0</v>
      </c>
      <c r="AI235" s="344">
        <f t="shared" si="68"/>
        <v>0</v>
      </c>
      <c r="AJ235" s="344">
        <f t="shared" si="68"/>
        <v>1</v>
      </c>
      <c r="AK235" s="344">
        <f t="shared" si="68"/>
        <v>0</v>
      </c>
      <c r="AL235" s="344">
        <f t="shared" si="68"/>
        <v>0</v>
      </c>
      <c r="AM235" s="344">
        <f t="shared" si="68"/>
        <v>0</v>
      </c>
      <c r="AN235" s="344">
        <f t="shared" si="68"/>
        <v>0</v>
      </c>
      <c r="AO235" s="344">
        <f t="shared" si="68"/>
        <v>0</v>
      </c>
      <c r="AP235" s="344">
        <f t="shared" si="69"/>
        <v>0</v>
      </c>
      <c r="AQ235" s="344">
        <f t="shared" si="69"/>
        <v>0</v>
      </c>
      <c r="AR235" s="344">
        <f t="shared" si="69"/>
        <v>0</v>
      </c>
      <c r="AS235" s="344">
        <f t="shared" si="69"/>
        <v>0</v>
      </c>
      <c r="AT235" s="344">
        <f t="shared" si="69"/>
        <v>0</v>
      </c>
      <c r="AU235" s="344">
        <f t="shared" si="69"/>
        <v>0</v>
      </c>
      <c r="AV235" s="344">
        <f t="shared" si="69"/>
        <v>0</v>
      </c>
      <c r="AW235" s="244">
        <v>3</v>
      </c>
      <c r="AX235" s="244" t="s">
        <v>1615</v>
      </c>
      <c r="AY235" s="244" t="s">
        <v>1623</v>
      </c>
      <c r="AZ235" s="244" t="s">
        <v>278</v>
      </c>
      <c r="BA235" s="244" t="s">
        <v>330</v>
      </c>
      <c r="BB235" s="244"/>
    </row>
    <row r="236" spans="1:54" hidden="1">
      <c r="A236" s="331" t="s">
        <v>903</v>
      </c>
      <c r="B236" s="295" t="str">
        <f t="shared" si="70"/>
        <v>Klugheit: 12 | Charisma: 15 | Fingerfertigkeit: 10</v>
      </c>
      <c r="C236" s="308" t="b">
        <v>0</v>
      </c>
      <c r="D236" s="308" t="b">
        <v>0</v>
      </c>
      <c r="E236" s="308" t="b">
        <f t="shared" si="71"/>
        <v>0</v>
      </c>
      <c r="F236" t="s">
        <v>393</v>
      </c>
      <c r="G236" t="s">
        <v>125</v>
      </c>
      <c r="H236" t="s">
        <v>375</v>
      </c>
      <c r="I236" t="s">
        <v>904</v>
      </c>
      <c r="J236" s="295">
        <f>_xlfn.XLOOKUP(G236,Rechner!$A$17:$A$25,Rechner!$B$17:$B$25)</f>
        <v>3</v>
      </c>
      <c r="K236" s="295" t="str">
        <f>_xlfn.XLOOKUP(J236-SUMIF($V$31:$AV$31,TRUE,V236:AV236)-IF(D236=TRUE,1,0),Rechner!$B$17:$B$25,Rechner!$A$17:$A$25,"A+")</f>
        <v>B</v>
      </c>
      <c r="L236" s="295" t="str">
        <f>_xlfn.XLOOKUP(S236,Eigenschaften!$C$20:$C$27,Eigenschaften!$B$20:$B$27)</f>
        <v>Klugheit</v>
      </c>
      <c r="M236" s="295">
        <f>_xlfn.XLOOKUP(L236,Eigenschaften!$B$20:$B$27,Eigenschaften!$H$20:$H$27,"NaN",1)</f>
        <v>12</v>
      </c>
      <c r="N236" s="295" t="str">
        <f>_xlfn.XLOOKUP(T236,Eigenschaften!$C$20:$C$27,Eigenschaften!$B$20:$B$27)</f>
        <v>Charisma</v>
      </c>
      <c r="O236" s="295">
        <f>_xlfn.XLOOKUP(N236,Eigenschaften!$B$20:$B$27,Eigenschaften!$H$20:$H$27,"NaN",1)</f>
        <v>15</v>
      </c>
      <c r="P236" s="295" t="str">
        <f>_xlfn.XLOOKUP(U236,Eigenschaften!$C$20:$C$27,Eigenschaften!$B$20:$B$27)</f>
        <v>Fingerfertigkeit</v>
      </c>
      <c r="Q236" s="295">
        <f>_xlfn.XLOOKUP(P236,Eigenschaften!$B$20:$B$27,Eigenschaften!$H$20:$H$27,"NaN",1)</f>
        <v>10</v>
      </c>
      <c r="R236" s="244"/>
      <c r="S236" s="244" t="str" cm="1">
        <f t="array" ref="S236:U236">_xlfn.TEXTSPLIT(F236,"/",,,,3)</f>
        <v>KL</v>
      </c>
      <c r="T236" s="244" t="str">
        <v>CH</v>
      </c>
      <c r="U236" s="244" t="str">
        <v>FF</v>
      </c>
      <c r="V236" s="298">
        <f t="shared" ref="V236:AE245" si="72">IF(ISNUMBER(SEARCH(V$32,$H236)),1,0)</f>
        <v>0</v>
      </c>
      <c r="W236" s="298">
        <f t="shared" si="72"/>
        <v>0</v>
      </c>
      <c r="X236" s="298">
        <f t="shared" si="72"/>
        <v>0</v>
      </c>
      <c r="Y236" s="298">
        <f t="shared" si="72"/>
        <v>0</v>
      </c>
      <c r="Z236" s="298">
        <f t="shared" si="72"/>
        <v>0</v>
      </c>
      <c r="AA236" s="298">
        <f t="shared" si="72"/>
        <v>0</v>
      </c>
      <c r="AB236" s="298">
        <f t="shared" si="72"/>
        <v>0</v>
      </c>
      <c r="AC236" s="298">
        <f t="shared" si="72"/>
        <v>0</v>
      </c>
      <c r="AD236" s="298">
        <f t="shared" si="72"/>
        <v>0</v>
      </c>
      <c r="AE236" s="298">
        <f t="shared" si="72"/>
        <v>0</v>
      </c>
      <c r="AF236" s="298">
        <f t="shared" ref="AF236:AO245" si="73">IF(ISNUMBER(SEARCH(AF$32,$H236)),1,0)</f>
        <v>0</v>
      </c>
      <c r="AG236" s="298">
        <f t="shared" si="73"/>
        <v>0</v>
      </c>
      <c r="AH236" s="298">
        <f t="shared" si="73"/>
        <v>0</v>
      </c>
      <c r="AI236" s="298">
        <f t="shared" si="73"/>
        <v>0</v>
      </c>
      <c r="AJ236" s="298">
        <f t="shared" si="73"/>
        <v>0</v>
      </c>
      <c r="AK236" s="298">
        <f t="shared" si="73"/>
        <v>0</v>
      </c>
      <c r="AL236" s="298">
        <f t="shared" si="73"/>
        <v>0</v>
      </c>
      <c r="AM236" s="298">
        <f t="shared" si="73"/>
        <v>1</v>
      </c>
      <c r="AN236" s="298">
        <f t="shared" si="73"/>
        <v>0</v>
      </c>
      <c r="AO236" s="298">
        <f t="shared" si="73"/>
        <v>0</v>
      </c>
      <c r="AP236" s="298">
        <f t="shared" ref="AP236:AV245" si="74">IF(ISNUMBER(SEARCH(AP$32,$H236)),1,0)</f>
        <v>0</v>
      </c>
      <c r="AQ236" s="298">
        <f t="shared" si="74"/>
        <v>0</v>
      </c>
      <c r="AR236" s="298">
        <f t="shared" si="74"/>
        <v>0</v>
      </c>
      <c r="AS236" s="298">
        <f t="shared" si="74"/>
        <v>0</v>
      </c>
      <c r="AT236" s="298">
        <f t="shared" si="74"/>
        <v>0</v>
      </c>
      <c r="AU236" s="298">
        <f t="shared" si="74"/>
        <v>0</v>
      </c>
      <c r="AV236" s="298">
        <f t="shared" si="74"/>
        <v>0</v>
      </c>
      <c r="AW236" s="244"/>
      <c r="AX236" s="244"/>
      <c r="AY236" s="244"/>
      <c r="AZ236" s="244"/>
      <c r="BA236" s="244"/>
      <c r="BB236" s="244"/>
    </row>
    <row r="237" spans="1:54" hidden="1">
      <c r="A237" s="331" t="s">
        <v>905</v>
      </c>
      <c r="B237" s="295" t="str">
        <f t="shared" si="70"/>
        <v>Mut: 13 | Intuition: 15 | Charisma: 15</v>
      </c>
      <c r="C237" s="308" t="b">
        <v>0</v>
      </c>
      <c r="D237" s="308" t="b">
        <v>0</v>
      </c>
      <c r="E237" s="308" t="b">
        <f t="shared" si="71"/>
        <v>0</v>
      </c>
      <c r="F237" t="s">
        <v>336</v>
      </c>
      <c r="G237" t="s">
        <v>113</v>
      </c>
      <c r="H237" t="s">
        <v>373</v>
      </c>
      <c r="I237" t="s">
        <v>906</v>
      </c>
      <c r="J237" s="295">
        <f>_xlfn.XLOOKUP(G237,Rechner!$A$17:$A$25,Rechner!$B$17:$B$25)</f>
        <v>5</v>
      </c>
      <c r="K237" s="295" t="str">
        <f>_xlfn.XLOOKUP(J237-SUMIF($V$31:$AV$31,TRUE,V237:AV237)-IF(D237=TRUE,1,0),Rechner!$B$17:$B$25,Rechner!$A$17:$A$25,"A+")</f>
        <v>D</v>
      </c>
      <c r="L237" s="295" t="str">
        <f>_xlfn.XLOOKUP(S237,Eigenschaften!$C$20:$C$27,Eigenschaften!$B$20:$B$27)</f>
        <v>Mut</v>
      </c>
      <c r="M237" s="295">
        <f>_xlfn.XLOOKUP(L237,Eigenschaften!$B$20:$B$27,Eigenschaften!$H$20:$H$27,"NaN",1)</f>
        <v>13</v>
      </c>
      <c r="N237" s="295" t="str">
        <f>_xlfn.XLOOKUP(T237,Eigenschaften!$C$20:$C$27,Eigenschaften!$B$20:$B$27)</f>
        <v>Intuition</v>
      </c>
      <c r="O237" s="295">
        <f>_xlfn.XLOOKUP(N237,Eigenschaften!$B$20:$B$27,Eigenschaften!$H$20:$H$27,"NaN",1)</f>
        <v>15</v>
      </c>
      <c r="P237" s="295" t="str">
        <f>_xlfn.XLOOKUP(U237,Eigenschaften!$C$20:$C$27,Eigenschaften!$B$20:$B$27)</f>
        <v>Charisma</v>
      </c>
      <c r="Q237" s="295">
        <f>_xlfn.XLOOKUP(P237,Eigenschaften!$B$20:$B$27,Eigenschaften!$H$20:$H$27,"NaN",1)</f>
        <v>15</v>
      </c>
      <c r="R237" s="244"/>
      <c r="S237" s="244" t="str" cm="1">
        <f t="array" ref="S237:U237">_xlfn.TEXTSPLIT(F237,"/",,,,3)</f>
        <v>MU</v>
      </c>
      <c r="T237" s="244" t="str">
        <v>IN</v>
      </c>
      <c r="U237" s="244" t="str">
        <v>CH</v>
      </c>
      <c r="V237" s="298">
        <f t="shared" si="72"/>
        <v>0</v>
      </c>
      <c r="W237" s="298">
        <f t="shared" si="72"/>
        <v>0</v>
      </c>
      <c r="X237" s="298">
        <f t="shared" si="72"/>
        <v>0</v>
      </c>
      <c r="Y237" s="298">
        <f t="shared" si="72"/>
        <v>0</v>
      </c>
      <c r="Z237" s="298">
        <f t="shared" si="72"/>
        <v>0</v>
      </c>
      <c r="AA237" s="298">
        <f t="shared" si="72"/>
        <v>0</v>
      </c>
      <c r="AB237" s="298">
        <f t="shared" si="72"/>
        <v>0</v>
      </c>
      <c r="AC237" s="298">
        <f t="shared" si="72"/>
        <v>0</v>
      </c>
      <c r="AD237" s="298">
        <f t="shared" si="72"/>
        <v>0</v>
      </c>
      <c r="AE237" s="298">
        <f t="shared" si="72"/>
        <v>0</v>
      </c>
      <c r="AF237" s="298">
        <f t="shared" si="73"/>
        <v>0</v>
      </c>
      <c r="AG237" s="298">
        <f t="shared" si="73"/>
        <v>0</v>
      </c>
      <c r="AH237" s="298">
        <f t="shared" si="73"/>
        <v>0</v>
      </c>
      <c r="AI237" s="298">
        <f t="shared" si="73"/>
        <v>0</v>
      </c>
      <c r="AJ237" s="298">
        <f t="shared" si="73"/>
        <v>0</v>
      </c>
      <c r="AK237" s="298">
        <f t="shared" si="73"/>
        <v>1</v>
      </c>
      <c r="AL237" s="298">
        <f t="shared" si="73"/>
        <v>0</v>
      </c>
      <c r="AM237" s="298">
        <f t="shared" si="73"/>
        <v>0</v>
      </c>
      <c r="AN237" s="298">
        <f t="shared" si="73"/>
        <v>0</v>
      </c>
      <c r="AO237" s="298">
        <f t="shared" si="73"/>
        <v>0</v>
      </c>
      <c r="AP237" s="298">
        <f t="shared" si="74"/>
        <v>0</v>
      </c>
      <c r="AQ237" s="298">
        <f t="shared" si="74"/>
        <v>0</v>
      </c>
      <c r="AR237" s="298">
        <f t="shared" si="74"/>
        <v>0</v>
      </c>
      <c r="AS237" s="298">
        <f t="shared" si="74"/>
        <v>0</v>
      </c>
      <c r="AT237" s="298">
        <f t="shared" si="74"/>
        <v>0</v>
      </c>
      <c r="AU237" s="298">
        <f t="shared" si="74"/>
        <v>0</v>
      </c>
      <c r="AV237" s="298">
        <f t="shared" si="74"/>
        <v>0</v>
      </c>
      <c r="AW237" s="244"/>
      <c r="AX237" s="244"/>
      <c r="AY237" s="244"/>
      <c r="AZ237" s="244"/>
      <c r="BA237" s="244"/>
      <c r="BB237" s="244"/>
    </row>
    <row r="238" spans="1:54" ht="15">
      <c r="A238" s="331" t="s">
        <v>317</v>
      </c>
      <c r="B238" s="295" t="str">
        <f t="shared" si="70"/>
        <v>Klugheit: 12 | Fingerfertigkeit: 10 | Konstitution: 12</v>
      </c>
      <c r="C238" s="308" t="b">
        <v>1</v>
      </c>
      <c r="D238" s="308" t="b">
        <v>0</v>
      </c>
      <c r="E238" s="308" t="b">
        <f t="shared" si="71"/>
        <v>1</v>
      </c>
      <c r="F238" t="s">
        <v>295</v>
      </c>
      <c r="G238" t="s">
        <v>110</v>
      </c>
      <c r="H238" t="s">
        <v>235</v>
      </c>
      <c r="I238" t="s">
        <v>749</v>
      </c>
      <c r="J238" s="295">
        <f>_xlfn.XLOOKUP(G238,Rechner!$A$17:$A$25,Rechner!$B$17:$B$25)</f>
        <v>4</v>
      </c>
      <c r="K238" s="338" t="str">
        <f>_xlfn.XLOOKUP(J238-SUMIF($V$31:$AV$31,TRUE,V238:AV238)-IF(D238=TRUE,1,0),Rechner!$B$17:$B$25,Rechner!$A$17:$A$25,"A+")</f>
        <v>B</v>
      </c>
      <c r="L238" s="295" t="str">
        <f>_xlfn.XLOOKUP(S238,Eigenschaften!$C$20:$C$27,Eigenschaften!$B$20:$B$27)</f>
        <v>Klugheit</v>
      </c>
      <c r="M238" s="295">
        <f>_xlfn.XLOOKUP(L238,Eigenschaften!$B$20:$B$27,Eigenschaften!$H$20:$H$27,"NaN",1)</f>
        <v>12</v>
      </c>
      <c r="N238" s="295" t="str">
        <f>_xlfn.XLOOKUP(T238,Eigenschaften!$C$20:$C$27,Eigenschaften!$B$20:$B$27)</f>
        <v>Fingerfertigkeit</v>
      </c>
      <c r="O238" s="295">
        <f>_xlfn.XLOOKUP(N238,Eigenschaften!$B$20:$B$27,Eigenschaften!$H$20:$H$27,"NaN",1)</f>
        <v>10</v>
      </c>
      <c r="P238" s="295" t="str">
        <f>_xlfn.XLOOKUP(U238,Eigenschaften!$C$20:$C$27,Eigenschaften!$B$20:$B$27)</f>
        <v>Konstitution</v>
      </c>
      <c r="Q238" s="295">
        <f>_xlfn.XLOOKUP(P238,Eigenschaften!$B$20:$B$27,Eigenschaften!$H$20:$H$27,"NaN",1)</f>
        <v>12</v>
      </c>
      <c r="R238" s="244"/>
      <c r="S238" s="244" t="str" cm="1">
        <f t="array" ref="S238:U238">_xlfn.TEXTSPLIT(F238,"/",,,,3)</f>
        <v>KL</v>
      </c>
      <c r="T238" s="244" t="str">
        <v>FF</v>
      </c>
      <c r="U238" s="244" t="str">
        <v>KO</v>
      </c>
      <c r="V238" s="344">
        <f t="shared" si="72"/>
        <v>0</v>
      </c>
      <c r="W238" s="344">
        <f t="shared" si="72"/>
        <v>0</v>
      </c>
      <c r="X238" s="344">
        <f t="shared" si="72"/>
        <v>1</v>
      </c>
      <c r="Y238" s="344">
        <f t="shared" si="72"/>
        <v>0</v>
      </c>
      <c r="Z238" s="344">
        <f t="shared" si="72"/>
        <v>0</v>
      </c>
      <c r="AA238" s="344">
        <f t="shared" si="72"/>
        <v>0</v>
      </c>
      <c r="AB238" s="344">
        <f t="shared" si="72"/>
        <v>0</v>
      </c>
      <c r="AC238" s="344">
        <f t="shared" si="72"/>
        <v>0</v>
      </c>
      <c r="AD238" s="344">
        <f t="shared" si="72"/>
        <v>0</v>
      </c>
      <c r="AE238" s="344">
        <f t="shared" si="72"/>
        <v>0</v>
      </c>
      <c r="AF238" s="344">
        <f t="shared" si="73"/>
        <v>0</v>
      </c>
      <c r="AG238" s="344">
        <f t="shared" si="73"/>
        <v>0</v>
      </c>
      <c r="AH238" s="344">
        <f t="shared" si="73"/>
        <v>0</v>
      </c>
      <c r="AI238" s="344">
        <f t="shared" si="73"/>
        <v>0</v>
      </c>
      <c r="AJ238" s="344">
        <f t="shared" si="73"/>
        <v>0</v>
      </c>
      <c r="AK238" s="344">
        <f t="shared" si="73"/>
        <v>0</v>
      </c>
      <c r="AL238" s="344">
        <f t="shared" si="73"/>
        <v>0</v>
      </c>
      <c r="AM238" s="344">
        <f t="shared" si="73"/>
        <v>0</v>
      </c>
      <c r="AN238" s="344">
        <f t="shared" si="73"/>
        <v>0</v>
      </c>
      <c r="AO238" s="344">
        <f t="shared" si="73"/>
        <v>0</v>
      </c>
      <c r="AP238" s="344">
        <f t="shared" si="74"/>
        <v>0</v>
      </c>
      <c r="AQ238" s="344">
        <f t="shared" si="74"/>
        <v>0</v>
      </c>
      <c r="AR238" s="344">
        <f t="shared" si="74"/>
        <v>0</v>
      </c>
      <c r="AS238" s="344">
        <f t="shared" si="74"/>
        <v>0</v>
      </c>
      <c r="AT238" s="344">
        <f t="shared" si="74"/>
        <v>0</v>
      </c>
      <c r="AU238" s="344">
        <f t="shared" si="74"/>
        <v>0</v>
      </c>
      <c r="AV238" s="344">
        <f t="shared" si="74"/>
        <v>0</v>
      </c>
      <c r="AW238" s="244">
        <v>3</v>
      </c>
      <c r="AX238" s="244" t="s">
        <v>1633</v>
      </c>
      <c r="AY238" s="244" t="s">
        <v>1646</v>
      </c>
      <c r="AZ238" s="244" t="s">
        <v>278</v>
      </c>
      <c r="BA238" s="244" t="s">
        <v>1641</v>
      </c>
      <c r="BB238" s="244"/>
    </row>
    <row r="239" spans="1:54" hidden="1">
      <c r="A239" s="326" t="s">
        <v>1410</v>
      </c>
      <c r="B239" s="295" t="str">
        <f t="shared" si="70"/>
        <v>Klugheit: 12 | Intuition: 15 | Charisma: 15</v>
      </c>
      <c r="C239" s="308" t="b">
        <v>0</v>
      </c>
      <c r="D239" s="308" t="b">
        <v>0</v>
      </c>
      <c r="E239" s="308" t="b">
        <f t="shared" si="71"/>
        <v>1</v>
      </c>
      <c r="F239" s="324" t="s">
        <v>307</v>
      </c>
      <c r="G239" s="324" t="s">
        <v>429</v>
      </c>
      <c r="H239" s="324" t="s">
        <v>377</v>
      </c>
      <c r="I239" s="324" t="s">
        <v>1411</v>
      </c>
      <c r="J239" s="295">
        <f>_xlfn.XLOOKUP(G239,Rechner!$A$17:$A$25,Rechner!$B$17:$B$25)</f>
        <v>6</v>
      </c>
      <c r="K239" s="295" t="str">
        <f>_xlfn.XLOOKUP(J239-SUMIF($V$31:$AV$31,TRUE,V239:AV239)-IF(D239=TRUE,1,0),Rechner!$B$17:$B$25,Rechner!$A$17:$A$25,"A+")</f>
        <v>E</v>
      </c>
      <c r="L239" s="295" t="str">
        <f>_xlfn.XLOOKUP(S239,Eigenschaften!$C$20:$C$27,Eigenschaften!$B$20:$B$27)</f>
        <v>Klugheit</v>
      </c>
      <c r="M239" s="295">
        <f>_xlfn.XLOOKUP(L239,Eigenschaften!$B$20:$B$27,Eigenschaften!$H$20:$H$27,"NaN",1)</f>
        <v>12</v>
      </c>
      <c r="N239" s="295" t="str">
        <f>_xlfn.XLOOKUP(T239,Eigenschaften!$C$20:$C$27,Eigenschaften!$B$20:$B$27)</f>
        <v>Intuition</v>
      </c>
      <c r="O239" s="295">
        <f>_xlfn.XLOOKUP(N239,Eigenschaften!$B$20:$B$27,Eigenschaften!$H$20:$H$27,"NaN",1)</f>
        <v>15</v>
      </c>
      <c r="P239" s="295" t="str">
        <f>_xlfn.XLOOKUP(U239,Eigenschaften!$C$20:$C$27,Eigenschaften!$B$20:$B$27)</f>
        <v>Charisma</v>
      </c>
      <c r="Q239" s="295">
        <f>_xlfn.XLOOKUP(P239,Eigenschaften!$B$20:$B$27,Eigenschaften!$H$20:$H$27,"NaN",1)</f>
        <v>15</v>
      </c>
      <c r="R239" s="244"/>
      <c r="S239" s="244" t="str" cm="1">
        <f t="array" ref="S239:U239">_xlfn.TEXTSPLIT(F239,"/",,,,3)</f>
        <v>KL</v>
      </c>
      <c r="T239" s="244" t="str">
        <v>IN</v>
      </c>
      <c r="U239" s="244" t="str">
        <v>CH</v>
      </c>
      <c r="V239" s="325">
        <f t="shared" si="72"/>
        <v>0</v>
      </c>
      <c r="W239" s="298">
        <f t="shared" si="72"/>
        <v>0</v>
      </c>
      <c r="X239" s="298">
        <f t="shared" si="72"/>
        <v>0</v>
      </c>
      <c r="Y239" s="298">
        <f t="shared" si="72"/>
        <v>0</v>
      </c>
      <c r="Z239" s="298">
        <f t="shared" si="72"/>
        <v>0</v>
      </c>
      <c r="AA239" s="298">
        <f t="shared" si="72"/>
        <v>0</v>
      </c>
      <c r="AB239" s="298">
        <f t="shared" si="72"/>
        <v>0</v>
      </c>
      <c r="AC239" s="298">
        <f t="shared" si="72"/>
        <v>0</v>
      </c>
      <c r="AD239" s="298">
        <f t="shared" si="72"/>
        <v>0</v>
      </c>
      <c r="AE239" s="298">
        <f t="shared" si="72"/>
        <v>0</v>
      </c>
      <c r="AF239" s="298">
        <f t="shared" si="73"/>
        <v>0</v>
      </c>
      <c r="AG239" s="298">
        <f t="shared" si="73"/>
        <v>0</v>
      </c>
      <c r="AH239" s="298">
        <f t="shared" si="73"/>
        <v>0</v>
      </c>
      <c r="AI239" s="298">
        <f t="shared" si="73"/>
        <v>0</v>
      </c>
      <c r="AJ239" s="298">
        <f t="shared" si="73"/>
        <v>0</v>
      </c>
      <c r="AK239" s="298">
        <f t="shared" si="73"/>
        <v>0</v>
      </c>
      <c r="AL239" s="298">
        <f t="shared" si="73"/>
        <v>0</v>
      </c>
      <c r="AM239" s="298">
        <f t="shared" si="73"/>
        <v>0</v>
      </c>
      <c r="AN239" s="298">
        <f t="shared" si="73"/>
        <v>0</v>
      </c>
      <c r="AO239" s="298">
        <f t="shared" si="73"/>
        <v>0</v>
      </c>
      <c r="AP239" s="298">
        <f t="shared" si="74"/>
        <v>1</v>
      </c>
      <c r="AQ239" s="298">
        <f t="shared" si="74"/>
        <v>0</v>
      </c>
      <c r="AR239" s="298">
        <f t="shared" si="74"/>
        <v>0</v>
      </c>
      <c r="AS239" s="298">
        <f t="shared" si="74"/>
        <v>0</v>
      </c>
      <c r="AT239" s="298">
        <f t="shared" si="74"/>
        <v>0</v>
      </c>
      <c r="AU239" s="298">
        <f t="shared" si="74"/>
        <v>0</v>
      </c>
      <c r="AV239" s="298">
        <f t="shared" si="74"/>
        <v>0</v>
      </c>
      <c r="AW239" s="244"/>
      <c r="AX239" s="244"/>
      <c r="AY239" s="244"/>
      <c r="AZ239" s="244"/>
      <c r="BA239" s="244"/>
      <c r="BB239" s="244"/>
    </row>
    <row r="240" spans="1:54" hidden="1">
      <c r="A240" s="326" t="s">
        <v>1412</v>
      </c>
      <c r="B240" s="295" t="str">
        <f t="shared" si="70"/>
        <v>Klugheit: 12 | Charisma: 15 | Konstitution: 12</v>
      </c>
      <c r="C240" s="308" t="b">
        <v>0</v>
      </c>
      <c r="D240" s="308" t="b">
        <v>0</v>
      </c>
      <c r="E240" s="308" t="b">
        <f t="shared" si="71"/>
        <v>1</v>
      </c>
      <c r="F240" s="324" t="s">
        <v>406</v>
      </c>
      <c r="G240" s="324" t="s">
        <v>125</v>
      </c>
      <c r="H240" s="324" t="s">
        <v>371</v>
      </c>
      <c r="I240" s="324" t="s">
        <v>1413</v>
      </c>
      <c r="J240" s="295">
        <f>_xlfn.XLOOKUP(G240,Rechner!$A$17:$A$25,Rechner!$B$17:$B$25)</f>
        <v>3</v>
      </c>
      <c r="K240" s="295" t="str">
        <f>_xlfn.XLOOKUP(J240-SUMIF($V$31:$AV$31,TRUE,V240:AV240)-IF(D240=TRUE,1,0),Rechner!$B$17:$B$25,Rechner!$A$17:$A$25,"A+")</f>
        <v>B</v>
      </c>
      <c r="L240" s="295" t="str">
        <f>_xlfn.XLOOKUP(S240,Eigenschaften!$C$20:$C$27,Eigenschaften!$B$20:$B$27)</f>
        <v>Klugheit</v>
      </c>
      <c r="M240" s="295">
        <f>_xlfn.XLOOKUP(L240,Eigenschaften!$B$20:$B$27,Eigenschaften!$H$20:$H$27,"NaN",1)</f>
        <v>12</v>
      </c>
      <c r="N240" s="295" t="str">
        <f>_xlfn.XLOOKUP(T240,Eigenschaften!$C$20:$C$27,Eigenschaften!$B$20:$B$27)</f>
        <v>Charisma</v>
      </c>
      <c r="O240" s="295">
        <f>_xlfn.XLOOKUP(N240,Eigenschaften!$B$20:$B$27,Eigenschaften!$H$20:$H$27,"NaN",1)</f>
        <v>15</v>
      </c>
      <c r="P240" s="295" t="str">
        <f>_xlfn.XLOOKUP(U240,Eigenschaften!$C$20:$C$27,Eigenschaften!$B$20:$B$27)</f>
        <v>Konstitution</v>
      </c>
      <c r="Q240" s="295">
        <f>_xlfn.XLOOKUP(P240,Eigenschaften!$B$20:$B$27,Eigenschaften!$H$20:$H$27,"NaN",1)</f>
        <v>12</v>
      </c>
      <c r="R240" s="244"/>
      <c r="S240" s="244" t="str" cm="1">
        <f t="array" ref="S240:U240">_xlfn.TEXTSPLIT(F240,"/",,,,3)</f>
        <v>KL</v>
      </c>
      <c r="T240" s="244" t="str">
        <v>CH</v>
      </c>
      <c r="U240" s="244" t="str">
        <v>KO</v>
      </c>
      <c r="V240" s="325">
        <f t="shared" si="72"/>
        <v>0</v>
      </c>
      <c r="W240" s="325">
        <f t="shared" si="72"/>
        <v>0</v>
      </c>
      <c r="X240" s="325">
        <f t="shared" si="72"/>
        <v>0</v>
      </c>
      <c r="Y240" s="325">
        <f t="shared" si="72"/>
        <v>0</v>
      </c>
      <c r="Z240" s="325">
        <f t="shared" si="72"/>
        <v>0</v>
      </c>
      <c r="AA240" s="325">
        <f t="shared" si="72"/>
        <v>0</v>
      </c>
      <c r="AB240" s="325">
        <f t="shared" si="72"/>
        <v>0</v>
      </c>
      <c r="AC240" s="325">
        <f t="shared" si="72"/>
        <v>0</v>
      </c>
      <c r="AD240" s="325">
        <f t="shared" si="72"/>
        <v>0</v>
      </c>
      <c r="AE240" s="325">
        <f t="shared" si="72"/>
        <v>0</v>
      </c>
      <c r="AF240" s="325">
        <f t="shared" si="73"/>
        <v>0</v>
      </c>
      <c r="AG240" s="325">
        <f t="shared" si="73"/>
        <v>0</v>
      </c>
      <c r="AH240" s="325">
        <f t="shared" si="73"/>
        <v>0</v>
      </c>
      <c r="AI240" s="325">
        <f t="shared" si="73"/>
        <v>1</v>
      </c>
      <c r="AJ240" s="325">
        <f t="shared" si="73"/>
        <v>0</v>
      </c>
      <c r="AK240" s="325">
        <f t="shared" si="73"/>
        <v>0</v>
      </c>
      <c r="AL240" s="325">
        <f t="shared" si="73"/>
        <v>0</v>
      </c>
      <c r="AM240" s="325">
        <f t="shared" si="73"/>
        <v>0</v>
      </c>
      <c r="AN240" s="325">
        <f t="shared" si="73"/>
        <v>0</v>
      </c>
      <c r="AO240" s="325">
        <f t="shared" si="73"/>
        <v>0</v>
      </c>
      <c r="AP240" s="325">
        <f t="shared" si="74"/>
        <v>0</v>
      </c>
      <c r="AQ240" s="325">
        <f t="shared" si="74"/>
        <v>0</v>
      </c>
      <c r="AR240" s="325">
        <f t="shared" si="74"/>
        <v>0</v>
      </c>
      <c r="AS240" s="325">
        <f t="shared" si="74"/>
        <v>0</v>
      </c>
      <c r="AT240" s="325">
        <f t="shared" si="74"/>
        <v>0</v>
      </c>
      <c r="AU240" s="325">
        <f t="shared" si="74"/>
        <v>0</v>
      </c>
      <c r="AV240" s="325">
        <f t="shared" si="74"/>
        <v>0</v>
      </c>
      <c r="AW240" s="244"/>
      <c r="AX240" s="244"/>
      <c r="AY240" s="244"/>
      <c r="AZ240" s="244"/>
      <c r="BA240" s="244"/>
      <c r="BB240" s="244"/>
    </row>
    <row r="241" spans="1:54" hidden="1">
      <c r="A241" s="326" t="s">
        <v>1414</v>
      </c>
      <c r="B241" s="295" t="str">
        <f t="shared" si="70"/>
        <v>Klugheit: 12 | Charisma: 15 | Konstitution: 12</v>
      </c>
      <c r="C241" s="308" t="b">
        <v>0</v>
      </c>
      <c r="D241" s="308" t="b">
        <v>0</v>
      </c>
      <c r="E241" s="308" t="b">
        <f t="shared" si="71"/>
        <v>1</v>
      </c>
      <c r="F241" s="324" t="s">
        <v>406</v>
      </c>
      <c r="G241" s="324" t="s">
        <v>429</v>
      </c>
      <c r="H241" s="324" t="s">
        <v>369</v>
      </c>
      <c r="I241" s="324" t="s">
        <v>1415</v>
      </c>
      <c r="J241" s="295">
        <f>_xlfn.XLOOKUP(G241,Rechner!$A$17:$A$25,Rechner!$B$17:$B$25)</f>
        <v>6</v>
      </c>
      <c r="K241" s="295" t="str">
        <f>_xlfn.XLOOKUP(J241-SUMIF($V$31:$AV$31,TRUE,V241:AV241)-IF(D241=TRUE,1,0),Rechner!$B$17:$B$25,Rechner!$A$17:$A$25,"A+")</f>
        <v>E</v>
      </c>
      <c r="L241" s="295" t="str">
        <f>_xlfn.XLOOKUP(S241,Eigenschaften!$C$20:$C$27,Eigenschaften!$B$20:$B$27)</f>
        <v>Klugheit</v>
      </c>
      <c r="M241" s="295">
        <f>_xlfn.XLOOKUP(L241,Eigenschaften!$B$20:$B$27,Eigenschaften!$H$20:$H$27,"NaN",1)</f>
        <v>12</v>
      </c>
      <c r="N241" s="295" t="str">
        <f>_xlfn.XLOOKUP(T241,Eigenschaften!$C$20:$C$27,Eigenschaften!$B$20:$B$27)</f>
        <v>Charisma</v>
      </c>
      <c r="O241" s="295">
        <f>_xlfn.XLOOKUP(N241,Eigenschaften!$B$20:$B$27,Eigenschaften!$H$20:$H$27,"NaN",1)</f>
        <v>15</v>
      </c>
      <c r="P241" s="295" t="str">
        <f>_xlfn.XLOOKUP(U241,Eigenschaften!$C$20:$C$27,Eigenschaften!$B$20:$B$27)</f>
        <v>Konstitution</v>
      </c>
      <c r="Q241" s="295">
        <f>_xlfn.XLOOKUP(P241,Eigenschaften!$B$20:$B$27,Eigenschaften!$H$20:$H$27,"NaN",1)</f>
        <v>12</v>
      </c>
      <c r="R241" s="244"/>
      <c r="S241" s="244" t="str" cm="1">
        <f t="array" ref="S241:U241">_xlfn.TEXTSPLIT(F241,"/",,,,3)</f>
        <v>KL</v>
      </c>
      <c r="T241" s="244" t="str">
        <v>CH</v>
      </c>
      <c r="U241" s="244" t="str">
        <v>KO</v>
      </c>
      <c r="V241" s="325">
        <f t="shared" si="72"/>
        <v>0</v>
      </c>
      <c r="W241" s="325">
        <f t="shared" si="72"/>
        <v>0</v>
      </c>
      <c r="X241" s="325">
        <f t="shared" si="72"/>
        <v>0</v>
      </c>
      <c r="Y241" s="325">
        <f t="shared" si="72"/>
        <v>0</v>
      </c>
      <c r="Z241" s="325">
        <f t="shared" si="72"/>
        <v>0</v>
      </c>
      <c r="AA241" s="325">
        <f t="shared" si="72"/>
        <v>0</v>
      </c>
      <c r="AB241" s="325">
        <f t="shared" si="72"/>
        <v>0</v>
      </c>
      <c r="AC241" s="325">
        <f t="shared" si="72"/>
        <v>0</v>
      </c>
      <c r="AD241" s="325">
        <f t="shared" si="72"/>
        <v>0</v>
      </c>
      <c r="AE241" s="325">
        <f t="shared" si="72"/>
        <v>0</v>
      </c>
      <c r="AF241" s="325">
        <f t="shared" si="73"/>
        <v>0</v>
      </c>
      <c r="AG241" s="325">
        <f t="shared" si="73"/>
        <v>1</v>
      </c>
      <c r="AH241" s="325">
        <f t="shared" si="73"/>
        <v>0</v>
      </c>
      <c r="AI241" s="325">
        <f t="shared" si="73"/>
        <v>0</v>
      </c>
      <c r="AJ241" s="325">
        <f t="shared" si="73"/>
        <v>0</v>
      </c>
      <c r="AK241" s="325">
        <f t="shared" si="73"/>
        <v>0</v>
      </c>
      <c r="AL241" s="325">
        <f t="shared" si="73"/>
        <v>0</v>
      </c>
      <c r="AM241" s="325">
        <f t="shared" si="73"/>
        <v>0</v>
      </c>
      <c r="AN241" s="325">
        <f t="shared" si="73"/>
        <v>0</v>
      </c>
      <c r="AO241" s="325">
        <f t="shared" si="73"/>
        <v>0</v>
      </c>
      <c r="AP241" s="325">
        <f t="shared" si="74"/>
        <v>0</v>
      </c>
      <c r="AQ241" s="325">
        <f t="shared" si="74"/>
        <v>0</v>
      </c>
      <c r="AR241" s="325">
        <f t="shared" si="74"/>
        <v>0</v>
      </c>
      <c r="AS241" s="325">
        <f t="shared" si="74"/>
        <v>0</v>
      </c>
      <c r="AT241" s="325">
        <f t="shared" si="74"/>
        <v>0</v>
      </c>
      <c r="AU241" s="325">
        <f t="shared" si="74"/>
        <v>0</v>
      </c>
      <c r="AV241" s="325">
        <f t="shared" si="74"/>
        <v>0</v>
      </c>
      <c r="AW241" s="244"/>
      <c r="AX241" s="244"/>
      <c r="AY241" s="244"/>
      <c r="AZ241" s="244"/>
      <c r="BA241" s="244"/>
      <c r="BB241" s="244"/>
    </row>
    <row r="242" spans="1:54" hidden="1">
      <c r="A242" s="326" t="s">
        <v>1416</v>
      </c>
      <c r="B242" s="295" t="str">
        <f t="shared" si="70"/>
        <v>Mut: 13 | Charisma: 15 | Charisma: 15</v>
      </c>
      <c r="C242" s="308" t="b">
        <v>0</v>
      </c>
      <c r="D242" s="308" t="b">
        <v>0</v>
      </c>
      <c r="E242" s="308" t="b">
        <f t="shared" si="71"/>
        <v>1</v>
      </c>
      <c r="F242" s="324" t="s">
        <v>320</v>
      </c>
      <c r="G242" s="324" t="s">
        <v>125</v>
      </c>
      <c r="H242" s="324" t="s">
        <v>368</v>
      </c>
      <c r="I242" s="324" t="s">
        <v>1417</v>
      </c>
      <c r="J242" s="295">
        <f>_xlfn.XLOOKUP(G242,Rechner!$A$17:$A$25,Rechner!$B$17:$B$25)</f>
        <v>3</v>
      </c>
      <c r="K242" s="295" t="str">
        <f>_xlfn.XLOOKUP(J242-SUMIF($V$31:$AV$31,TRUE,V242:AV242)-IF(D242=TRUE,1,0),Rechner!$B$17:$B$25,Rechner!$A$17:$A$25,"A+")</f>
        <v>A</v>
      </c>
      <c r="L242" s="295" t="str">
        <f>_xlfn.XLOOKUP(S242,Eigenschaften!$C$20:$C$27,Eigenschaften!$B$20:$B$27)</f>
        <v>Mut</v>
      </c>
      <c r="M242" s="295">
        <f>_xlfn.XLOOKUP(L242,Eigenschaften!$B$20:$B$27,Eigenschaften!$H$20:$H$27,"NaN",1)</f>
        <v>13</v>
      </c>
      <c r="N242" s="295" t="str">
        <f>_xlfn.XLOOKUP(T242,Eigenschaften!$C$20:$C$27,Eigenschaften!$B$20:$B$27)</f>
        <v>Charisma</v>
      </c>
      <c r="O242" s="295">
        <f>_xlfn.XLOOKUP(N242,Eigenschaften!$B$20:$B$27,Eigenschaften!$H$20:$H$27,"NaN",1)</f>
        <v>15</v>
      </c>
      <c r="P242" s="295" t="str">
        <f>_xlfn.XLOOKUP(U242,Eigenschaften!$C$20:$C$27,Eigenschaften!$B$20:$B$27)</f>
        <v>Charisma</v>
      </c>
      <c r="Q242" s="295">
        <f>_xlfn.XLOOKUP(P242,Eigenschaften!$B$20:$B$27,Eigenschaften!$H$20:$H$27,"NaN",1)</f>
        <v>15</v>
      </c>
      <c r="R242" s="244"/>
      <c r="S242" s="244" t="str" cm="1">
        <f t="array" ref="S242:U242">_xlfn.TEXTSPLIT(F242,"/",,,,3)</f>
        <v>MU</v>
      </c>
      <c r="T242" s="244" t="str">
        <v>CH</v>
      </c>
      <c r="U242" s="244" t="str">
        <v>CH</v>
      </c>
      <c r="V242" s="325">
        <f t="shared" si="72"/>
        <v>0</v>
      </c>
      <c r="W242" s="325">
        <f t="shared" si="72"/>
        <v>0</v>
      </c>
      <c r="X242" s="325">
        <f t="shared" si="72"/>
        <v>0</v>
      </c>
      <c r="Y242" s="325">
        <f t="shared" si="72"/>
        <v>0</v>
      </c>
      <c r="Z242" s="325">
        <f t="shared" si="72"/>
        <v>0</v>
      </c>
      <c r="AA242" s="325">
        <f t="shared" si="72"/>
        <v>0</v>
      </c>
      <c r="AB242" s="325">
        <f t="shared" si="72"/>
        <v>0</v>
      </c>
      <c r="AC242" s="325">
        <f t="shared" si="72"/>
        <v>0</v>
      </c>
      <c r="AD242" s="325">
        <f t="shared" si="72"/>
        <v>0</v>
      </c>
      <c r="AE242" s="325">
        <f t="shared" si="72"/>
        <v>0</v>
      </c>
      <c r="AF242" s="325">
        <f t="shared" si="73"/>
        <v>1</v>
      </c>
      <c r="AG242" s="325">
        <f t="shared" si="73"/>
        <v>0</v>
      </c>
      <c r="AH242" s="325">
        <f t="shared" si="73"/>
        <v>0</v>
      </c>
      <c r="AI242" s="325">
        <f t="shared" si="73"/>
        <v>0</v>
      </c>
      <c r="AJ242" s="325">
        <f t="shared" si="73"/>
        <v>0</v>
      </c>
      <c r="AK242" s="325">
        <f t="shared" si="73"/>
        <v>0</v>
      </c>
      <c r="AL242" s="325">
        <f t="shared" si="73"/>
        <v>0</v>
      </c>
      <c r="AM242" s="325">
        <f t="shared" si="73"/>
        <v>0</v>
      </c>
      <c r="AN242" s="325">
        <f t="shared" si="73"/>
        <v>0</v>
      </c>
      <c r="AO242" s="325">
        <f t="shared" si="73"/>
        <v>0</v>
      </c>
      <c r="AP242" s="325">
        <f t="shared" si="74"/>
        <v>0</v>
      </c>
      <c r="AQ242" s="325">
        <f t="shared" si="74"/>
        <v>0</v>
      </c>
      <c r="AR242" s="325">
        <f t="shared" si="74"/>
        <v>0</v>
      </c>
      <c r="AS242" s="325">
        <f t="shared" si="74"/>
        <v>0</v>
      </c>
      <c r="AT242" s="325">
        <f t="shared" si="74"/>
        <v>0</v>
      </c>
      <c r="AU242" s="325">
        <f t="shared" si="74"/>
        <v>0</v>
      </c>
      <c r="AV242" s="325">
        <f t="shared" si="74"/>
        <v>0</v>
      </c>
      <c r="AW242" s="244"/>
      <c r="AX242" s="244"/>
      <c r="AY242" s="244"/>
      <c r="AZ242" s="244"/>
      <c r="BA242" s="244"/>
      <c r="BB242" s="244"/>
    </row>
    <row r="243" spans="1:54" hidden="1">
      <c r="A243" s="326" t="s">
        <v>1418</v>
      </c>
      <c r="B243" s="295" t="str">
        <f t="shared" si="70"/>
        <v>Klugheit: 12 | Charisma: 15 | Fingerfertigkeit: 10</v>
      </c>
      <c r="C243" s="308" t="b">
        <v>0</v>
      </c>
      <c r="D243" s="308" t="b">
        <v>0</v>
      </c>
      <c r="E243" s="308" t="b">
        <f t="shared" si="71"/>
        <v>1</v>
      </c>
      <c r="F243" s="324" t="s">
        <v>393</v>
      </c>
      <c r="G243" s="324" t="s">
        <v>110</v>
      </c>
      <c r="H243" s="324" t="s">
        <v>1419</v>
      </c>
      <c r="I243" s="324" t="s">
        <v>1420</v>
      </c>
      <c r="J243" s="295">
        <f>_xlfn.XLOOKUP(G243,Rechner!$A$17:$A$25,Rechner!$B$17:$B$25)</f>
        <v>4</v>
      </c>
      <c r="K243" s="295" t="str">
        <f>_xlfn.XLOOKUP(J243-SUMIF($V$31:$AV$31,TRUE,V243:AV243)-IF(D243=TRUE,1,0),Rechner!$B$17:$B$25,Rechner!$A$17:$A$25,"A+")</f>
        <v>C</v>
      </c>
      <c r="L243" s="295" t="str">
        <f>_xlfn.XLOOKUP(S243,Eigenschaften!$C$20:$C$27,Eigenschaften!$B$20:$B$27)</f>
        <v>Klugheit</v>
      </c>
      <c r="M243" s="295">
        <f>_xlfn.XLOOKUP(L243,Eigenschaften!$B$20:$B$27,Eigenschaften!$H$20:$H$27,"NaN",1)</f>
        <v>12</v>
      </c>
      <c r="N243" s="295" t="str">
        <f>_xlfn.XLOOKUP(T243,Eigenschaften!$C$20:$C$27,Eigenschaften!$B$20:$B$27)</f>
        <v>Charisma</v>
      </c>
      <c r="O243" s="295">
        <f>_xlfn.XLOOKUP(N243,Eigenschaften!$B$20:$B$27,Eigenschaften!$H$20:$H$27,"NaN",1)</f>
        <v>15</v>
      </c>
      <c r="P243" s="295" t="str">
        <f>_xlfn.XLOOKUP(U243,Eigenschaften!$C$20:$C$27,Eigenschaften!$B$20:$B$27)</f>
        <v>Fingerfertigkeit</v>
      </c>
      <c r="Q243" s="295">
        <f>_xlfn.XLOOKUP(P243,Eigenschaften!$B$20:$B$27,Eigenschaften!$H$20:$H$27,"NaN",1)</f>
        <v>10</v>
      </c>
      <c r="R243" s="244"/>
      <c r="S243" s="244" t="str" cm="1">
        <f t="array" ref="S243:U243">_xlfn.TEXTSPLIT(F243,"/",,,,3)</f>
        <v>KL</v>
      </c>
      <c r="T243" s="244" t="str">
        <v>CH</v>
      </c>
      <c r="U243" s="244" t="str">
        <v>FF</v>
      </c>
      <c r="V243" s="325">
        <f t="shared" si="72"/>
        <v>0</v>
      </c>
      <c r="W243" s="325">
        <f t="shared" si="72"/>
        <v>0</v>
      </c>
      <c r="X243" s="325">
        <f t="shared" si="72"/>
        <v>0</v>
      </c>
      <c r="Y243" s="325">
        <f t="shared" si="72"/>
        <v>1</v>
      </c>
      <c r="Z243" s="325">
        <f t="shared" si="72"/>
        <v>0</v>
      </c>
      <c r="AA243" s="325">
        <f t="shared" si="72"/>
        <v>0</v>
      </c>
      <c r="AB243" s="325">
        <f t="shared" si="72"/>
        <v>0</v>
      </c>
      <c r="AC243" s="325">
        <f t="shared" si="72"/>
        <v>0</v>
      </c>
      <c r="AD243" s="325">
        <f t="shared" si="72"/>
        <v>1</v>
      </c>
      <c r="AE243" s="325">
        <f t="shared" si="72"/>
        <v>1</v>
      </c>
      <c r="AF243" s="325">
        <f t="shared" si="73"/>
        <v>0</v>
      </c>
      <c r="AG243" s="325">
        <f t="shared" si="73"/>
        <v>0</v>
      </c>
      <c r="AH243" s="325">
        <f t="shared" si="73"/>
        <v>0</v>
      </c>
      <c r="AI243" s="325">
        <f t="shared" si="73"/>
        <v>0</v>
      </c>
      <c r="AJ243" s="325">
        <f t="shared" si="73"/>
        <v>0</v>
      </c>
      <c r="AK243" s="325">
        <f t="shared" si="73"/>
        <v>0</v>
      </c>
      <c r="AL243" s="325">
        <f t="shared" si="73"/>
        <v>0</v>
      </c>
      <c r="AM243" s="325">
        <f t="shared" si="73"/>
        <v>0</v>
      </c>
      <c r="AN243" s="325">
        <f t="shared" si="73"/>
        <v>0</v>
      </c>
      <c r="AO243" s="325">
        <f t="shared" si="73"/>
        <v>0</v>
      </c>
      <c r="AP243" s="325">
        <f t="shared" si="74"/>
        <v>0</v>
      </c>
      <c r="AQ243" s="325">
        <f t="shared" si="74"/>
        <v>0</v>
      </c>
      <c r="AR243" s="325">
        <f t="shared" si="74"/>
        <v>0</v>
      </c>
      <c r="AS243" s="325">
        <f t="shared" si="74"/>
        <v>1</v>
      </c>
      <c r="AT243" s="325">
        <f t="shared" si="74"/>
        <v>0</v>
      </c>
      <c r="AU243" s="325">
        <f t="shared" si="74"/>
        <v>0</v>
      </c>
      <c r="AV243" s="325">
        <f t="shared" si="74"/>
        <v>0</v>
      </c>
      <c r="AW243" s="244"/>
      <c r="AX243" s="244"/>
      <c r="AY243" s="244"/>
      <c r="AZ243" s="244"/>
      <c r="BA243" s="244"/>
      <c r="BB243" s="244"/>
    </row>
    <row r="244" spans="1:54" hidden="1">
      <c r="A244" s="326" t="s">
        <v>1421</v>
      </c>
      <c r="B244" s="295" t="str">
        <f t="shared" si="70"/>
        <v>Intuition: 15 | Charisma: 15 | Charisma: 15</v>
      </c>
      <c r="C244" s="308" t="b">
        <v>0</v>
      </c>
      <c r="D244" s="308" t="b">
        <v>0</v>
      </c>
      <c r="E244" s="308" t="b">
        <f t="shared" si="71"/>
        <v>1</v>
      </c>
      <c r="F244" s="324" t="s">
        <v>481</v>
      </c>
      <c r="G244" s="324" t="s">
        <v>125</v>
      </c>
      <c r="H244" s="324" t="s">
        <v>1422</v>
      </c>
      <c r="I244" s="324" t="s">
        <v>1423</v>
      </c>
      <c r="J244" s="295">
        <f>_xlfn.XLOOKUP(G244,Rechner!$A$17:$A$25,Rechner!$B$17:$B$25)</f>
        <v>3</v>
      </c>
      <c r="K244" s="295" t="str">
        <f>_xlfn.XLOOKUP(J244-SUMIF($V$31:$AV$31,TRUE,V244:AV244)-IF(D244=TRUE,1,0),Rechner!$B$17:$B$25,Rechner!$A$17:$A$25,"A+")</f>
        <v>A</v>
      </c>
      <c r="L244" s="295" t="str">
        <f>_xlfn.XLOOKUP(S244,Eigenschaften!$C$20:$C$27,Eigenschaften!$B$20:$B$27)</f>
        <v>Intuition</v>
      </c>
      <c r="M244" s="295">
        <f>_xlfn.XLOOKUP(L244,Eigenschaften!$B$20:$B$27,Eigenschaften!$H$20:$H$27,"NaN",1)</f>
        <v>15</v>
      </c>
      <c r="N244" s="295" t="str">
        <f>_xlfn.XLOOKUP(T244,Eigenschaften!$C$20:$C$27,Eigenschaften!$B$20:$B$27)</f>
        <v>Charisma</v>
      </c>
      <c r="O244" s="295">
        <f>_xlfn.XLOOKUP(N244,Eigenschaften!$B$20:$B$27,Eigenschaften!$H$20:$H$27,"NaN",1)</f>
        <v>15</v>
      </c>
      <c r="P244" s="295" t="str">
        <f>_xlfn.XLOOKUP(U244,Eigenschaften!$C$20:$C$27,Eigenschaften!$B$20:$B$27)</f>
        <v>Charisma</v>
      </c>
      <c r="Q244" s="295">
        <f>_xlfn.XLOOKUP(P244,Eigenschaften!$B$20:$B$27,Eigenschaften!$H$20:$H$27,"NaN",1)</f>
        <v>15</v>
      </c>
      <c r="R244" s="244"/>
      <c r="S244" s="244" t="str" cm="1">
        <f t="array" ref="S244:U244">_xlfn.TEXTSPLIT(F244,"/",,,,3)</f>
        <v>IN</v>
      </c>
      <c r="T244" s="244" t="str">
        <v>CH</v>
      </c>
      <c r="U244" s="244" t="str">
        <v>CH</v>
      </c>
      <c r="V244" s="325">
        <f t="shared" si="72"/>
        <v>0</v>
      </c>
      <c r="W244" s="325">
        <f t="shared" si="72"/>
        <v>0</v>
      </c>
      <c r="X244" s="325">
        <f t="shared" si="72"/>
        <v>1</v>
      </c>
      <c r="Y244" s="325">
        <f t="shared" si="72"/>
        <v>0</v>
      </c>
      <c r="Z244" s="325">
        <f t="shared" si="72"/>
        <v>0</v>
      </c>
      <c r="AA244" s="325">
        <f t="shared" si="72"/>
        <v>0</v>
      </c>
      <c r="AB244" s="325">
        <f t="shared" si="72"/>
        <v>0</v>
      </c>
      <c r="AC244" s="325">
        <f t="shared" si="72"/>
        <v>0</v>
      </c>
      <c r="AD244" s="325">
        <f t="shared" si="72"/>
        <v>0</v>
      </c>
      <c r="AE244" s="325">
        <f t="shared" si="72"/>
        <v>0</v>
      </c>
      <c r="AF244" s="325">
        <f t="shared" si="73"/>
        <v>0</v>
      </c>
      <c r="AG244" s="325">
        <f t="shared" si="73"/>
        <v>0</v>
      </c>
      <c r="AH244" s="325">
        <f t="shared" si="73"/>
        <v>0</v>
      </c>
      <c r="AI244" s="325">
        <f t="shared" si="73"/>
        <v>0</v>
      </c>
      <c r="AJ244" s="325">
        <f t="shared" si="73"/>
        <v>0</v>
      </c>
      <c r="AK244" s="325">
        <f t="shared" si="73"/>
        <v>0</v>
      </c>
      <c r="AL244" s="325">
        <f t="shared" si="73"/>
        <v>0</v>
      </c>
      <c r="AM244" s="325">
        <f t="shared" si="73"/>
        <v>1</v>
      </c>
      <c r="AN244" s="325">
        <f t="shared" si="73"/>
        <v>0</v>
      </c>
      <c r="AO244" s="325">
        <f t="shared" si="73"/>
        <v>0</v>
      </c>
      <c r="AP244" s="325">
        <f t="shared" si="74"/>
        <v>0</v>
      </c>
      <c r="AQ244" s="325">
        <f t="shared" si="74"/>
        <v>0</v>
      </c>
      <c r="AR244" s="325">
        <f t="shared" si="74"/>
        <v>0</v>
      </c>
      <c r="AS244" s="325">
        <f t="shared" si="74"/>
        <v>0</v>
      </c>
      <c r="AT244" s="325">
        <f t="shared" si="74"/>
        <v>0</v>
      </c>
      <c r="AU244" s="325">
        <f t="shared" si="74"/>
        <v>0</v>
      </c>
      <c r="AV244" s="325">
        <f t="shared" si="74"/>
        <v>0</v>
      </c>
      <c r="AW244" s="244"/>
      <c r="AX244" s="244"/>
      <c r="AY244" s="244"/>
      <c r="AZ244" s="244"/>
      <c r="BA244" s="244"/>
      <c r="BB244" s="244"/>
    </row>
    <row r="245" spans="1:54" hidden="1">
      <c r="A245" s="326" t="s">
        <v>1424</v>
      </c>
      <c r="B245" s="295" t="str">
        <f t="shared" si="70"/>
        <v>Klugheit: 12 | Intuition: 15 | Charisma: 15</v>
      </c>
      <c r="C245" s="308" t="b">
        <v>0</v>
      </c>
      <c r="D245" s="308" t="b">
        <v>0</v>
      </c>
      <c r="E245" s="308" t="b">
        <f t="shared" si="71"/>
        <v>0</v>
      </c>
      <c r="F245" s="324" t="s">
        <v>307</v>
      </c>
      <c r="G245" s="324" t="s">
        <v>125</v>
      </c>
      <c r="H245" s="324" t="s">
        <v>368</v>
      </c>
      <c r="I245" s="324" t="s">
        <v>755</v>
      </c>
      <c r="J245" s="295">
        <f>_xlfn.XLOOKUP(G245,Rechner!$A$17:$A$25,Rechner!$B$17:$B$25)</f>
        <v>3</v>
      </c>
      <c r="K245" s="295" t="str">
        <f>_xlfn.XLOOKUP(J245-SUMIF($V$31:$AV$31,TRUE,V245:AV245)-IF(D245=TRUE,1,0),Rechner!$B$17:$B$25,Rechner!$A$17:$A$25,"A+")</f>
        <v>A</v>
      </c>
      <c r="L245" s="295" t="str">
        <f>_xlfn.XLOOKUP(S245,Eigenschaften!$C$20:$C$27,Eigenschaften!$B$20:$B$27)</f>
        <v>Klugheit</v>
      </c>
      <c r="M245" s="295">
        <f>_xlfn.XLOOKUP(L245,Eigenschaften!$B$20:$B$27,Eigenschaften!$H$20:$H$27,"NaN",1)</f>
        <v>12</v>
      </c>
      <c r="N245" s="295" t="str">
        <f>_xlfn.XLOOKUP(T245,Eigenschaften!$C$20:$C$27,Eigenschaften!$B$20:$B$27)</f>
        <v>Intuition</v>
      </c>
      <c r="O245" s="295">
        <f>_xlfn.XLOOKUP(N245,Eigenschaften!$B$20:$B$27,Eigenschaften!$H$20:$H$27,"NaN",1)</f>
        <v>15</v>
      </c>
      <c r="P245" s="295" t="str">
        <f>_xlfn.XLOOKUP(U245,Eigenschaften!$C$20:$C$27,Eigenschaften!$B$20:$B$27)</f>
        <v>Charisma</v>
      </c>
      <c r="Q245" s="295">
        <f>_xlfn.XLOOKUP(P245,Eigenschaften!$B$20:$B$27,Eigenschaften!$H$20:$H$27,"NaN",1)</f>
        <v>15</v>
      </c>
      <c r="R245" s="244"/>
      <c r="S245" s="244" t="str" cm="1">
        <f t="array" ref="S245:U245">_xlfn.TEXTSPLIT(F245,"/",,,,3)</f>
        <v>KL</v>
      </c>
      <c r="T245" s="244" t="str">
        <v>IN</v>
      </c>
      <c r="U245" s="244" t="str">
        <v>CH</v>
      </c>
      <c r="V245" s="325">
        <f t="shared" si="72"/>
        <v>0</v>
      </c>
      <c r="W245" s="325">
        <f t="shared" si="72"/>
        <v>0</v>
      </c>
      <c r="X245" s="325">
        <f t="shared" si="72"/>
        <v>0</v>
      </c>
      <c r="Y245" s="325">
        <f t="shared" si="72"/>
        <v>0</v>
      </c>
      <c r="Z245" s="325">
        <f t="shared" si="72"/>
        <v>0</v>
      </c>
      <c r="AA245" s="325">
        <f t="shared" si="72"/>
        <v>0</v>
      </c>
      <c r="AB245" s="325">
        <f t="shared" si="72"/>
        <v>0</v>
      </c>
      <c r="AC245" s="325">
        <f t="shared" si="72"/>
        <v>0</v>
      </c>
      <c r="AD245" s="325">
        <f t="shared" si="72"/>
        <v>0</v>
      </c>
      <c r="AE245" s="325">
        <f t="shared" si="72"/>
        <v>0</v>
      </c>
      <c r="AF245" s="325">
        <f t="shared" si="73"/>
        <v>1</v>
      </c>
      <c r="AG245" s="325">
        <f t="shared" si="73"/>
        <v>0</v>
      </c>
      <c r="AH245" s="325">
        <f t="shared" si="73"/>
        <v>0</v>
      </c>
      <c r="AI245" s="325">
        <f t="shared" si="73"/>
        <v>0</v>
      </c>
      <c r="AJ245" s="325">
        <f t="shared" si="73"/>
        <v>0</v>
      </c>
      <c r="AK245" s="325">
        <f t="shared" si="73"/>
        <v>0</v>
      </c>
      <c r="AL245" s="325">
        <f t="shared" si="73"/>
        <v>0</v>
      </c>
      <c r="AM245" s="325">
        <f t="shared" si="73"/>
        <v>0</v>
      </c>
      <c r="AN245" s="325">
        <f t="shared" si="73"/>
        <v>0</v>
      </c>
      <c r="AO245" s="325">
        <f t="shared" si="73"/>
        <v>0</v>
      </c>
      <c r="AP245" s="325">
        <f t="shared" si="74"/>
        <v>0</v>
      </c>
      <c r="AQ245" s="325">
        <f t="shared" si="74"/>
        <v>0</v>
      </c>
      <c r="AR245" s="325">
        <f t="shared" si="74"/>
        <v>0</v>
      </c>
      <c r="AS245" s="325">
        <f t="shared" si="74"/>
        <v>0</v>
      </c>
      <c r="AT245" s="325">
        <f t="shared" si="74"/>
        <v>0</v>
      </c>
      <c r="AU245" s="325">
        <f t="shared" si="74"/>
        <v>0</v>
      </c>
      <c r="AV245" s="325">
        <f t="shared" si="74"/>
        <v>0</v>
      </c>
      <c r="AW245" s="244"/>
      <c r="AX245" s="244"/>
      <c r="AY245" s="244"/>
      <c r="AZ245" s="244"/>
      <c r="BA245" s="244"/>
      <c r="BB245" s="244"/>
    </row>
    <row r="246" spans="1:54" hidden="1">
      <c r="A246" s="326" t="s">
        <v>1425</v>
      </c>
      <c r="B246" s="295" t="str">
        <f t="shared" si="70"/>
        <v>Mut: 13 | Intuition: 15 | Konstitution: 12</v>
      </c>
      <c r="C246" s="308" t="b">
        <v>0</v>
      </c>
      <c r="D246" s="308" t="b">
        <v>0</v>
      </c>
      <c r="E246" s="308" t="b">
        <f t="shared" si="71"/>
        <v>0</v>
      </c>
      <c r="F246" s="324" t="s">
        <v>310</v>
      </c>
      <c r="G246" s="324" t="s">
        <v>110</v>
      </c>
      <c r="H246" s="324" t="s">
        <v>1426</v>
      </c>
      <c r="I246" s="324" t="s">
        <v>1427</v>
      </c>
      <c r="J246" s="295">
        <f>_xlfn.XLOOKUP(G246,Rechner!$A$17:$A$25,Rechner!$B$17:$B$25)</f>
        <v>4</v>
      </c>
      <c r="K246" s="295" t="str">
        <f>_xlfn.XLOOKUP(J246-SUMIF($V$31:$AV$31,TRUE,V246:AV246)-IF(D246=TRUE,1,0),Rechner!$B$17:$B$25,Rechner!$A$17:$A$25,"A+")</f>
        <v>C</v>
      </c>
      <c r="L246" s="295" t="str">
        <f>_xlfn.XLOOKUP(S246,Eigenschaften!$C$20:$C$27,Eigenschaften!$B$20:$B$27)</f>
        <v>Mut</v>
      </c>
      <c r="M246" s="295">
        <f>_xlfn.XLOOKUP(L246,Eigenschaften!$B$20:$B$27,Eigenschaften!$H$20:$H$27,"NaN",1)</f>
        <v>13</v>
      </c>
      <c r="N246" s="295" t="str">
        <f>_xlfn.XLOOKUP(T246,Eigenschaften!$C$20:$C$27,Eigenschaften!$B$20:$B$27)</f>
        <v>Intuition</v>
      </c>
      <c r="O246" s="295">
        <f>_xlfn.XLOOKUP(N246,Eigenschaften!$B$20:$B$27,Eigenschaften!$H$20:$H$27,"NaN",1)</f>
        <v>15</v>
      </c>
      <c r="P246" s="295" t="str">
        <f>_xlfn.XLOOKUP(U246,Eigenschaften!$C$20:$C$27,Eigenschaften!$B$20:$B$27)</f>
        <v>Konstitution</v>
      </c>
      <c r="Q246" s="295">
        <f>_xlfn.XLOOKUP(P246,Eigenschaften!$B$20:$B$27,Eigenschaften!$H$20:$H$27,"NaN",1)</f>
        <v>12</v>
      </c>
      <c r="R246" s="244"/>
      <c r="S246" s="244" t="str" cm="1">
        <f t="array" ref="S246:U246">_xlfn.TEXTSPLIT(F246,"/",,,,3)</f>
        <v>MU</v>
      </c>
      <c r="T246" s="244" t="str">
        <v>IN</v>
      </c>
      <c r="U246" s="244" t="str">
        <v>KO</v>
      </c>
      <c r="V246" s="325">
        <f t="shared" ref="V246:AE255" si="75">IF(ISNUMBER(SEARCH(V$32,$H246)),1,0)</f>
        <v>1</v>
      </c>
      <c r="W246" s="325">
        <f t="shared" si="75"/>
        <v>0</v>
      </c>
      <c r="X246" s="325">
        <f t="shared" si="75"/>
        <v>0</v>
      </c>
      <c r="Y246" s="325">
        <f t="shared" si="75"/>
        <v>0</v>
      </c>
      <c r="Z246" s="325">
        <f t="shared" si="75"/>
        <v>0</v>
      </c>
      <c r="AA246" s="325">
        <f t="shared" si="75"/>
        <v>0</v>
      </c>
      <c r="AB246" s="325">
        <f t="shared" si="75"/>
        <v>0</v>
      </c>
      <c r="AC246" s="325">
        <f t="shared" si="75"/>
        <v>0</v>
      </c>
      <c r="AD246" s="325">
        <f t="shared" si="75"/>
        <v>0</v>
      </c>
      <c r="AE246" s="325">
        <f t="shared" si="75"/>
        <v>0</v>
      </c>
      <c r="AF246" s="325">
        <f t="shared" ref="AF246:AO255" si="76">IF(ISNUMBER(SEARCH(AF$32,$H246)),1,0)</f>
        <v>0</v>
      </c>
      <c r="AG246" s="325">
        <f t="shared" si="76"/>
        <v>0</v>
      </c>
      <c r="AH246" s="325">
        <f t="shared" si="76"/>
        <v>0</v>
      </c>
      <c r="AI246" s="325">
        <f t="shared" si="76"/>
        <v>0</v>
      </c>
      <c r="AJ246" s="325">
        <f t="shared" si="76"/>
        <v>0</v>
      </c>
      <c r="AK246" s="325">
        <f t="shared" si="76"/>
        <v>0</v>
      </c>
      <c r="AL246" s="325">
        <f t="shared" si="76"/>
        <v>0</v>
      </c>
      <c r="AM246" s="325">
        <f t="shared" si="76"/>
        <v>0</v>
      </c>
      <c r="AN246" s="325">
        <f t="shared" si="76"/>
        <v>0</v>
      </c>
      <c r="AO246" s="325">
        <f t="shared" si="76"/>
        <v>0</v>
      </c>
      <c r="AP246" s="325">
        <f t="shared" ref="AP246:AV255" si="77">IF(ISNUMBER(SEARCH(AP$32,$H246)),1,0)</f>
        <v>0</v>
      </c>
      <c r="AQ246" s="325">
        <f t="shared" si="77"/>
        <v>0</v>
      </c>
      <c r="AR246" s="325">
        <f t="shared" si="77"/>
        <v>1</v>
      </c>
      <c r="AS246" s="325">
        <f t="shared" si="77"/>
        <v>0</v>
      </c>
      <c r="AT246" s="325">
        <f t="shared" si="77"/>
        <v>0</v>
      </c>
      <c r="AU246" s="325">
        <f t="shared" si="77"/>
        <v>0</v>
      </c>
      <c r="AV246" s="325">
        <f t="shared" si="77"/>
        <v>0</v>
      </c>
      <c r="AW246" s="244"/>
      <c r="AX246" s="244"/>
      <c r="AY246" s="244"/>
      <c r="AZ246" s="244"/>
      <c r="BA246" s="244"/>
      <c r="BB246" s="244"/>
    </row>
    <row r="247" spans="1:54" hidden="1">
      <c r="A247" s="326" t="s">
        <v>1428</v>
      </c>
      <c r="B247" s="295" t="str">
        <f t="shared" si="70"/>
        <v>Intuition: 15 | Gewandheit: 14 | Fingerfertigkeit: 10</v>
      </c>
      <c r="C247" s="308" t="b">
        <v>0</v>
      </c>
      <c r="D247" s="308" t="b">
        <v>0</v>
      </c>
      <c r="E247" s="308" t="b">
        <f t="shared" si="71"/>
        <v>0</v>
      </c>
      <c r="F247" s="324" t="s">
        <v>1429</v>
      </c>
      <c r="G247" s="324" t="s">
        <v>110</v>
      </c>
      <c r="H247" s="324" t="s">
        <v>382</v>
      </c>
      <c r="I247" s="324" t="s">
        <v>460</v>
      </c>
      <c r="J247" s="295">
        <f>_xlfn.XLOOKUP(G247,Rechner!$A$17:$A$25,Rechner!$B$17:$B$25)</f>
        <v>4</v>
      </c>
      <c r="K247" s="295" t="str">
        <f>_xlfn.XLOOKUP(J247-SUMIF($V$31:$AV$31,TRUE,V247:AV247)-IF(D247=TRUE,1,0),Rechner!$B$17:$B$25,Rechner!$A$17:$A$25,"A+")</f>
        <v>C</v>
      </c>
      <c r="L247" s="295" t="str">
        <f>_xlfn.XLOOKUP(S247,Eigenschaften!$C$20:$C$27,Eigenschaften!$B$20:$B$27)</f>
        <v>Intuition</v>
      </c>
      <c r="M247" s="295">
        <f>_xlfn.XLOOKUP(L247,Eigenschaften!$B$20:$B$27,Eigenschaften!$H$20:$H$27,"NaN",1)</f>
        <v>15</v>
      </c>
      <c r="N247" s="295" t="str">
        <f>_xlfn.XLOOKUP(T247,Eigenschaften!$C$20:$C$27,Eigenschaften!$B$20:$B$27)</f>
        <v>Gewandheit</v>
      </c>
      <c r="O247" s="295">
        <f>_xlfn.XLOOKUP(N247,Eigenschaften!$B$20:$B$27,Eigenschaften!$H$20:$H$27,"NaN",1)</f>
        <v>14</v>
      </c>
      <c r="P247" s="295" t="str">
        <f>_xlfn.XLOOKUP(U247,Eigenschaften!$C$20:$C$27,Eigenschaften!$B$20:$B$27)</f>
        <v>Fingerfertigkeit</v>
      </c>
      <c r="Q247" s="295">
        <f>_xlfn.XLOOKUP(P247,Eigenschaften!$B$20:$B$27,Eigenschaften!$H$20:$H$27,"NaN",1)</f>
        <v>10</v>
      </c>
      <c r="R247" s="244"/>
      <c r="S247" s="244" t="str" cm="1">
        <f t="array" ref="S247:U247">_xlfn.TEXTSPLIT(F247,"/",,,,3)</f>
        <v>IN</v>
      </c>
      <c r="T247" s="244" t="str">
        <v>GE</v>
      </c>
      <c r="U247" s="244" t="str">
        <v>FF</v>
      </c>
      <c r="V247" s="325">
        <f t="shared" si="75"/>
        <v>0</v>
      </c>
      <c r="W247" s="325">
        <f t="shared" si="75"/>
        <v>0</v>
      </c>
      <c r="X247" s="325">
        <f t="shared" si="75"/>
        <v>0</v>
      </c>
      <c r="Y247" s="325">
        <f t="shared" si="75"/>
        <v>0</v>
      </c>
      <c r="Z247" s="325">
        <f t="shared" si="75"/>
        <v>0</v>
      </c>
      <c r="AA247" s="325">
        <f t="shared" si="75"/>
        <v>0</v>
      </c>
      <c r="AB247" s="325">
        <f t="shared" si="75"/>
        <v>0</v>
      </c>
      <c r="AC247" s="325">
        <f t="shared" si="75"/>
        <v>0</v>
      </c>
      <c r="AD247" s="325">
        <f t="shared" si="75"/>
        <v>0</v>
      </c>
      <c r="AE247" s="325">
        <f t="shared" si="75"/>
        <v>0</v>
      </c>
      <c r="AF247" s="325">
        <f t="shared" si="76"/>
        <v>0</v>
      </c>
      <c r="AG247" s="325">
        <f t="shared" si="76"/>
        <v>0</v>
      </c>
      <c r="AH247" s="325">
        <f t="shared" si="76"/>
        <v>0</v>
      </c>
      <c r="AI247" s="325">
        <f t="shared" si="76"/>
        <v>0</v>
      </c>
      <c r="AJ247" s="325">
        <f t="shared" si="76"/>
        <v>0</v>
      </c>
      <c r="AK247" s="325">
        <f t="shared" si="76"/>
        <v>0</v>
      </c>
      <c r="AL247" s="325">
        <f t="shared" si="76"/>
        <v>0</v>
      </c>
      <c r="AM247" s="325">
        <f t="shared" si="76"/>
        <v>0</v>
      </c>
      <c r="AN247" s="325">
        <f t="shared" si="76"/>
        <v>0</v>
      </c>
      <c r="AO247" s="325">
        <f t="shared" si="76"/>
        <v>0</v>
      </c>
      <c r="AP247" s="325">
        <f t="shared" si="77"/>
        <v>0</v>
      </c>
      <c r="AQ247" s="325">
        <f t="shared" si="77"/>
        <v>0</v>
      </c>
      <c r="AR247" s="325">
        <f t="shared" si="77"/>
        <v>0</v>
      </c>
      <c r="AS247" s="325">
        <f t="shared" si="77"/>
        <v>0</v>
      </c>
      <c r="AT247" s="325">
        <f t="shared" si="77"/>
        <v>0</v>
      </c>
      <c r="AU247" s="325">
        <f t="shared" si="77"/>
        <v>1</v>
      </c>
      <c r="AV247" s="325">
        <f t="shared" si="77"/>
        <v>0</v>
      </c>
      <c r="AW247" s="244"/>
      <c r="AX247" s="244"/>
      <c r="AY247" s="244"/>
      <c r="AZ247" s="244"/>
      <c r="BA247" s="244"/>
      <c r="BB247" s="244"/>
    </row>
    <row r="248" spans="1:54" hidden="1">
      <c r="A248" s="326" t="s">
        <v>1430</v>
      </c>
      <c r="B248" s="295" t="str">
        <f t="shared" si="70"/>
        <v>Mut: 13 | Intuition: 15 | Charisma: 15</v>
      </c>
      <c r="C248" s="308" t="b">
        <v>0</v>
      </c>
      <c r="D248" s="308" t="b">
        <v>0</v>
      </c>
      <c r="E248" s="308" t="b">
        <f t="shared" si="71"/>
        <v>0</v>
      </c>
      <c r="F248" s="324" t="s">
        <v>336</v>
      </c>
      <c r="G248" s="324" t="s">
        <v>113</v>
      </c>
      <c r="H248" s="324" t="s">
        <v>368</v>
      </c>
      <c r="I248" s="324" t="s">
        <v>565</v>
      </c>
      <c r="J248" s="295">
        <f>_xlfn.XLOOKUP(G248,Rechner!$A$17:$A$25,Rechner!$B$17:$B$25)</f>
        <v>5</v>
      </c>
      <c r="K248" s="295" t="str">
        <f>_xlfn.XLOOKUP(J248-SUMIF($V$31:$AV$31,TRUE,V248:AV248)-IF(D248=TRUE,1,0),Rechner!$B$17:$B$25,Rechner!$A$17:$A$25,"A+")</f>
        <v>C</v>
      </c>
      <c r="L248" s="295" t="str">
        <f>_xlfn.XLOOKUP(S248,Eigenschaften!$C$20:$C$27,Eigenschaften!$B$20:$B$27)</f>
        <v>Mut</v>
      </c>
      <c r="M248" s="295">
        <f>_xlfn.XLOOKUP(L248,Eigenschaften!$B$20:$B$27,Eigenschaften!$H$20:$H$27,"NaN",1)</f>
        <v>13</v>
      </c>
      <c r="N248" s="295" t="str">
        <f>_xlfn.XLOOKUP(T248,Eigenschaften!$C$20:$C$27,Eigenschaften!$B$20:$B$27)</f>
        <v>Intuition</v>
      </c>
      <c r="O248" s="295">
        <f>_xlfn.XLOOKUP(N248,Eigenschaften!$B$20:$B$27,Eigenschaften!$H$20:$H$27,"NaN",1)</f>
        <v>15</v>
      </c>
      <c r="P248" s="295" t="str">
        <f>_xlfn.XLOOKUP(U248,Eigenschaften!$C$20:$C$27,Eigenschaften!$B$20:$B$27)</f>
        <v>Charisma</v>
      </c>
      <c r="Q248" s="295">
        <f>_xlfn.XLOOKUP(P248,Eigenschaften!$B$20:$B$27,Eigenschaften!$H$20:$H$27,"NaN",1)</f>
        <v>15</v>
      </c>
      <c r="R248" s="244"/>
      <c r="S248" s="244" t="str" cm="1">
        <f t="array" ref="S248:U248">_xlfn.TEXTSPLIT(F248,"/",,,,3)</f>
        <v>MU</v>
      </c>
      <c r="T248" s="244" t="str">
        <v>IN</v>
      </c>
      <c r="U248" s="244" t="str">
        <v>CH</v>
      </c>
      <c r="V248" s="325">
        <f t="shared" si="75"/>
        <v>0</v>
      </c>
      <c r="W248" s="325">
        <f t="shared" si="75"/>
        <v>0</v>
      </c>
      <c r="X248" s="325">
        <f t="shared" si="75"/>
        <v>0</v>
      </c>
      <c r="Y248" s="325">
        <f t="shared" si="75"/>
        <v>0</v>
      </c>
      <c r="Z248" s="325">
        <f t="shared" si="75"/>
        <v>0</v>
      </c>
      <c r="AA248" s="325">
        <f t="shared" si="75"/>
        <v>0</v>
      </c>
      <c r="AB248" s="325">
        <f t="shared" si="75"/>
        <v>0</v>
      </c>
      <c r="AC248" s="325">
        <f t="shared" si="75"/>
        <v>0</v>
      </c>
      <c r="AD248" s="325">
        <f t="shared" si="75"/>
        <v>0</v>
      </c>
      <c r="AE248" s="325">
        <f t="shared" si="75"/>
        <v>0</v>
      </c>
      <c r="AF248" s="325">
        <f t="shared" si="76"/>
        <v>1</v>
      </c>
      <c r="AG248" s="325">
        <f t="shared" si="76"/>
        <v>0</v>
      </c>
      <c r="AH248" s="325">
        <f t="shared" si="76"/>
        <v>0</v>
      </c>
      <c r="AI248" s="325">
        <f t="shared" si="76"/>
        <v>0</v>
      </c>
      <c r="AJ248" s="325">
        <f t="shared" si="76"/>
        <v>0</v>
      </c>
      <c r="AK248" s="325">
        <f t="shared" si="76"/>
        <v>0</v>
      </c>
      <c r="AL248" s="325">
        <f t="shared" si="76"/>
        <v>0</v>
      </c>
      <c r="AM248" s="325">
        <f t="shared" si="76"/>
        <v>0</v>
      </c>
      <c r="AN248" s="325">
        <f t="shared" si="76"/>
        <v>0</v>
      </c>
      <c r="AO248" s="325">
        <f t="shared" si="76"/>
        <v>0</v>
      </c>
      <c r="AP248" s="325">
        <f t="shared" si="77"/>
        <v>0</v>
      </c>
      <c r="AQ248" s="325">
        <f t="shared" si="77"/>
        <v>0</v>
      </c>
      <c r="AR248" s="325">
        <f t="shared" si="77"/>
        <v>0</v>
      </c>
      <c r="AS248" s="325">
        <f t="shared" si="77"/>
        <v>0</v>
      </c>
      <c r="AT248" s="325">
        <f t="shared" si="77"/>
        <v>0</v>
      </c>
      <c r="AU248" s="325">
        <f t="shared" si="77"/>
        <v>0</v>
      </c>
      <c r="AV248" s="325">
        <f t="shared" si="77"/>
        <v>0</v>
      </c>
      <c r="AW248" s="244"/>
      <c r="AX248" s="244"/>
      <c r="AY248" s="244"/>
      <c r="AZ248" s="244"/>
      <c r="BA248" s="244"/>
      <c r="BB248" s="244"/>
    </row>
    <row r="249" spans="1:54" hidden="1">
      <c r="A249" s="326" t="s">
        <v>1431</v>
      </c>
      <c r="B249" s="295" t="str">
        <f t="shared" si="70"/>
        <v>Intuition: 15 | Charisma: 15 | Gewandheit: 14</v>
      </c>
      <c r="C249" s="308" t="b">
        <v>0</v>
      </c>
      <c r="D249" s="308" t="b">
        <v>0</v>
      </c>
      <c r="E249" s="308" t="b">
        <f t="shared" si="71"/>
        <v>0</v>
      </c>
      <c r="F249" s="324" t="s">
        <v>495</v>
      </c>
      <c r="G249" s="324" t="s">
        <v>113</v>
      </c>
      <c r="H249" s="324" t="s">
        <v>375</v>
      </c>
      <c r="I249" s="324" t="s">
        <v>1432</v>
      </c>
      <c r="J249" s="295">
        <f>_xlfn.XLOOKUP(G249,Rechner!$A$17:$A$25,Rechner!$B$17:$B$25)</f>
        <v>5</v>
      </c>
      <c r="K249" s="295" t="str">
        <f>_xlfn.XLOOKUP(J249-SUMIF($V$31:$AV$31,TRUE,V249:AV249)-IF(D249=TRUE,1,0),Rechner!$B$17:$B$25,Rechner!$A$17:$A$25,"A+")</f>
        <v>D</v>
      </c>
      <c r="L249" s="295" t="str">
        <f>_xlfn.XLOOKUP(S249,Eigenschaften!$C$20:$C$27,Eigenschaften!$B$20:$B$27)</f>
        <v>Intuition</v>
      </c>
      <c r="M249" s="295">
        <f>_xlfn.XLOOKUP(L249,Eigenschaften!$B$20:$B$27,Eigenschaften!$H$20:$H$27,"NaN",1)</f>
        <v>15</v>
      </c>
      <c r="N249" s="295" t="str">
        <f>_xlfn.XLOOKUP(T249,Eigenschaften!$C$20:$C$27,Eigenschaften!$B$20:$B$27)</f>
        <v>Charisma</v>
      </c>
      <c r="O249" s="295">
        <f>_xlfn.XLOOKUP(N249,Eigenschaften!$B$20:$B$27,Eigenschaften!$H$20:$H$27,"NaN",1)</f>
        <v>15</v>
      </c>
      <c r="P249" s="295" t="str">
        <f>_xlfn.XLOOKUP(U249,Eigenschaften!$C$20:$C$27,Eigenschaften!$B$20:$B$27)</f>
        <v>Gewandheit</v>
      </c>
      <c r="Q249" s="295">
        <f>_xlfn.XLOOKUP(P249,Eigenschaften!$B$20:$B$27,Eigenschaften!$H$20:$H$27,"NaN",1)</f>
        <v>14</v>
      </c>
      <c r="R249" s="244"/>
      <c r="S249" s="244" t="str" cm="1">
        <f t="array" ref="S249:U249">_xlfn.TEXTSPLIT(F249,"/",,,,3)</f>
        <v>IN</v>
      </c>
      <c r="T249" s="244" t="str">
        <v>CH</v>
      </c>
      <c r="U249" s="244" t="str">
        <v>GE</v>
      </c>
      <c r="V249" s="325">
        <f t="shared" si="75"/>
        <v>0</v>
      </c>
      <c r="W249" s="325">
        <f t="shared" si="75"/>
        <v>0</v>
      </c>
      <c r="X249" s="325">
        <f t="shared" si="75"/>
        <v>0</v>
      </c>
      <c r="Y249" s="325">
        <f t="shared" si="75"/>
        <v>0</v>
      </c>
      <c r="Z249" s="325">
        <f t="shared" si="75"/>
        <v>0</v>
      </c>
      <c r="AA249" s="325">
        <f t="shared" si="75"/>
        <v>0</v>
      </c>
      <c r="AB249" s="325">
        <f t="shared" si="75"/>
        <v>0</v>
      </c>
      <c r="AC249" s="325">
        <f t="shared" si="75"/>
        <v>0</v>
      </c>
      <c r="AD249" s="325">
        <f t="shared" si="75"/>
        <v>0</v>
      </c>
      <c r="AE249" s="325">
        <f t="shared" si="75"/>
        <v>0</v>
      </c>
      <c r="AF249" s="325">
        <f t="shared" si="76"/>
        <v>0</v>
      </c>
      <c r="AG249" s="325">
        <f t="shared" si="76"/>
        <v>0</v>
      </c>
      <c r="AH249" s="325">
        <f t="shared" si="76"/>
        <v>0</v>
      </c>
      <c r="AI249" s="325">
        <f t="shared" si="76"/>
        <v>0</v>
      </c>
      <c r="AJ249" s="325">
        <f t="shared" si="76"/>
        <v>0</v>
      </c>
      <c r="AK249" s="325">
        <f t="shared" si="76"/>
        <v>0</v>
      </c>
      <c r="AL249" s="325">
        <f t="shared" si="76"/>
        <v>0</v>
      </c>
      <c r="AM249" s="325">
        <f t="shared" si="76"/>
        <v>1</v>
      </c>
      <c r="AN249" s="325">
        <f t="shared" si="76"/>
        <v>0</v>
      </c>
      <c r="AO249" s="325">
        <f t="shared" si="76"/>
        <v>0</v>
      </c>
      <c r="AP249" s="325">
        <f t="shared" si="77"/>
        <v>0</v>
      </c>
      <c r="AQ249" s="325">
        <f t="shared" si="77"/>
        <v>0</v>
      </c>
      <c r="AR249" s="325">
        <f t="shared" si="77"/>
        <v>0</v>
      </c>
      <c r="AS249" s="325">
        <f t="shared" si="77"/>
        <v>0</v>
      </c>
      <c r="AT249" s="325">
        <f t="shared" si="77"/>
        <v>0</v>
      </c>
      <c r="AU249" s="325">
        <f t="shared" si="77"/>
        <v>0</v>
      </c>
      <c r="AV249" s="325">
        <f t="shared" si="77"/>
        <v>0</v>
      </c>
      <c r="AW249" s="244"/>
      <c r="AX249" s="244"/>
      <c r="AY249" s="244"/>
      <c r="AZ249" s="244"/>
      <c r="BA249" s="244"/>
      <c r="BB249" s="244"/>
    </row>
    <row r="250" spans="1:54" hidden="1">
      <c r="A250" s="326" t="s">
        <v>1433</v>
      </c>
      <c r="B250" s="295" t="str">
        <f t="shared" si="70"/>
        <v>Intuition: 15 | Charisma: 15 | Charisma: 15</v>
      </c>
      <c r="C250" s="308" t="b">
        <v>0</v>
      </c>
      <c r="D250" s="308" t="b">
        <v>0</v>
      </c>
      <c r="E250" s="308" t="b">
        <f t="shared" si="71"/>
        <v>0</v>
      </c>
      <c r="F250" s="324" t="s">
        <v>481</v>
      </c>
      <c r="G250" s="324" t="s">
        <v>110</v>
      </c>
      <c r="H250" s="324" t="s">
        <v>368</v>
      </c>
      <c r="I250" s="324" t="s">
        <v>460</v>
      </c>
      <c r="J250" s="295">
        <f>_xlfn.XLOOKUP(G250,Rechner!$A$17:$A$25,Rechner!$B$17:$B$25)</f>
        <v>4</v>
      </c>
      <c r="K250" s="295" t="str">
        <f>_xlfn.XLOOKUP(J250-SUMIF($V$31:$AV$31,TRUE,V250:AV250)-IF(D250=TRUE,1,0),Rechner!$B$17:$B$25,Rechner!$A$17:$A$25,"A+")</f>
        <v>B</v>
      </c>
      <c r="L250" s="295" t="str">
        <f>_xlfn.XLOOKUP(S250,Eigenschaften!$C$20:$C$27,Eigenschaften!$B$20:$B$27)</f>
        <v>Intuition</v>
      </c>
      <c r="M250" s="295">
        <f>_xlfn.XLOOKUP(L250,Eigenschaften!$B$20:$B$27,Eigenschaften!$H$20:$H$27,"NaN",1)</f>
        <v>15</v>
      </c>
      <c r="N250" s="295" t="str">
        <f>_xlfn.XLOOKUP(T250,Eigenschaften!$C$20:$C$27,Eigenschaften!$B$20:$B$27)</f>
        <v>Charisma</v>
      </c>
      <c r="O250" s="295">
        <f>_xlfn.XLOOKUP(N250,Eigenschaften!$B$20:$B$27,Eigenschaften!$H$20:$H$27,"NaN",1)</f>
        <v>15</v>
      </c>
      <c r="P250" s="295" t="str">
        <f>_xlfn.XLOOKUP(U250,Eigenschaften!$C$20:$C$27,Eigenschaften!$B$20:$B$27)</f>
        <v>Charisma</v>
      </c>
      <c r="Q250" s="295">
        <f>_xlfn.XLOOKUP(P250,Eigenschaften!$B$20:$B$27,Eigenschaften!$H$20:$H$27,"NaN",1)</f>
        <v>15</v>
      </c>
      <c r="R250" s="244"/>
      <c r="S250" s="244" t="str" cm="1">
        <f t="array" ref="S250:U250">_xlfn.TEXTSPLIT(F250,"/",,,,3)</f>
        <v>IN</v>
      </c>
      <c r="T250" s="244" t="str">
        <v>CH</v>
      </c>
      <c r="U250" s="244" t="str">
        <v>CH</v>
      </c>
      <c r="V250" s="325">
        <f t="shared" si="75"/>
        <v>0</v>
      </c>
      <c r="W250" s="325">
        <f t="shared" si="75"/>
        <v>0</v>
      </c>
      <c r="X250" s="325">
        <f t="shared" si="75"/>
        <v>0</v>
      </c>
      <c r="Y250" s="325">
        <f t="shared" si="75"/>
        <v>0</v>
      </c>
      <c r="Z250" s="325">
        <f t="shared" si="75"/>
        <v>0</v>
      </c>
      <c r="AA250" s="325">
        <f t="shared" si="75"/>
        <v>0</v>
      </c>
      <c r="AB250" s="325">
        <f t="shared" si="75"/>
        <v>0</v>
      </c>
      <c r="AC250" s="325">
        <f t="shared" si="75"/>
        <v>0</v>
      </c>
      <c r="AD250" s="325">
        <f t="shared" si="75"/>
        <v>0</v>
      </c>
      <c r="AE250" s="325">
        <f t="shared" si="75"/>
        <v>0</v>
      </c>
      <c r="AF250" s="325">
        <f t="shared" si="76"/>
        <v>1</v>
      </c>
      <c r="AG250" s="325">
        <f t="shared" si="76"/>
        <v>0</v>
      </c>
      <c r="AH250" s="325">
        <f t="shared" si="76"/>
        <v>0</v>
      </c>
      <c r="AI250" s="325">
        <f t="shared" si="76"/>
        <v>0</v>
      </c>
      <c r="AJ250" s="325">
        <f t="shared" si="76"/>
        <v>0</v>
      </c>
      <c r="AK250" s="325">
        <f t="shared" si="76"/>
        <v>0</v>
      </c>
      <c r="AL250" s="325">
        <f t="shared" si="76"/>
        <v>0</v>
      </c>
      <c r="AM250" s="325">
        <f t="shared" si="76"/>
        <v>0</v>
      </c>
      <c r="AN250" s="325">
        <f t="shared" si="76"/>
        <v>0</v>
      </c>
      <c r="AO250" s="325">
        <f t="shared" si="76"/>
        <v>0</v>
      </c>
      <c r="AP250" s="325">
        <f t="shared" si="77"/>
        <v>0</v>
      </c>
      <c r="AQ250" s="325">
        <f t="shared" si="77"/>
        <v>0</v>
      </c>
      <c r="AR250" s="325">
        <f t="shared" si="77"/>
        <v>0</v>
      </c>
      <c r="AS250" s="325">
        <f t="shared" si="77"/>
        <v>0</v>
      </c>
      <c r="AT250" s="325">
        <f t="shared" si="77"/>
        <v>0</v>
      </c>
      <c r="AU250" s="325">
        <f t="shared" si="77"/>
        <v>0</v>
      </c>
      <c r="AV250" s="325">
        <f t="shared" si="77"/>
        <v>0</v>
      </c>
      <c r="AW250" s="244"/>
      <c r="AX250" s="244"/>
      <c r="AY250" s="244"/>
      <c r="AZ250" s="244"/>
      <c r="BA250" s="244"/>
      <c r="BB250" s="244"/>
    </row>
    <row r="251" spans="1:54">
      <c r="A251" s="331" t="s">
        <v>895</v>
      </c>
      <c r="B251" s="295" t="str">
        <f t="shared" si="70"/>
        <v>Charisma: 15 | Gewandheit: 14 | Körperkraft: 12</v>
      </c>
      <c r="C251" s="308" t="b">
        <v>1</v>
      </c>
      <c r="D251" s="308" t="b">
        <v>0</v>
      </c>
      <c r="E251" s="308" t="b">
        <f t="shared" si="71"/>
        <v>1</v>
      </c>
      <c r="F251" t="s">
        <v>332</v>
      </c>
      <c r="G251" t="s">
        <v>125</v>
      </c>
      <c r="H251" t="s">
        <v>368</v>
      </c>
      <c r="I251" t="s">
        <v>896</v>
      </c>
      <c r="J251" s="295">
        <f>_xlfn.XLOOKUP(G251,Rechner!$A$17:$A$25,Rechner!$B$17:$B$25)</f>
        <v>3</v>
      </c>
      <c r="K251" s="338" t="str">
        <f>_xlfn.XLOOKUP(J251-SUMIF($V$31:$AV$31,TRUE,V251:AV251)-IF(D251=TRUE,1,0),Rechner!$B$17:$B$25,Rechner!$A$17:$A$25,"A+")</f>
        <v>A</v>
      </c>
      <c r="L251" s="295" t="str">
        <f>_xlfn.XLOOKUP(S251,Eigenschaften!$C$20:$C$27,Eigenschaften!$B$20:$B$27)</f>
        <v>Charisma</v>
      </c>
      <c r="M251" s="295">
        <f>_xlfn.XLOOKUP(L251,Eigenschaften!$B$20:$B$27,Eigenschaften!$H$20:$H$27,"NaN",1)</f>
        <v>15</v>
      </c>
      <c r="N251" s="295" t="str">
        <f>_xlfn.XLOOKUP(T251,Eigenschaften!$C$20:$C$27,Eigenschaften!$B$20:$B$27)</f>
        <v>Gewandheit</v>
      </c>
      <c r="O251" s="295">
        <f>_xlfn.XLOOKUP(N251,Eigenschaften!$B$20:$B$27,Eigenschaften!$H$20:$H$27,"NaN",1)</f>
        <v>14</v>
      </c>
      <c r="P251" s="295" t="str">
        <f>_xlfn.XLOOKUP(U251,Eigenschaften!$C$20:$C$27,Eigenschaften!$B$20:$B$27)</f>
        <v>Körperkraft</v>
      </c>
      <c r="Q251" s="295">
        <f>_xlfn.XLOOKUP(P251,Eigenschaften!$B$20:$B$27,Eigenschaften!$H$20:$H$27,"NaN",1)</f>
        <v>12</v>
      </c>
      <c r="R251" s="244"/>
      <c r="S251" s="244" t="str" cm="1">
        <f t="array" ref="S251:U251">_xlfn.TEXTSPLIT(F251,"/",,,,3)</f>
        <v>CH</v>
      </c>
      <c r="T251" s="244" t="str">
        <v>GE</v>
      </c>
      <c r="U251" s="244" t="str">
        <v>KK</v>
      </c>
      <c r="V251" s="298">
        <f t="shared" si="75"/>
        <v>0</v>
      </c>
      <c r="W251" s="298">
        <f t="shared" si="75"/>
        <v>0</v>
      </c>
      <c r="X251" s="298">
        <f t="shared" si="75"/>
        <v>0</v>
      </c>
      <c r="Y251" s="298">
        <f t="shared" si="75"/>
        <v>0</v>
      </c>
      <c r="Z251" s="298">
        <f t="shared" si="75"/>
        <v>0</v>
      </c>
      <c r="AA251" s="298">
        <f t="shared" si="75"/>
        <v>0</v>
      </c>
      <c r="AB251" s="298">
        <f t="shared" si="75"/>
        <v>0</v>
      </c>
      <c r="AC251" s="298">
        <f t="shared" si="75"/>
        <v>0</v>
      </c>
      <c r="AD251" s="298">
        <f t="shared" si="75"/>
        <v>0</v>
      </c>
      <c r="AE251" s="298">
        <f t="shared" si="75"/>
        <v>0</v>
      </c>
      <c r="AF251" s="298">
        <f t="shared" si="76"/>
        <v>1</v>
      </c>
      <c r="AG251" s="298">
        <f t="shared" si="76"/>
        <v>0</v>
      </c>
      <c r="AH251" s="298">
        <f t="shared" si="76"/>
        <v>0</v>
      </c>
      <c r="AI251" s="298">
        <f t="shared" si="76"/>
        <v>0</v>
      </c>
      <c r="AJ251" s="298">
        <f t="shared" si="76"/>
        <v>0</v>
      </c>
      <c r="AK251" s="298">
        <f t="shared" si="76"/>
        <v>0</v>
      </c>
      <c r="AL251" s="298">
        <f t="shared" si="76"/>
        <v>0</v>
      </c>
      <c r="AM251" s="298">
        <f t="shared" si="76"/>
        <v>0</v>
      </c>
      <c r="AN251" s="298">
        <f t="shared" si="76"/>
        <v>0</v>
      </c>
      <c r="AO251" s="298">
        <f t="shared" si="76"/>
        <v>0</v>
      </c>
      <c r="AP251" s="298">
        <f t="shared" si="77"/>
        <v>0</v>
      </c>
      <c r="AQ251" s="298">
        <f t="shared" si="77"/>
        <v>0</v>
      </c>
      <c r="AR251" s="298">
        <f t="shared" si="77"/>
        <v>0</v>
      </c>
      <c r="AS251" s="298">
        <f t="shared" si="77"/>
        <v>0</v>
      </c>
      <c r="AT251" s="298">
        <f t="shared" si="77"/>
        <v>0</v>
      </c>
      <c r="AU251" s="298">
        <f t="shared" si="77"/>
        <v>0</v>
      </c>
      <c r="AV251" s="298">
        <f t="shared" si="77"/>
        <v>0</v>
      </c>
      <c r="AW251" s="244">
        <v>3</v>
      </c>
      <c r="AX251" s="244" t="s">
        <v>1625</v>
      </c>
      <c r="AY251" s="244" t="s">
        <v>1652</v>
      </c>
      <c r="AZ251" s="244" t="s">
        <v>304</v>
      </c>
      <c r="BA251" s="244" t="s">
        <v>334</v>
      </c>
      <c r="BB251" s="244"/>
    </row>
    <row r="252" spans="1:54" hidden="1">
      <c r="A252" s="326" t="s">
        <v>1436</v>
      </c>
      <c r="B252" s="295" t="str">
        <f t="shared" si="70"/>
        <v>Mut: 13 | Charisma: 15 | Konstitution: 12</v>
      </c>
      <c r="C252" s="308" t="b">
        <v>0</v>
      </c>
      <c r="D252" s="308" t="b">
        <v>0</v>
      </c>
      <c r="E252" s="308" t="b">
        <f t="shared" si="71"/>
        <v>1</v>
      </c>
      <c r="F252" s="324" t="s">
        <v>340</v>
      </c>
      <c r="G252" s="324" t="s">
        <v>113</v>
      </c>
      <c r="H252" s="324" t="s">
        <v>1437</v>
      </c>
      <c r="I252" s="324" t="s">
        <v>1438</v>
      </c>
      <c r="J252" s="295">
        <f>_xlfn.XLOOKUP(G252,Rechner!$A$17:$A$25,Rechner!$B$17:$B$25)</f>
        <v>5</v>
      </c>
      <c r="K252" s="295" t="str">
        <f>_xlfn.XLOOKUP(J252-SUMIF($V$31:$AV$31,TRUE,V252:AV252)-IF(D252=TRUE,1,0),Rechner!$B$17:$B$25,Rechner!$A$17:$A$25,"A+")</f>
        <v>C</v>
      </c>
      <c r="L252" s="295" t="str">
        <f>_xlfn.XLOOKUP(S252,Eigenschaften!$C$20:$C$27,Eigenschaften!$B$20:$B$27)</f>
        <v>Mut</v>
      </c>
      <c r="M252" s="295">
        <f>_xlfn.XLOOKUP(L252,Eigenschaften!$B$20:$B$27,Eigenschaften!$H$20:$H$27,"NaN",1)</f>
        <v>13</v>
      </c>
      <c r="N252" s="295" t="str">
        <f>_xlfn.XLOOKUP(T252,Eigenschaften!$C$20:$C$27,Eigenschaften!$B$20:$B$27)</f>
        <v>Charisma</v>
      </c>
      <c r="O252" s="295">
        <f>_xlfn.XLOOKUP(N252,Eigenschaften!$B$20:$B$27,Eigenschaften!$H$20:$H$27,"NaN",1)</f>
        <v>15</v>
      </c>
      <c r="P252" s="295" t="str">
        <f>_xlfn.XLOOKUP(U252,Eigenschaften!$C$20:$C$27,Eigenschaften!$B$20:$B$27)</f>
        <v>Konstitution</v>
      </c>
      <c r="Q252" s="295">
        <f>_xlfn.XLOOKUP(P252,Eigenschaften!$B$20:$B$27,Eigenschaften!$H$20:$H$27,"NaN",1)</f>
        <v>12</v>
      </c>
      <c r="R252" s="244"/>
      <c r="S252" s="244" t="str" cm="1">
        <f t="array" ref="S252:U252">_xlfn.TEXTSPLIT(F252,"/",,,,3)</f>
        <v>MU</v>
      </c>
      <c r="T252" s="244" t="str">
        <v>CH</v>
      </c>
      <c r="U252" s="244" t="str">
        <v>KO</v>
      </c>
      <c r="V252" s="325">
        <f t="shared" si="75"/>
        <v>0</v>
      </c>
      <c r="W252" s="325">
        <f t="shared" si="75"/>
        <v>0</v>
      </c>
      <c r="X252" s="325">
        <f t="shared" si="75"/>
        <v>1</v>
      </c>
      <c r="Y252" s="325">
        <f t="shared" si="75"/>
        <v>0</v>
      </c>
      <c r="Z252" s="325">
        <f t="shared" si="75"/>
        <v>0</v>
      </c>
      <c r="AA252" s="325">
        <f t="shared" si="75"/>
        <v>0</v>
      </c>
      <c r="AB252" s="325">
        <f t="shared" si="75"/>
        <v>0</v>
      </c>
      <c r="AC252" s="325">
        <f t="shared" si="75"/>
        <v>0</v>
      </c>
      <c r="AD252" s="325">
        <f t="shared" si="75"/>
        <v>0</v>
      </c>
      <c r="AE252" s="325">
        <f t="shared" si="75"/>
        <v>0</v>
      </c>
      <c r="AF252" s="325">
        <f t="shared" si="76"/>
        <v>0</v>
      </c>
      <c r="AG252" s="325">
        <f t="shared" si="76"/>
        <v>0</v>
      </c>
      <c r="AH252" s="325">
        <f t="shared" si="76"/>
        <v>0</v>
      </c>
      <c r="AI252" s="325">
        <f t="shared" si="76"/>
        <v>0</v>
      </c>
      <c r="AJ252" s="325">
        <f t="shared" si="76"/>
        <v>0</v>
      </c>
      <c r="AK252" s="325">
        <f t="shared" si="76"/>
        <v>0</v>
      </c>
      <c r="AL252" s="325">
        <f t="shared" si="76"/>
        <v>0</v>
      </c>
      <c r="AM252" s="325">
        <f t="shared" si="76"/>
        <v>0</v>
      </c>
      <c r="AN252" s="325">
        <f t="shared" si="76"/>
        <v>0</v>
      </c>
      <c r="AO252" s="325">
        <f t="shared" si="76"/>
        <v>0</v>
      </c>
      <c r="AP252" s="325">
        <f t="shared" si="77"/>
        <v>0</v>
      </c>
      <c r="AQ252" s="325">
        <f t="shared" si="77"/>
        <v>0</v>
      </c>
      <c r="AR252" s="325">
        <f t="shared" si="77"/>
        <v>1</v>
      </c>
      <c r="AS252" s="325">
        <f t="shared" si="77"/>
        <v>0</v>
      </c>
      <c r="AT252" s="325">
        <f t="shared" si="77"/>
        <v>0</v>
      </c>
      <c r="AU252" s="325">
        <f t="shared" si="77"/>
        <v>0</v>
      </c>
      <c r="AV252" s="325">
        <f t="shared" si="77"/>
        <v>0</v>
      </c>
      <c r="AW252" s="244"/>
      <c r="AX252" s="244"/>
      <c r="AY252" s="244"/>
      <c r="AZ252" s="244"/>
      <c r="BA252" s="244"/>
      <c r="BB252" s="244"/>
    </row>
    <row r="253" spans="1:54" hidden="1">
      <c r="A253" s="326" t="s">
        <v>1439</v>
      </c>
      <c r="B253" s="295" t="str">
        <f t="shared" si="70"/>
        <v>Mut: 13 | Intuition: 15 | Charisma: 15</v>
      </c>
      <c r="C253" s="308" t="b">
        <v>0</v>
      </c>
      <c r="D253" s="308" t="b">
        <v>0</v>
      </c>
      <c r="E253" s="308" t="b">
        <f t="shared" si="71"/>
        <v>0</v>
      </c>
      <c r="F253" s="324" t="s">
        <v>336</v>
      </c>
      <c r="G253" s="324" t="s">
        <v>113</v>
      </c>
      <c r="H253" s="324" t="s">
        <v>368</v>
      </c>
      <c r="I253" s="324" t="s">
        <v>1440</v>
      </c>
      <c r="J253" s="295">
        <f>_xlfn.XLOOKUP(G253,Rechner!$A$17:$A$25,Rechner!$B$17:$B$25)</f>
        <v>5</v>
      </c>
      <c r="K253" s="295" t="str">
        <f>_xlfn.XLOOKUP(J253-SUMIF($V$31:$AV$31,TRUE,V253:AV253)-IF(D253=TRUE,1,0),Rechner!$B$17:$B$25,Rechner!$A$17:$A$25,"A+")</f>
        <v>C</v>
      </c>
      <c r="L253" s="295" t="str">
        <f>_xlfn.XLOOKUP(S253,Eigenschaften!$C$20:$C$27,Eigenschaften!$B$20:$B$27)</f>
        <v>Mut</v>
      </c>
      <c r="M253" s="295">
        <f>_xlfn.XLOOKUP(L253,Eigenschaften!$B$20:$B$27,Eigenschaften!$H$20:$H$27,"NaN",1)</f>
        <v>13</v>
      </c>
      <c r="N253" s="295" t="str">
        <f>_xlfn.XLOOKUP(T253,Eigenschaften!$C$20:$C$27,Eigenschaften!$B$20:$B$27)</f>
        <v>Intuition</v>
      </c>
      <c r="O253" s="295">
        <f>_xlfn.XLOOKUP(N253,Eigenschaften!$B$20:$B$27,Eigenschaften!$H$20:$H$27,"NaN",1)</f>
        <v>15</v>
      </c>
      <c r="P253" s="295" t="str">
        <f>_xlfn.XLOOKUP(U253,Eigenschaften!$C$20:$C$27,Eigenschaften!$B$20:$B$27)</f>
        <v>Charisma</v>
      </c>
      <c r="Q253" s="295">
        <f>_xlfn.XLOOKUP(P253,Eigenschaften!$B$20:$B$27,Eigenschaften!$H$20:$H$27,"NaN",1)</f>
        <v>15</v>
      </c>
      <c r="R253" s="244"/>
      <c r="S253" s="244" t="str" cm="1">
        <f t="array" ref="S253:U253">_xlfn.TEXTSPLIT(F253,"/",,,,3)</f>
        <v>MU</v>
      </c>
      <c r="T253" s="244" t="str">
        <v>IN</v>
      </c>
      <c r="U253" s="244" t="str">
        <v>CH</v>
      </c>
      <c r="V253" s="325">
        <f t="shared" si="75"/>
        <v>0</v>
      </c>
      <c r="W253" s="325">
        <f t="shared" si="75"/>
        <v>0</v>
      </c>
      <c r="X253" s="325">
        <f t="shared" si="75"/>
        <v>0</v>
      </c>
      <c r="Y253" s="325">
        <f t="shared" si="75"/>
        <v>0</v>
      </c>
      <c r="Z253" s="325">
        <f t="shared" si="75"/>
        <v>0</v>
      </c>
      <c r="AA253" s="325">
        <f t="shared" si="75"/>
        <v>0</v>
      </c>
      <c r="AB253" s="325">
        <f t="shared" si="75"/>
        <v>0</v>
      </c>
      <c r="AC253" s="325">
        <f t="shared" si="75"/>
        <v>0</v>
      </c>
      <c r="AD253" s="325">
        <f t="shared" si="75"/>
        <v>0</v>
      </c>
      <c r="AE253" s="325">
        <f t="shared" si="75"/>
        <v>0</v>
      </c>
      <c r="AF253" s="325">
        <f t="shared" si="76"/>
        <v>1</v>
      </c>
      <c r="AG253" s="325">
        <f t="shared" si="76"/>
        <v>0</v>
      </c>
      <c r="AH253" s="325">
        <f t="shared" si="76"/>
        <v>0</v>
      </c>
      <c r="AI253" s="325">
        <f t="shared" si="76"/>
        <v>0</v>
      </c>
      <c r="AJ253" s="325">
        <f t="shared" si="76"/>
        <v>0</v>
      </c>
      <c r="AK253" s="325">
        <f t="shared" si="76"/>
        <v>0</v>
      </c>
      <c r="AL253" s="325">
        <f t="shared" si="76"/>
        <v>0</v>
      </c>
      <c r="AM253" s="325">
        <f t="shared" si="76"/>
        <v>0</v>
      </c>
      <c r="AN253" s="325">
        <f t="shared" si="76"/>
        <v>0</v>
      </c>
      <c r="AO253" s="325">
        <f t="shared" si="76"/>
        <v>0</v>
      </c>
      <c r="AP253" s="325">
        <f t="shared" si="77"/>
        <v>0</v>
      </c>
      <c r="AQ253" s="325">
        <f t="shared" si="77"/>
        <v>0</v>
      </c>
      <c r="AR253" s="325">
        <f t="shared" si="77"/>
        <v>0</v>
      </c>
      <c r="AS253" s="325">
        <f t="shared" si="77"/>
        <v>0</v>
      </c>
      <c r="AT253" s="325">
        <f t="shared" si="77"/>
        <v>0</v>
      </c>
      <c r="AU253" s="325">
        <f t="shared" si="77"/>
        <v>0</v>
      </c>
      <c r="AV253" s="325">
        <f t="shared" si="77"/>
        <v>0</v>
      </c>
      <c r="AW253" s="244"/>
      <c r="AX253" s="244"/>
      <c r="AY253" s="244"/>
      <c r="AZ253" s="244"/>
      <c r="BA253" s="244"/>
      <c r="BB253" s="244"/>
    </row>
    <row r="254" spans="1:54" hidden="1">
      <c r="A254" s="326" t="s">
        <v>1441</v>
      </c>
      <c r="B254" s="295" t="str">
        <f t="shared" si="70"/>
        <v>Intuition: 15 | Intuition: 15 | Charisma: 15</v>
      </c>
      <c r="C254" s="308" t="b">
        <v>0</v>
      </c>
      <c r="D254" s="308" t="b">
        <v>0</v>
      </c>
      <c r="E254" s="308" t="b">
        <f t="shared" si="71"/>
        <v>1</v>
      </c>
      <c r="F254" s="324" t="s">
        <v>298</v>
      </c>
      <c r="G254" s="324" t="s">
        <v>110</v>
      </c>
      <c r="H254" s="324" t="s">
        <v>372</v>
      </c>
      <c r="I254" s="324" t="s">
        <v>1442</v>
      </c>
      <c r="J254" s="295">
        <f>_xlfn.XLOOKUP(G254,Rechner!$A$17:$A$25,Rechner!$B$17:$B$25)</f>
        <v>4</v>
      </c>
      <c r="K254" s="295" t="str">
        <f>_xlfn.XLOOKUP(J254-SUMIF($V$31:$AV$31,TRUE,V254:AV254)-IF(D254=TRUE,1,0),Rechner!$B$17:$B$25,Rechner!$A$17:$A$25,"A+")</f>
        <v>C</v>
      </c>
      <c r="L254" s="295" t="str">
        <f>_xlfn.XLOOKUP(S254,Eigenschaften!$C$20:$C$27,Eigenschaften!$B$20:$B$27)</f>
        <v>Intuition</v>
      </c>
      <c r="M254" s="295">
        <f>_xlfn.XLOOKUP(L254,Eigenschaften!$B$20:$B$27,Eigenschaften!$H$20:$H$27,"NaN",1)</f>
        <v>15</v>
      </c>
      <c r="N254" s="295" t="str">
        <f>_xlfn.XLOOKUP(T254,Eigenschaften!$C$20:$C$27,Eigenschaften!$B$20:$B$27)</f>
        <v>Intuition</v>
      </c>
      <c r="O254" s="295">
        <f>_xlfn.XLOOKUP(N254,Eigenschaften!$B$20:$B$27,Eigenschaften!$H$20:$H$27,"NaN",1)</f>
        <v>15</v>
      </c>
      <c r="P254" s="295" t="str">
        <f>_xlfn.XLOOKUP(U254,Eigenschaften!$C$20:$C$27,Eigenschaften!$B$20:$B$27)</f>
        <v>Charisma</v>
      </c>
      <c r="Q254" s="295">
        <f>_xlfn.XLOOKUP(P254,Eigenschaften!$B$20:$B$27,Eigenschaften!$H$20:$H$27,"NaN",1)</f>
        <v>15</v>
      </c>
      <c r="R254" s="244"/>
      <c r="S254" s="244" t="str" cm="1">
        <f t="array" ref="S254:U254">_xlfn.TEXTSPLIT(F254,"/",,,,3)</f>
        <v>IN</v>
      </c>
      <c r="T254" s="244" t="str">
        <v>IN</v>
      </c>
      <c r="U254" s="244" t="str">
        <v>CH</v>
      </c>
      <c r="V254" s="325">
        <f t="shared" si="75"/>
        <v>0</v>
      </c>
      <c r="W254" s="325">
        <f t="shared" si="75"/>
        <v>0</v>
      </c>
      <c r="X254" s="325">
        <f t="shared" si="75"/>
        <v>0</v>
      </c>
      <c r="Y254" s="325">
        <f t="shared" si="75"/>
        <v>0</v>
      </c>
      <c r="Z254" s="325">
        <f t="shared" si="75"/>
        <v>0</v>
      </c>
      <c r="AA254" s="325">
        <f t="shared" si="75"/>
        <v>0</v>
      </c>
      <c r="AB254" s="325">
        <f t="shared" si="75"/>
        <v>0</v>
      </c>
      <c r="AC254" s="325">
        <f t="shared" si="75"/>
        <v>0</v>
      </c>
      <c r="AD254" s="325">
        <f t="shared" si="75"/>
        <v>0</v>
      </c>
      <c r="AE254" s="325">
        <f t="shared" si="75"/>
        <v>0</v>
      </c>
      <c r="AF254" s="325">
        <f t="shared" si="76"/>
        <v>0</v>
      </c>
      <c r="AG254" s="325">
        <f t="shared" si="76"/>
        <v>0</v>
      </c>
      <c r="AH254" s="325">
        <f t="shared" si="76"/>
        <v>0</v>
      </c>
      <c r="AI254" s="325">
        <f t="shared" si="76"/>
        <v>0</v>
      </c>
      <c r="AJ254" s="325">
        <f t="shared" si="76"/>
        <v>1</v>
      </c>
      <c r="AK254" s="325">
        <f t="shared" si="76"/>
        <v>0</v>
      </c>
      <c r="AL254" s="325">
        <f t="shared" si="76"/>
        <v>0</v>
      </c>
      <c r="AM254" s="325">
        <f t="shared" si="76"/>
        <v>0</v>
      </c>
      <c r="AN254" s="325">
        <f t="shared" si="76"/>
        <v>0</v>
      </c>
      <c r="AO254" s="325">
        <f t="shared" si="76"/>
        <v>0</v>
      </c>
      <c r="AP254" s="325">
        <f t="shared" si="77"/>
        <v>0</v>
      </c>
      <c r="AQ254" s="325">
        <f t="shared" si="77"/>
        <v>0</v>
      </c>
      <c r="AR254" s="325">
        <f t="shared" si="77"/>
        <v>0</v>
      </c>
      <c r="AS254" s="325">
        <f t="shared" si="77"/>
        <v>0</v>
      </c>
      <c r="AT254" s="325">
        <f t="shared" si="77"/>
        <v>0</v>
      </c>
      <c r="AU254" s="325">
        <f t="shared" si="77"/>
        <v>0</v>
      </c>
      <c r="AV254" s="325">
        <f t="shared" si="77"/>
        <v>0</v>
      </c>
      <c r="AW254" s="244"/>
      <c r="AX254" s="244"/>
      <c r="AY254" s="244"/>
      <c r="AZ254" s="244"/>
      <c r="BA254" s="244"/>
      <c r="BB254" s="244"/>
    </row>
    <row r="255" spans="1:54" hidden="1">
      <c r="A255" s="326" t="s">
        <v>1443</v>
      </c>
      <c r="B255" s="295" t="str">
        <f t="shared" si="70"/>
        <v>Mut: 13 | Charisma: 15 | Konstitution: 12</v>
      </c>
      <c r="C255" s="308" t="b">
        <v>0</v>
      </c>
      <c r="D255" s="308" t="b">
        <v>0</v>
      </c>
      <c r="E255" s="308" t="b">
        <f t="shared" si="71"/>
        <v>1</v>
      </c>
      <c r="F255" s="324" t="s">
        <v>340</v>
      </c>
      <c r="G255" s="324" t="s">
        <v>530</v>
      </c>
      <c r="H255" s="324" t="s">
        <v>1444</v>
      </c>
      <c r="I255" s="324" t="s">
        <v>1445</v>
      </c>
      <c r="J255" s="295">
        <f>_xlfn.XLOOKUP(G255,Rechner!$A$17:$A$25,Rechner!$B$17:$B$25)</f>
        <v>7</v>
      </c>
      <c r="K255" s="295" t="str">
        <f>_xlfn.XLOOKUP(J255-SUMIF($V$31:$AV$31,TRUE,V255:AV255)-IF(D255=TRUE,1,0),Rechner!$B$17:$B$25,Rechner!$A$17:$A$25,"A+")</f>
        <v>E</v>
      </c>
      <c r="L255" s="295" t="str">
        <f>_xlfn.XLOOKUP(S255,Eigenschaften!$C$20:$C$27,Eigenschaften!$B$20:$B$27)</f>
        <v>Mut</v>
      </c>
      <c r="M255" s="295">
        <f>_xlfn.XLOOKUP(L255,Eigenschaften!$B$20:$B$27,Eigenschaften!$H$20:$H$27,"NaN",1)</f>
        <v>13</v>
      </c>
      <c r="N255" s="295" t="str">
        <f>_xlfn.XLOOKUP(T255,Eigenschaften!$C$20:$C$27,Eigenschaften!$B$20:$B$27)</f>
        <v>Charisma</v>
      </c>
      <c r="O255" s="295">
        <f>_xlfn.XLOOKUP(N255,Eigenschaften!$B$20:$B$27,Eigenschaften!$H$20:$H$27,"NaN",1)</f>
        <v>15</v>
      </c>
      <c r="P255" s="295" t="str">
        <f>_xlfn.XLOOKUP(U255,Eigenschaften!$C$20:$C$27,Eigenschaften!$B$20:$B$27)</f>
        <v>Konstitution</v>
      </c>
      <c r="Q255" s="295">
        <f>_xlfn.XLOOKUP(P255,Eigenschaften!$B$20:$B$27,Eigenschaften!$H$20:$H$27,"NaN",1)</f>
        <v>12</v>
      </c>
      <c r="R255" s="244"/>
      <c r="S255" s="244" t="str" cm="1">
        <f t="array" ref="S255:U255">_xlfn.TEXTSPLIT(F255,"/",,,,3)</f>
        <v>MU</v>
      </c>
      <c r="T255" s="244" t="str">
        <v>CH</v>
      </c>
      <c r="U255" s="244" t="str">
        <v>KO</v>
      </c>
      <c r="V255" s="325">
        <f t="shared" si="75"/>
        <v>0</v>
      </c>
      <c r="W255" s="325">
        <f t="shared" si="75"/>
        <v>0</v>
      </c>
      <c r="X255" s="325">
        <f t="shared" si="75"/>
        <v>1</v>
      </c>
      <c r="Y255" s="325">
        <f t="shared" si="75"/>
        <v>0</v>
      </c>
      <c r="Z255" s="325">
        <f t="shared" si="75"/>
        <v>0</v>
      </c>
      <c r="AA255" s="325">
        <f t="shared" si="75"/>
        <v>0</v>
      </c>
      <c r="AB255" s="325">
        <f t="shared" si="75"/>
        <v>0</v>
      </c>
      <c r="AC255" s="325">
        <f t="shared" si="75"/>
        <v>0</v>
      </c>
      <c r="AD255" s="325">
        <f t="shared" si="75"/>
        <v>0</v>
      </c>
      <c r="AE255" s="325">
        <f t="shared" si="75"/>
        <v>0</v>
      </c>
      <c r="AF255" s="325">
        <f t="shared" si="76"/>
        <v>0</v>
      </c>
      <c r="AG255" s="325">
        <f t="shared" si="76"/>
        <v>0</v>
      </c>
      <c r="AH255" s="325">
        <f t="shared" si="76"/>
        <v>0</v>
      </c>
      <c r="AI255" s="325">
        <f t="shared" si="76"/>
        <v>0</v>
      </c>
      <c r="AJ255" s="325">
        <f t="shared" si="76"/>
        <v>0</v>
      </c>
      <c r="AK255" s="325">
        <f t="shared" si="76"/>
        <v>0</v>
      </c>
      <c r="AL255" s="325">
        <f t="shared" si="76"/>
        <v>0</v>
      </c>
      <c r="AM255" s="325">
        <f t="shared" si="76"/>
        <v>0</v>
      </c>
      <c r="AN255" s="325">
        <f t="shared" si="76"/>
        <v>0</v>
      </c>
      <c r="AO255" s="325">
        <f t="shared" si="76"/>
        <v>0</v>
      </c>
      <c r="AP255" s="325">
        <f t="shared" si="77"/>
        <v>0</v>
      </c>
      <c r="AQ255" s="325">
        <f t="shared" si="77"/>
        <v>0</v>
      </c>
      <c r="AR255" s="325">
        <f t="shared" si="77"/>
        <v>0</v>
      </c>
      <c r="AS255" s="325">
        <f t="shared" si="77"/>
        <v>0</v>
      </c>
      <c r="AT255" s="325">
        <f t="shared" si="77"/>
        <v>0</v>
      </c>
      <c r="AU255" s="325">
        <f t="shared" si="77"/>
        <v>0</v>
      </c>
      <c r="AV255" s="325">
        <f t="shared" si="77"/>
        <v>1</v>
      </c>
      <c r="AW255" s="244"/>
      <c r="AX255" s="244"/>
      <c r="AY255" s="244"/>
      <c r="AZ255" s="244"/>
      <c r="BA255" s="244"/>
      <c r="BB255" s="244"/>
    </row>
    <row r="256" spans="1:54" hidden="1">
      <c r="A256" s="326" t="s">
        <v>1446</v>
      </c>
      <c r="B256" s="295" t="str">
        <f t="shared" si="70"/>
        <v>Intuition: 15 | Fingerfertigkeit: 10 | Fingerfertigkeit: 10</v>
      </c>
      <c r="C256" s="308" t="b">
        <v>0</v>
      </c>
      <c r="D256" s="308" t="b">
        <v>0</v>
      </c>
      <c r="E256" s="308" t="b">
        <f t="shared" si="71"/>
        <v>0</v>
      </c>
      <c r="F256" s="324" t="s">
        <v>1447</v>
      </c>
      <c r="G256" s="324" t="s">
        <v>110</v>
      </c>
      <c r="H256" s="324" t="s">
        <v>375</v>
      </c>
      <c r="I256" s="324" t="s">
        <v>1448</v>
      </c>
      <c r="J256" s="295">
        <f>_xlfn.XLOOKUP(G256,Rechner!$A$17:$A$25,Rechner!$B$17:$B$25)</f>
        <v>4</v>
      </c>
      <c r="K256" s="295" t="str">
        <f>_xlfn.XLOOKUP(J256-SUMIF($V$31:$AV$31,TRUE,V256:AV256)-IF(D256=TRUE,1,0),Rechner!$B$17:$B$25,Rechner!$A$17:$A$25,"A+")</f>
        <v>C</v>
      </c>
      <c r="L256" s="295" t="str">
        <f>_xlfn.XLOOKUP(S256,Eigenschaften!$C$20:$C$27,Eigenschaften!$B$20:$B$27)</f>
        <v>Intuition</v>
      </c>
      <c r="M256" s="295">
        <f>_xlfn.XLOOKUP(L256,Eigenschaften!$B$20:$B$27,Eigenschaften!$H$20:$H$27,"NaN",1)</f>
        <v>15</v>
      </c>
      <c r="N256" s="295" t="str">
        <f>_xlfn.XLOOKUP(T256,Eigenschaften!$C$20:$C$27,Eigenschaften!$B$20:$B$27)</f>
        <v>Fingerfertigkeit</v>
      </c>
      <c r="O256" s="295">
        <f>_xlfn.XLOOKUP(N256,Eigenschaften!$B$20:$B$27,Eigenschaften!$H$20:$H$27,"NaN",1)</f>
        <v>10</v>
      </c>
      <c r="P256" s="295" t="str">
        <f>_xlfn.XLOOKUP(U256,Eigenschaften!$C$20:$C$27,Eigenschaften!$B$20:$B$27)</f>
        <v>Fingerfertigkeit</v>
      </c>
      <c r="Q256" s="295">
        <f>_xlfn.XLOOKUP(P256,Eigenschaften!$B$20:$B$27,Eigenschaften!$H$20:$H$27,"NaN",1)</f>
        <v>10</v>
      </c>
      <c r="R256" s="244"/>
      <c r="S256" s="244" t="str" cm="1">
        <f t="array" ref="S256:U256">_xlfn.TEXTSPLIT(F256,"/",,,,3)</f>
        <v>IN</v>
      </c>
      <c r="T256" s="244" t="str">
        <v>FF</v>
      </c>
      <c r="U256" s="244" t="str">
        <v>FF</v>
      </c>
      <c r="V256" s="325">
        <f t="shared" ref="V256:AE265" si="78">IF(ISNUMBER(SEARCH(V$32,$H256)),1,0)</f>
        <v>0</v>
      </c>
      <c r="W256" s="325">
        <f t="shared" si="78"/>
        <v>0</v>
      </c>
      <c r="X256" s="325">
        <f t="shared" si="78"/>
        <v>0</v>
      </c>
      <c r="Y256" s="325">
        <f t="shared" si="78"/>
        <v>0</v>
      </c>
      <c r="Z256" s="325">
        <f t="shared" si="78"/>
        <v>0</v>
      </c>
      <c r="AA256" s="325">
        <f t="shared" si="78"/>
        <v>0</v>
      </c>
      <c r="AB256" s="325">
        <f t="shared" si="78"/>
        <v>0</v>
      </c>
      <c r="AC256" s="325">
        <f t="shared" si="78"/>
        <v>0</v>
      </c>
      <c r="AD256" s="325">
        <f t="shared" si="78"/>
        <v>0</v>
      </c>
      <c r="AE256" s="325">
        <f t="shared" si="78"/>
        <v>0</v>
      </c>
      <c r="AF256" s="325">
        <f t="shared" ref="AF256:AO265" si="79">IF(ISNUMBER(SEARCH(AF$32,$H256)),1,0)</f>
        <v>0</v>
      </c>
      <c r="AG256" s="325">
        <f t="shared" si="79"/>
        <v>0</v>
      </c>
      <c r="AH256" s="325">
        <f t="shared" si="79"/>
        <v>0</v>
      </c>
      <c r="AI256" s="325">
        <f t="shared" si="79"/>
        <v>0</v>
      </c>
      <c r="AJ256" s="325">
        <f t="shared" si="79"/>
        <v>0</v>
      </c>
      <c r="AK256" s="325">
        <f t="shared" si="79"/>
        <v>0</v>
      </c>
      <c r="AL256" s="325">
        <f t="shared" si="79"/>
        <v>0</v>
      </c>
      <c r="AM256" s="325">
        <f t="shared" si="79"/>
        <v>1</v>
      </c>
      <c r="AN256" s="325">
        <f t="shared" si="79"/>
        <v>0</v>
      </c>
      <c r="AO256" s="325">
        <f t="shared" si="79"/>
        <v>0</v>
      </c>
      <c r="AP256" s="325">
        <f t="shared" ref="AP256:AV265" si="80">IF(ISNUMBER(SEARCH(AP$32,$H256)),1,0)</f>
        <v>0</v>
      </c>
      <c r="AQ256" s="325">
        <f t="shared" si="80"/>
        <v>0</v>
      </c>
      <c r="AR256" s="325">
        <f t="shared" si="80"/>
        <v>0</v>
      </c>
      <c r="AS256" s="325">
        <f t="shared" si="80"/>
        <v>0</v>
      </c>
      <c r="AT256" s="325">
        <f t="shared" si="80"/>
        <v>0</v>
      </c>
      <c r="AU256" s="325">
        <f t="shared" si="80"/>
        <v>0</v>
      </c>
      <c r="AV256" s="325">
        <f t="shared" si="80"/>
        <v>0</v>
      </c>
      <c r="AW256" s="244"/>
      <c r="AX256" s="244"/>
      <c r="AY256" s="244"/>
      <c r="AZ256" s="244"/>
      <c r="BA256" s="244"/>
      <c r="BB256" s="244"/>
    </row>
    <row r="257" spans="1:54" hidden="1">
      <c r="A257" s="326" t="s">
        <v>1449</v>
      </c>
      <c r="B257" s="295" t="str">
        <f t="shared" si="70"/>
        <v>Klugheit: 12 | Intuition: 15 | Charisma: 15</v>
      </c>
      <c r="C257" s="308" t="b">
        <v>0</v>
      </c>
      <c r="D257" s="308" t="b">
        <v>0</v>
      </c>
      <c r="E257" s="308" t="b">
        <f t="shared" si="71"/>
        <v>0</v>
      </c>
      <c r="F257" s="324" t="s">
        <v>307</v>
      </c>
      <c r="G257" s="324" t="s">
        <v>125</v>
      </c>
      <c r="H257" s="324" t="s">
        <v>368</v>
      </c>
      <c r="I257" s="324" t="s">
        <v>1450</v>
      </c>
      <c r="J257" s="295">
        <f>_xlfn.XLOOKUP(G257,Rechner!$A$17:$A$25,Rechner!$B$17:$B$25)</f>
        <v>3</v>
      </c>
      <c r="K257" s="295" t="str">
        <f>_xlfn.XLOOKUP(J257-SUMIF($V$31:$AV$31,TRUE,V257:AV257)-IF(D257=TRUE,1,0),Rechner!$B$17:$B$25,Rechner!$A$17:$A$25,"A+")</f>
        <v>A</v>
      </c>
      <c r="L257" s="295" t="str">
        <f>_xlfn.XLOOKUP(S257,Eigenschaften!$C$20:$C$27,Eigenschaften!$B$20:$B$27)</f>
        <v>Klugheit</v>
      </c>
      <c r="M257" s="295">
        <f>_xlfn.XLOOKUP(L257,Eigenschaften!$B$20:$B$27,Eigenschaften!$H$20:$H$27,"NaN",1)</f>
        <v>12</v>
      </c>
      <c r="N257" s="295" t="str">
        <f>_xlfn.XLOOKUP(T257,Eigenschaften!$C$20:$C$27,Eigenschaften!$B$20:$B$27)</f>
        <v>Intuition</v>
      </c>
      <c r="O257" s="295">
        <f>_xlfn.XLOOKUP(N257,Eigenschaften!$B$20:$B$27,Eigenschaften!$H$20:$H$27,"NaN",1)</f>
        <v>15</v>
      </c>
      <c r="P257" s="295" t="str">
        <f>_xlfn.XLOOKUP(U257,Eigenschaften!$C$20:$C$27,Eigenschaften!$B$20:$B$27)</f>
        <v>Charisma</v>
      </c>
      <c r="Q257" s="295">
        <f>_xlfn.XLOOKUP(P257,Eigenschaften!$B$20:$B$27,Eigenschaften!$H$20:$H$27,"NaN",1)</f>
        <v>15</v>
      </c>
      <c r="R257" s="244"/>
      <c r="S257" s="244" t="str" cm="1">
        <f t="array" ref="S257:U257">_xlfn.TEXTSPLIT(F257,"/",,,,3)</f>
        <v>KL</v>
      </c>
      <c r="T257" s="244" t="str">
        <v>IN</v>
      </c>
      <c r="U257" s="244" t="str">
        <v>CH</v>
      </c>
      <c r="V257" s="325">
        <f t="shared" si="78"/>
        <v>0</v>
      </c>
      <c r="W257" s="325">
        <f t="shared" si="78"/>
        <v>0</v>
      </c>
      <c r="X257" s="325">
        <f t="shared" si="78"/>
        <v>0</v>
      </c>
      <c r="Y257" s="325">
        <f t="shared" si="78"/>
        <v>0</v>
      </c>
      <c r="Z257" s="325">
        <f t="shared" si="78"/>
        <v>0</v>
      </c>
      <c r="AA257" s="325">
        <f t="shared" si="78"/>
        <v>0</v>
      </c>
      <c r="AB257" s="325">
        <f t="shared" si="78"/>
        <v>0</v>
      </c>
      <c r="AC257" s="325">
        <f t="shared" si="78"/>
        <v>0</v>
      </c>
      <c r="AD257" s="325">
        <f t="shared" si="78"/>
        <v>0</v>
      </c>
      <c r="AE257" s="325">
        <f t="shared" si="78"/>
        <v>0</v>
      </c>
      <c r="AF257" s="325">
        <f t="shared" si="79"/>
        <v>1</v>
      </c>
      <c r="AG257" s="325">
        <f t="shared" si="79"/>
        <v>0</v>
      </c>
      <c r="AH257" s="325">
        <f t="shared" si="79"/>
        <v>0</v>
      </c>
      <c r="AI257" s="325">
        <f t="shared" si="79"/>
        <v>0</v>
      </c>
      <c r="AJ257" s="325">
        <f t="shared" si="79"/>
        <v>0</v>
      </c>
      <c r="AK257" s="325">
        <f t="shared" si="79"/>
        <v>0</v>
      </c>
      <c r="AL257" s="325">
        <f t="shared" si="79"/>
        <v>0</v>
      </c>
      <c r="AM257" s="325">
        <f t="shared" si="79"/>
        <v>0</v>
      </c>
      <c r="AN257" s="325">
        <f t="shared" si="79"/>
        <v>0</v>
      </c>
      <c r="AO257" s="325">
        <f t="shared" si="79"/>
        <v>0</v>
      </c>
      <c r="AP257" s="325">
        <f t="shared" si="80"/>
        <v>0</v>
      </c>
      <c r="AQ257" s="325">
        <f t="shared" si="80"/>
        <v>0</v>
      </c>
      <c r="AR257" s="325">
        <f t="shared" si="80"/>
        <v>0</v>
      </c>
      <c r="AS257" s="325">
        <f t="shared" si="80"/>
        <v>0</v>
      </c>
      <c r="AT257" s="325">
        <f t="shared" si="80"/>
        <v>0</v>
      </c>
      <c r="AU257" s="325">
        <f t="shared" si="80"/>
        <v>0</v>
      </c>
      <c r="AV257" s="325">
        <f t="shared" si="80"/>
        <v>0</v>
      </c>
      <c r="AW257" s="244"/>
      <c r="AX257" s="244"/>
      <c r="AY257" s="244"/>
      <c r="AZ257" s="244"/>
      <c r="BA257" s="244"/>
      <c r="BB257" s="244"/>
    </row>
    <row r="258" spans="1:54" hidden="1">
      <c r="A258" s="326" t="s">
        <v>1451</v>
      </c>
      <c r="B258" s="295" t="str">
        <f t="shared" si="70"/>
        <v>Mut: 13 | Intuition: 15 | Gewandheit: 14</v>
      </c>
      <c r="C258" s="308" t="b">
        <v>0</v>
      </c>
      <c r="D258" s="308" t="b">
        <v>0</v>
      </c>
      <c r="E258" s="308" t="b">
        <f t="shared" si="71"/>
        <v>0</v>
      </c>
      <c r="F258" s="324" t="s">
        <v>402</v>
      </c>
      <c r="G258" s="324" t="s">
        <v>113</v>
      </c>
      <c r="H258" s="324" t="s">
        <v>1452</v>
      </c>
      <c r="I258" s="324" t="s">
        <v>430</v>
      </c>
      <c r="J258" s="295">
        <f>_xlfn.XLOOKUP(G258,Rechner!$A$17:$A$25,Rechner!$B$17:$B$25)</f>
        <v>5</v>
      </c>
      <c r="K258" s="295" t="str">
        <f>_xlfn.XLOOKUP(J258-SUMIF($V$31:$AV$31,TRUE,V258:AV258)-IF(D258=TRUE,1,0),Rechner!$B$17:$B$25,Rechner!$A$17:$A$25,"A+")</f>
        <v>C</v>
      </c>
      <c r="L258" s="295" t="str">
        <f>_xlfn.XLOOKUP(S258,Eigenschaften!$C$20:$C$27,Eigenschaften!$B$20:$B$27)</f>
        <v>Mut</v>
      </c>
      <c r="M258" s="295">
        <f>_xlfn.XLOOKUP(L258,Eigenschaften!$B$20:$B$27,Eigenschaften!$H$20:$H$27,"NaN",1)</f>
        <v>13</v>
      </c>
      <c r="N258" s="295" t="str">
        <f>_xlfn.XLOOKUP(T258,Eigenschaften!$C$20:$C$27,Eigenschaften!$B$20:$B$27)</f>
        <v>Intuition</v>
      </c>
      <c r="O258" s="295">
        <f>_xlfn.XLOOKUP(N258,Eigenschaften!$B$20:$B$27,Eigenschaften!$H$20:$H$27,"NaN",1)</f>
        <v>15</v>
      </c>
      <c r="P258" s="295" t="str">
        <f>_xlfn.XLOOKUP(U258,Eigenschaften!$C$20:$C$27,Eigenschaften!$B$20:$B$27)</f>
        <v>Gewandheit</v>
      </c>
      <c r="Q258" s="295">
        <f>_xlfn.XLOOKUP(P258,Eigenschaften!$B$20:$B$27,Eigenschaften!$H$20:$H$27,"NaN",1)</f>
        <v>14</v>
      </c>
      <c r="R258" s="244"/>
      <c r="S258" s="244" t="str" cm="1">
        <f t="array" ref="S258:U258">_xlfn.TEXTSPLIT(F258,"/",,,,3)</f>
        <v>MU</v>
      </c>
      <c r="T258" s="244" t="str">
        <v>IN</v>
      </c>
      <c r="U258" s="244" t="str">
        <v>GE</v>
      </c>
      <c r="V258" s="325">
        <f t="shared" si="78"/>
        <v>0</v>
      </c>
      <c r="W258" s="325">
        <f t="shared" si="78"/>
        <v>0</v>
      </c>
      <c r="X258" s="325">
        <f t="shared" si="78"/>
        <v>1</v>
      </c>
      <c r="Y258" s="325">
        <f t="shared" si="78"/>
        <v>0</v>
      </c>
      <c r="Z258" s="325">
        <f t="shared" si="78"/>
        <v>0</v>
      </c>
      <c r="AA258" s="325">
        <f t="shared" si="78"/>
        <v>0</v>
      </c>
      <c r="AB258" s="325">
        <f t="shared" si="78"/>
        <v>0</v>
      </c>
      <c r="AC258" s="325">
        <f t="shared" si="78"/>
        <v>0</v>
      </c>
      <c r="AD258" s="325">
        <f t="shared" si="78"/>
        <v>0</v>
      </c>
      <c r="AE258" s="325">
        <f t="shared" si="78"/>
        <v>0</v>
      </c>
      <c r="AF258" s="325">
        <f t="shared" si="79"/>
        <v>0</v>
      </c>
      <c r="AG258" s="325">
        <f t="shared" si="79"/>
        <v>0</v>
      </c>
      <c r="AH258" s="325">
        <f t="shared" si="79"/>
        <v>0</v>
      </c>
      <c r="AI258" s="325">
        <f t="shared" si="79"/>
        <v>0</v>
      </c>
      <c r="AJ258" s="325">
        <f t="shared" si="79"/>
        <v>1</v>
      </c>
      <c r="AK258" s="325">
        <f t="shared" si="79"/>
        <v>0</v>
      </c>
      <c r="AL258" s="325">
        <f t="shared" si="79"/>
        <v>0</v>
      </c>
      <c r="AM258" s="325">
        <f t="shared" si="79"/>
        <v>0</v>
      </c>
      <c r="AN258" s="325">
        <f t="shared" si="79"/>
        <v>0</v>
      </c>
      <c r="AO258" s="325">
        <f t="shared" si="79"/>
        <v>0</v>
      </c>
      <c r="AP258" s="325">
        <f t="shared" si="80"/>
        <v>0</v>
      </c>
      <c r="AQ258" s="325">
        <f t="shared" si="80"/>
        <v>0</v>
      </c>
      <c r="AR258" s="325">
        <f t="shared" si="80"/>
        <v>0</v>
      </c>
      <c r="AS258" s="325">
        <f t="shared" si="80"/>
        <v>0</v>
      </c>
      <c r="AT258" s="325">
        <f t="shared" si="80"/>
        <v>0</v>
      </c>
      <c r="AU258" s="325">
        <f t="shared" si="80"/>
        <v>0</v>
      </c>
      <c r="AV258" s="325">
        <f t="shared" si="80"/>
        <v>0</v>
      </c>
      <c r="AW258" s="244"/>
      <c r="AX258" s="244"/>
      <c r="AY258" s="244"/>
      <c r="AZ258" s="244"/>
      <c r="BA258" s="244"/>
      <c r="BB258" s="244"/>
    </row>
    <row r="259" spans="1:54">
      <c r="A259" s="326" t="s">
        <v>335</v>
      </c>
      <c r="B259" s="295" t="str">
        <f t="shared" si="70"/>
        <v>Mut: 13 | Intuition: 15 | Charisma: 15</v>
      </c>
      <c r="C259" s="308" t="b">
        <v>1</v>
      </c>
      <c r="D259" s="308" t="b">
        <v>0</v>
      </c>
      <c r="E259" s="308" t="b">
        <f t="shared" si="71"/>
        <v>1</v>
      </c>
      <c r="F259" s="324" t="s">
        <v>336</v>
      </c>
      <c r="G259" s="324" t="s">
        <v>125</v>
      </c>
      <c r="H259" s="324" t="s">
        <v>374</v>
      </c>
      <c r="I259" s="324" t="s">
        <v>1409</v>
      </c>
      <c r="J259" s="295">
        <f>_xlfn.XLOOKUP(G259,Rechner!$A$17:$A$25,Rechner!$B$17:$B$25)</f>
        <v>3</v>
      </c>
      <c r="K259" s="338" t="str">
        <f>_xlfn.XLOOKUP(J259-SUMIF($V$31:$AV$31,TRUE,V259:AV259)-IF(D259=TRUE,1,0),Rechner!$B$17:$B$25,Rechner!$A$17:$A$25,"A+")</f>
        <v>B</v>
      </c>
      <c r="L259" s="295" t="str">
        <f>_xlfn.XLOOKUP(S259,Eigenschaften!$C$20:$C$27,Eigenschaften!$B$20:$B$27)</f>
        <v>Mut</v>
      </c>
      <c r="M259" s="295">
        <f>_xlfn.XLOOKUP(L259,Eigenschaften!$B$20:$B$27,Eigenschaften!$H$20:$H$27,"NaN",1)</f>
        <v>13</v>
      </c>
      <c r="N259" s="295" t="str">
        <f>_xlfn.XLOOKUP(T259,Eigenschaften!$C$20:$C$27,Eigenschaften!$B$20:$B$27)</f>
        <v>Intuition</v>
      </c>
      <c r="O259" s="295">
        <f>_xlfn.XLOOKUP(N259,Eigenschaften!$B$20:$B$27,Eigenschaften!$H$20:$H$27,"NaN",1)</f>
        <v>15</v>
      </c>
      <c r="P259" s="295" t="str">
        <f>_xlfn.XLOOKUP(U259,Eigenschaften!$C$20:$C$27,Eigenschaften!$B$20:$B$27)</f>
        <v>Charisma</v>
      </c>
      <c r="Q259" s="295">
        <f>_xlfn.XLOOKUP(P259,Eigenschaften!$B$20:$B$27,Eigenschaften!$H$20:$H$27,"NaN",1)</f>
        <v>15</v>
      </c>
      <c r="R259" s="244"/>
      <c r="S259" s="244" t="str" cm="1">
        <f t="array" ref="S259:U259">_xlfn.TEXTSPLIT(F259,"/",,,,3)</f>
        <v>MU</v>
      </c>
      <c r="T259" s="244" t="str">
        <v>IN</v>
      </c>
      <c r="U259" s="244" t="str">
        <v>CH</v>
      </c>
      <c r="V259" s="325">
        <f t="shared" si="78"/>
        <v>0</v>
      </c>
      <c r="W259" s="298">
        <f t="shared" si="78"/>
        <v>0</v>
      </c>
      <c r="X259" s="298">
        <f t="shared" si="78"/>
        <v>0</v>
      </c>
      <c r="Y259" s="298">
        <f t="shared" si="78"/>
        <v>0</v>
      </c>
      <c r="Z259" s="298">
        <f t="shared" si="78"/>
        <v>0</v>
      </c>
      <c r="AA259" s="298">
        <f t="shared" si="78"/>
        <v>0</v>
      </c>
      <c r="AB259" s="298">
        <f t="shared" si="78"/>
        <v>0</v>
      </c>
      <c r="AC259" s="298">
        <f t="shared" si="78"/>
        <v>0</v>
      </c>
      <c r="AD259" s="298">
        <f t="shared" si="78"/>
        <v>0</v>
      </c>
      <c r="AE259" s="298">
        <f t="shared" si="78"/>
        <v>0</v>
      </c>
      <c r="AF259" s="298">
        <f t="shared" si="79"/>
        <v>0</v>
      </c>
      <c r="AG259" s="298">
        <f t="shared" si="79"/>
        <v>0</v>
      </c>
      <c r="AH259" s="298">
        <f t="shared" si="79"/>
        <v>0</v>
      </c>
      <c r="AI259" s="298">
        <f t="shared" si="79"/>
        <v>0</v>
      </c>
      <c r="AJ259" s="298">
        <f t="shared" si="79"/>
        <v>0</v>
      </c>
      <c r="AK259" s="298">
        <f t="shared" si="79"/>
        <v>0</v>
      </c>
      <c r="AL259" s="298">
        <f t="shared" si="79"/>
        <v>1</v>
      </c>
      <c r="AM259" s="298">
        <f t="shared" si="79"/>
        <v>0</v>
      </c>
      <c r="AN259" s="298">
        <f t="shared" si="79"/>
        <v>0</v>
      </c>
      <c r="AO259" s="298">
        <f t="shared" si="79"/>
        <v>0</v>
      </c>
      <c r="AP259" s="298">
        <f t="shared" si="80"/>
        <v>0</v>
      </c>
      <c r="AQ259" s="298">
        <f t="shared" si="80"/>
        <v>0</v>
      </c>
      <c r="AR259" s="298">
        <f t="shared" si="80"/>
        <v>0</v>
      </c>
      <c r="AS259" s="298">
        <f t="shared" si="80"/>
        <v>0</v>
      </c>
      <c r="AT259" s="298">
        <f t="shared" si="80"/>
        <v>0</v>
      </c>
      <c r="AU259" s="298">
        <f t="shared" si="80"/>
        <v>0</v>
      </c>
      <c r="AV259" s="298">
        <f t="shared" si="80"/>
        <v>0</v>
      </c>
      <c r="AW259" s="244">
        <v>3</v>
      </c>
      <c r="AX259" s="244" t="s">
        <v>1625</v>
      </c>
      <c r="AY259" s="244" t="s">
        <v>1610</v>
      </c>
      <c r="AZ259" s="244" t="s">
        <v>337</v>
      </c>
      <c r="BA259" s="244" t="s">
        <v>1655</v>
      </c>
      <c r="BB259" s="244"/>
    </row>
    <row r="260" spans="1:54">
      <c r="A260" s="326" t="s">
        <v>1453</v>
      </c>
      <c r="B260" s="295" t="str">
        <f t="shared" si="70"/>
        <v>Klugheit: 12 | Intuition: 15 | Charisma: 15</v>
      </c>
      <c r="C260" s="308" t="b">
        <v>1</v>
      </c>
      <c r="D260" s="308" t="b">
        <v>0</v>
      </c>
      <c r="E260" s="308" t="b">
        <f t="shared" si="71"/>
        <v>1</v>
      </c>
      <c r="F260" s="324" t="s">
        <v>307</v>
      </c>
      <c r="G260" s="324" t="s">
        <v>110</v>
      </c>
      <c r="H260" s="324" t="s">
        <v>372</v>
      </c>
      <c r="I260" s="324" t="s">
        <v>1454</v>
      </c>
      <c r="J260" s="295">
        <f>_xlfn.XLOOKUP(G260,Rechner!$A$17:$A$25,Rechner!$B$17:$B$25)</f>
        <v>4</v>
      </c>
      <c r="K260" s="338" t="str">
        <f>_xlfn.XLOOKUP(J260-SUMIF($V$31:$AV$31,TRUE,V260:AV260)-IF(D260=TRUE,1,0),Rechner!$B$17:$B$25,Rechner!$A$17:$A$25,"A+")</f>
        <v>C</v>
      </c>
      <c r="L260" s="295" t="str">
        <f>_xlfn.XLOOKUP(S260,Eigenschaften!$C$20:$C$27,Eigenschaften!$B$20:$B$27)</f>
        <v>Klugheit</v>
      </c>
      <c r="M260" s="295">
        <f>_xlfn.XLOOKUP(L260,Eigenschaften!$B$20:$B$27,Eigenschaften!$H$20:$H$27,"NaN",1)</f>
        <v>12</v>
      </c>
      <c r="N260" s="295" t="str">
        <f>_xlfn.XLOOKUP(T260,Eigenschaften!$C$20:$C$27,Eigenschaften!$B$20:$B$27)</f>
        <v>Intuition</v>
      </c>
      <c r="O260" s="295">
        <f>_xlfn.XLOOKUP(N260,Eigenschaften!$B$20:$B$27,Eigenschaften!$H$20:$H$27,"NaN",1)</f>
        <v>15</v>
      </c>
      <c r="P260" s="295" t="str">
        <f>_xlfn.XLOOKUP(U260,Eigenschaften!$C$20:$C$27,Eigenschaften!$B$20:$B$27)</f>
        <v>Charisma</v>
      </c>
      <c r="Q260" s="295">
        <f>_xlfn.XLOOKUP(P260,Eigenschaften!$B$20:$B$27,Eigenschaften!$H$20:$H$27,"NaN",1)</f>
        <v>15</v>
      </c>
      <c r="R260" s="244"/>
      <c r="S260" s="244" t="str" cm="1">
        <f t="array" ref="S260:U260">_xlfn.TEXTSPLIT(F260,"/",,,,3)</f>
        <v>KL</v>
      </c>
      <c r="T260" s="244" t="str">
        <v>IN</v>
      </c>
      <c r="U260" s="244" t="str">
        <v>CH</v>
      </c>
      <c r="V260" s="325">
        <f t="shared" si="78"/>
        <v>0</v>
      </c>
      <c r="W260" s="325">
        <f t="shared" si="78"/>
        <v>0</v>
      </c>
      <c r="X260" s="325">
        <f t="shared" si="78"/>
        <v>0</v>
      </c>
      <c r="Y260" s="325">
        <f t="shared" si="78"/>
        <v>0</v>
      </c>
      <c r="Z260" s="325">
        <f t="shared" si="78"/>
        <v>0</v>
      </c>
      <c r="AA260" s="325">
        <f t="shared" si="78"/>
        <v>0</v>
      </c>
      <c r="AB260" s="325">
        <f t="shared" si="78"/>
        <v>0</v>
      </c>
      <c r="AC260" s="325">
        <f t="shared" si="78"/>
        <v>0</v>
      </c>
      <c r="AD260" s="325">
        <f t="shared" si="78"/>
        <v>0</v>
      </c>
      <c r="AE260" s="325">
        <f t="shared" si="78"/>
        <v>0</v>
      </c>
      <c r="AF260" s="325">
        <f t="shared" si="79"/>
        <v>0</v>
      </c>
      <c r="AG260" s="325">
        <f t="shared" si="79"/>
        <v>0</v>
      </c>
      <c r="AH260" s="325">
        <f t="shared" si="79"/>
        <v>0</v>
      </c>
      <c r="AI260" s="325">
        <f t="shared" si="79"/>
        <v>0</v>
      </c>
      <c r="AJ260" s="325">
        <f t="shared" si="79"/>
        <v>1</v>
      </c>
      <c r="AK260" s="325">
        <f t="shared" si="79"/>
        <v>0</v>
      </c>
      <c r="AL260" s="325">
        <f t="shared" si="79"/>
        <v>0</v>
      </c>
      <c r="AM260" s="325">
        <f t="shared" si="79"/>
        <v>0</v>
      </c>
      <c r="AN260" s="325">
        <f t="shared" si="79"/>
        <v>0</v>
      </c>
      <c r="AO260" s="325">
        <f t="shared" si="79"/>
        <v>0</v>
      </c>
      <c r="AP260" s="325">
        <f t="shared" si="80"/>
        <v>0</v>
      </c>
      <c r="AQ260" s="325">
        <f t="shared" si="80"/>
        <v>0</v>
      </c>
      <c r="AR260" s="325">
        <f t="shared" si="80"/>
        <v>0</v>
      </c>
      <c r="AS260" s="325">
        <f t="shared" si="80"/>
        <v>0</v>
      </c>
      <c r="AT260" s="325">
        <f t="shared" si="80"/>
        <v>0</v>
      </c>
      <c r="AU260" s="325">
        <f t="shared" si="80"/>
        <v>0</v>
      </c>
      <c r="AV260" s="325">
        <f t="shared" si="80"/>
        <v>0</v>
      </c>
      <c r="AW260" s="244">
        <v>3</v>
      </c>
      <c r="AX260" s="244" t="s">
        <v>1633</v>
      </c>
      <c r="AY260" s="244" t="s">
        <v>1662</v>
      </c>
      <c r="AZ260" s="244" t="s">
        <v>288</v>
      </c>
      <c r="BA260" s="244" t="s">
        <v>1641</v>
      </c>
      <c r="BB260" s="244"/>
    </row>
    <row r="261" spans="1:54" hidden="1">
      <c r="A261" s="326" t="s">
        <v>1457</v>
      </c>
      <c r="B261" s="295" t="str">
        <f t="shared" si="70"/>
        <v>Klugheit: 12 | Intuition: 15 | Charisma: 15</v>
      </c>
      <c r="C261" s="308" t="b">
        <v>0</v>
      </c>
      <c r="D261" s="308" t="b">
        <v>0</v>
      </c>
      <c r="E261" s="308" t="b">
        <f t="shared" si="71"/>
        <v>1</v>
      </c>
      <c r="F261" s="324" t="s">
        <v>307</v>
      </c>
      <c r="G261" s="324" t="s">
        <v>125</v>
      </c>
      <c r="H261" s="324" t="s">
        <v>382</v>
      </c>
      <c r="I261" s="324" t="s">
        <v>1458</v>
      </c>
      <c r="J261" s="295">
        <f>_xlfn.XLOOKUP(G261,Rechner!$A$17:$A$25,Rechner!$B$17:$B$25)</f>
        <v>3</v>
      </c>
      <c r="K261" s="295" t="str">
        <f>_xlfn.XLOOKUP(J261-SUMIF($V$31:$AV$31,TRUE,V261:AV261)-IF(D261=TRUE,1,0),Rechner!$B$17:$B$25,Rechner!$A$17:$A$25,"A+")</f>
        <v>B</v>
      </c>
      <c r="L261" s="295" t="str">
        <f>_xlfn.XLOOKUP(S261,Eigenschaften!$C$20:$C$27,Eigenschaften!$B$20:$B$27)</f>
        <v>Klugheit</v>
      </c>
      <c r="M261" s="295">
        <f>_xlfn.XLOOKUP(L261,Eigenschaften!$B$20:$B$27,Eigenschaften!$H$20:$H$27,"NaN",1)</f>
        <v>12</v>
      </c>
      <c r="N261" s="295" t="str">
        <f>_xlfn.XLOOKUP(T261,Eigenschaften!$C$20:$C$27,Eigenschaften!$B$20:$B$27)</f>
        <v>Intuition</v>
      </c>
      <c r="O261" s="295">
        <f>_xlfn.XLOOKUP(N261,Eigenschaften!$B$20:$B$27,Eigenschaften!$H$20:$H$27,"NaN",1)</f>
        <v>15</v>
      </c>
      <c r="P261" s="295" t="str">
        <f>_xlfn.XLOOKUP(U261,Eigenschaften!$C$20:$C$27,Eigenschaften!$B$20:$B$27)</f>
        <v>Charisma</v>
      </c>
      <c r="Q261" s="295">
        <f>_xlfn.XLOOKUP(P261,Eigenschaften!$B$20:$B$27,Eigenschaften!$H$20:$H$27,"NaN",1)</f>
        <v>15</v>
      </c>
      <c r="R261" s="244"/>
      <c r="S261" s="244" t="str" cm="1">
        <f t="array" ref="S261:U261">_xlfn.TEXTSPLIT(F261,"/",,,,3)</f>
        <v>KL</v>
      </c>
      <c r="T261" s="244" t="str">
        <v>IN</v>
      </c>
      <c r="U261" s="244" t="str">
        <v>CH</v>
      </c>
      <c r="V261" s="325">
        <f t="shared" si="78"/>
        <v>0</v>
      </c>
      <c r="W261" s="325">
        <f t="shared" si="78"/>
        <v>0</v>
      </c>
      <c r="X261" s="325">
        <f t="shared" si="78"/>
        <v>0</v>
      </c>
      <c r="Y261" s="325">
        <f t="shared" si="78"/>
        <v>0</v>
      </c>
      <c r="Z261" s="325">
        <f t="shared" si="78"/>
        <v>0</v>
      </c>
      <c r="AA261" s="325">
        <f t="shared" si="78"/>
        <v>0</v>
      </c>
      <c r="AB261" s="325">
        <f t="shared" si="78"/>
        <v>0</v>
      </c>
      <c r="AC261" s="325">
        <f t="shared" si="78"/>
        <v>0</v>
      </c>
      <c r="AD261" s="325">
        <f t="shared" si="78"/>
        <v>0</v>
      </c>
      <c r="AE261" s="325">
        <f t="shared" si="78"/>
        <v>0</v>
      </c>
      <c r="AF261" s="325">
        <f t="shared" si="79"/>
        <v>0</v>
      </c>
      <c r="AG261" s="325">
        <f t="shared" si="79"/>
        <v>0</v>
      </c>
      <c r="AH261" s="325">
        <f t="shared" si="79"/>
        <v>0</v>
      </c>
      <c r="AI261" s="325">
        <f t="shared" si="79"/>
        <v>0</v>
      </c>
      <c r="AJ261" s="325">
        <f t="shared" si="79"/>
        <v>0</v>
      </c>
      <c r="AK261" s="325">
        <f t="shared" si="79"/>
        <v>0</v>
      </c>
      <c r="AL261" s="325">
        <f t="shared" si="79"/>
        <v>0</v>
      </c>
      <c r="AM261" s="325">
        <f t="shared" si="79"/>
        <v>0</v>
      </c>
      <c r="AN261" s="325">
        <f t="shared" si="79"/>
        <v>0</v>
      </c>
      <c r="AO261" s="325">
        <f t="shared" si="79"/>
        <v>0</v>
      </c>
      <c r="AP261" s="325">
        <f t="shared" si="80"/>
        <v>0</v>
      </c>
      <c r="AQ261" s="325">
        <f t="shared" si="80"/>
        <v>0</v>
      </c>
      <c r="AR261" s="325">
        <f t="shared" si="80"/>
        <v>0</v>
      </c>
      <c r="AS261" s="325">
        <f t="shared" si="80"/>
        <v>0</v>
      </c>
      <c r="AT261" s="325">
        <f t="shared" si="80"/>
        <v>0</v>
      </c>
      <c r="AU261" s="325">
        <f t="shared" si="80"/>
        <v>1</v>
      </c>
      <c r="AV261" s="325">
        <f t="shared" si="80"/>
        <v>0</v>
      </c>
      <c r="AW261" s="244"/>
      <c r="AX261" s="244"/>
      <c r="AY261" s="244"/>
      <c r="AZ261" s="244"/>
      <c r="BA261" s="244"/>
      <c r="BB261" s="244"/>
    </row>
    <row r="262" spans="1:54" hidden="1">
      <c r="A262" s="326" t="s">
        <v>1459</v>
      </c>
      <c r="B262" s="295" t="str">
        <f t="shared" si="70"/>
        <v>Klugheit: 12 | Intuition: 15 | Fingerfertigkeit: 10</v>
      </c>
      <c r="C262" s="308" t="b">
        <v>0</v>
      </c>
      <c r="D262" s="308" t="b">
        <v>0</v>
      </c>
      <c r="E262" s="308" t="b">
        <f t="shared" si="71"/>
        <v>0</v>
      </c>
      <c r="F262" s="324" t="s">
        <v>277</v>
      </c>
      <c r="G262" s="324" t="s">
        <v>113</v>
      </c>
      <c r="H262" s="324" t="s">
        <v>375</v>
      </c>
      <c r="I262" s="324" t="s">
        <v>413</v>
      </c>
      <c r="J262" s="295">
        <f>_xlfn.XLOOKUP(G262,Rechner!$A$17:$A$25,Rechner!$B$17:$B$25)</f>
        <v>5</v>
      </c>
      <c r="K262" s="295" t="str">
        <f>_xlfn.XLOOKUP(J262-SUMIF($V$31:$AV$31,TRUE,V262:AV262)-IF(D262=TRUE,1,0),Rechner!$B$17:$B$25,Rechner!$A$17:$A$25,"A+")</f>
        <v>D</v>
      </c>
      <c r="L262" s="295" t="str">
        <f>_xlfn.XLOOKUP(S262,Eigenschaften!$C$20:$C$27,Eigenschaften!$B$20:$B$27)</f>
        <v>Klugheit</v>
      </c>
      <c r="M262" s="295">
        <f>_xlfn.XLOOKUP(L262,Eigenschaften!$B$20:$B$27,Eigenschaften!$H$20:$H$27,"NaN",1)</f>
        <v>12</v>
      </c>
      <c r="N262" s="295" t="str">
        <f>_xlfn.XLOOKUP(T262,Eigenschaften!$C$20:$C$27,Eigenschaften!$B$20:$B$27)</f>
        <v>Intuition</v>
      </c>
      <c r="O262" s="295">
        <f>_xlfn.XLOOKUP(N262,Eigenschaften!$B$20:$B$27,Eigenschaften!$H$20:$H$27,"NaN",1)</f>
        <v>15</v>
      </c>
      <c r="P262" s="295" t="str">
        <f>_xlfn.XLOOKUP(U262,Eigenschaften!$C$20:$C$27,Eigenschaften!$B$20:$B$27)</f>
        <v>Fingerfertigkeit</v>
      </c>
      <c r="Q262" s="295">
        <f>_xlfn.XLOOKUP(P262,Eigenschaften!$B$20:$B$27,Eigenschaften!$H$20:$H$27,"NaN",1)</f>
        <v>10</v>
      </c>
      <c r="R262" s="244"/>
      <c r="S262" s="244" t="str" cm="1">
        <f t="array" ref="S262:U262">_xlfn.TEXTSPLIT(F262,"/",,,,3)</f>
        <v>KL</v>
      </c>
      <c r="T262" s="244" t="str">
        <v>IN</v>
      </c>
      <c r="U262" s="244" t="str">
        <v>FF</v>
      </c>
      <c r="V262" s="325">
        <f t="shared" si="78"/>
        <v>0</v>
      </c>
      <c r="W262" s="325">
        <f t="shared" si="78"/>
        <v>0</v>
      </c>
      <c r="X262" s="325">
        <f t="shared" si="78"/>
        <v>0</v>
      </c>
      <c r="Y262" s="325">
        <f t="shared" si="78"/>
        <v>0</v>
      </c>
      <c r="Z262" s="325">
        <f t="shared" si="78"/>
        <v>0</v>
      </c>
      <c r="AA262" s="325">
        <f t="shared" si="78"/>
        <v>0</v>
      </c>
      <c r="AB262" s="325">
        <f t="shared" si="78"/>
        <v>0</v>
      </c>
      <c r="AC262" s="325">
        <f t="shared" si="78"/>
        <v>0</v>
      </c>
      <c r="AD262" s="325">
        <f t="shared" si="78"/>
        <v>0</v>
      </c>
      <c r="AE262" s="325">
        <f t="shared" si="78"/>
        <v>0</v>
      </c>
      <c r="AF262" s="325">
        <f t="shared" si="79"/>
        <v>0</v>
      </c>
      <c r="AG262" s="325">
        <f t="shared" si="79"/>
        <v>0</v>
      </c>
      <c r="AH262" s="325">
        <f t="shared" si="79"/>
        <v>0</v>
      </c>
      <c r="AI262" s="325">
        <f t="shared" si="79"/>
        <v>0</v>
      </c>
      <c r="AJ262" s="325">
        <f t="shared" si="79"/>
        <v>0</v>
      </c>
      <c r="AK262" s="325">
        <f t="shared" si="79"/>
        <v>0</v>
      </c>
      <c r="AL262" s="325">
        <f t="shared" si="79"/>
        <v>0</v>
      </c>
      <c r="AM262" s="325">
        <f t="shared" si="79"/>
        <v>1</v>
      </c>
      <c r="AN262" s="325">
        <f t="shared" si="79"/>
        <v>0</v>
      </c>
      <c r="AO262" s="325">
        <f t="shared" si="79"/>
        <v>0</v>
      </c>
      <c r="AP262" s="325">
        <f t="shared" si="80"/>
        <v>0</v>
      </c>
      <c r="AQ262" s="325">
        <f t="shared" si="80"/>
        <v>0</v>
      </c>
      <c r="AR262" s="325">
        <f t="shared" si="80"/>
        <v>0</v>
      </c>
      <c r="AS262" s="325">
        <f t="shared" si="80"/>
        <v>0</v>
      </c>
      <c r="AT262" s="325">
        <f t="shared" si="80"/>
        <v>0</v>
      </c>
      <c r="AU262" s="325">
        <f t="shared" si="80"/>
        <v>0</v>
      </c>
      <c r="AV262" s="325">
        <f t="shared" si="80"/>
        <v>0</v>
      </c>
      <c r="AW262" s="244"/>
      <c r="AX262" s="244"/>
      <c r="AY262" s="244"/>
      <c r="AZ262" s="244"/>
      <c r="BA262" s="244"/>
      <c r="BB262" s="244"/>
    </row>
    <row r="263" spans="1:54" hidden="1">
      <c r="A263" s="326" t="s">
        <v>1460</v>
      </c>
      <c r="B263" s="295" t="str">
        <f t="shared" si="70"/>
        <v>Mut: 13 | Mut: 13 | Charisma: 15</v>
      </c>
      <c r="C263" s="308" t="b">
        <v>0</v>
      </c>
      <c r="D263" s="308" t="b">
        <v>0</v>
      </c>
      <c r="E263" s="308" t="b">
        <f t="shared" si="71"/>
        <v>0</v>
      </c>
      <c r="F263" s="324" t="s">
        <v>527</v>
      </c>
      <c r="G263" s="324" t="s">
        <v>110</v>
      </c>
      <c r="H263" s="324" t="s">
        <v>1461</v>
      </c>
      <c r="I263" s="324" t="s">
        <v>1462</v>
      </c>
      <c r="J263" s="295">
        <f>_xlfn.XLOOKUP(G263,Rechner!$A$17:$A$25,Rechner!$B$17:$B$25)</f>
        <v>4</v>
      </c>
      <c r="K263" s="295" t="str">
        <f>_xlfn.XLOOKUP(J263-SUMIF($V$31:$AV$31,TRUE,V263:AV263)-IF(D263=TRUE,1,0),Rechner!$B$17:$B$25,Rechner!$A$17:$A$25,"A+")</f>
        <v>C</v>
      </c>
      <c r="L263" s="295" t="str">
        <f>_xlfn.XLOOKUP(S263,Eigenschaften!$C$20:$C$27,Eigenschaften!$B$20:$B$27)</f>
        <v>Mut</v>
      </c>
      <c r="M263" s="295">
        <f>_xlfn.XLOOKUP(L263,Eigenschaften!$B$20:$B$27,Eigenschaften!$H$20:$H$27,"NaN",1)</f>
        <v>13</v>
      </c>
      <c r="N263" s="295" t="str">
        <f>_xlfn.XLOOKUP(T263,Eigenschaften!$C$20:$C$27,Eigenschaften!$B$20:$B$27)</f>
        <v>Mut</v>
      </c>
      <c r="O263" s="295">
        <f>_xlfn.XLOOKUP(N263,Eigenschaften!$B$20:$B$27,Eigenschaften!$H$20:$H$27,"NaN",1)</f>
        <v>13</v>
      </c>
      <c r="P263" s="295" t="str">
        <f>_xlfn.XLOOKUP(U263,Eigenschaften!$C$20:$C$27,Eigenschaften!$B$20:$B$27)</f>
        <v>Charisma</v>
      </c>
      <c r="Q263" s="295">
        <f>_xlfn.XLOOKUP(P263,Eigenschaften!$B$20:$B$27,Eigenschaften!$H$20:$H$27,"NaN",1)</f>
        <v>15</v>
      </c>
      <c r="R263" s="244"/>
      <c r="S263" s="244" t="str" cm="1">
        <f t="array" ref="S263:U263">_xlfn.TEXTSPLIT(F263,"/",,,,3)</f>
        <v>MU</v>
      </c>
      <c r="T263" s="244" t="str">
        <v>MU</v>
      </c>
      <c r="U263" s="244" t="str">
        <v>CH</v>
      </c>
      <c r="V263" s="325">
        <f t="shared" si="78"/>
        <v>0</v>
      </c>
      <c r="W263" s="325">
        <f t="shared" si="78"/>
        <v>0</v>
      </c>
      <c r="X263" s="325">
        <f t="shared" si="78"/>
        <v>0</v>
      </c>
      <c r="Y263" s="325">
        <f t="shared" si="78"/>
        <v>0</v>
      </c>
      <c r="Z263" s="325">
        <f t="shared" si="78"/>
        <v>0</v>
      </c>
      <c r="AA263" s="325">
        <f t="shared" si="78"/>
        <v>0</v>
      </c>
      <c r="AB263" s="325">
        <f t="shared" si="78"/>
        <v>0</v>
      </c>
      <c r="AC263" s="325">
        <f t="shared" si="78"/>
        <v>0</v>
      </c>
      <c r="AD263" s="325">
        <f t="shared" si="78"/>
        <v>0</v>
      </c>
      <c r="AE263" s="325">
        <f t="shared" si="78"/>
        <v>0</v>
      </c>
      <c r="AF263" s="325">
        <f t="shared" si="79"/>
        <v>0</v>
      </c>
      <c r="AG263" s="325">
        <f t="shared" si="79"/>
        <v>0</v>
      </c>
      <c r="AH263" s="325">
        <f t="shared" si="79"/>
        <v>0</v>
      </c>
      <c r="AI263" s="325">
        <f t="shared" si="79"/>
        <v>0</v>
      </c>
      <c r="AJ263" s="325">
        <f t="shared" si="79"/>
        <v>0</v>
      </c>
      <c r="AK263" s="325">
        <f t="shared" si="79"/>
        <v>0</v>
      </c>
      <c r="AL263" s="325">
        <f t="shared" si="79"/>
        <v>0</v>
      </c>
      <c r="AM263" s="325">
        <f t="shared" si="79"/>
        <v>0</v>
      </c>
      <c r="AN263" s="325">
        <f t="shared" si="79"/>
        <v>0</v>
      </c>
      <c r="AO263" s="325">
        <f t="shared" si="79"/>
        <v>0</v>
      </c>
      <c r="AP263" s="325">
        <f t="shared" si="80"/>
        <v>0</v>
      </c>
      <c r="AQ263" s="325">
        <f t="shared" si="80"/>
        <v>0</v>
      </c>
      <c r="AR263" s="325">
        <f t="shared" si="80"/>
        <v>0</v>
      </c>
      <c r="AS263" s="325">
        <f t="shared" si="80"/>
        <v>0</v>
      </c>
      <c r="AT263" s="325">
        <f t="shared" si="80"/>
        <v>0</v>
      </c>
      <c r="AU263" s="325">
        <f t="shared" si="80"/>
        <v>0</v>
      </c>
      <c r="AV263" s="325">
        <f t="shared" si="80"/>
        <v>0</v>
      </c>
      <c r="AW263" s="244"/>
      <c r="AX263" s="244"/>
      <c r="AY263" s="244"/>
      <c r="AZ263" s="244"/>
      <c r="BA263" s="244"/>
      <c r="BB263" s="244"/>
    </row>
    <row r="264" spans="1:54" hidden="1">
      <c r="A264" s="326" t="s">
        <v>1463</v>
      </c>
      <c r="B264" s="295" t="str">
        <f t="shared" si="70"/>
        <v>Intuition: 15 | Konstitution: 12 | Körperkraft: 12</v>
      </c>
      <c r="C264" s="308" t="b">
        <v>0</v>
      </c>
      <c r="D264" s="308" t="b">
        <v>0</v>
      </c>
      <c r="E264" s="308" t="b">
        <f t="shared" si="71"/>
        <v>0</v>
      </c>
      <c r="F264" s="324" t="s">
        <v>638</v>
      </c>
      <c r="G264" s="324" t="s">
        <v>113</v>
      </c>
      <c r="H264" s="324" t="s">
        <v>407</v>
      </c>
      <c r="I264" s="324" t="s">
        <v>1464</v>
      </c>
      <c r="J264" s="295">
        <f>_xlfn.XLOOKUP(G264,Rechner!$A$17:$A$25,Rechner!$B$17:$B$25)</f>
        <v>5</v>
      </c>
      <c r="K264" s="295" t="str">
        <f>_xlfn.XLOOKUP(J264-SUMIF($V$31:$AV$31,TRUE,V264:AV264)-IF(D264=TRUE,1,0),Rechner!$B$17:$B$25,Rechner!$A$17:$A$25,"A+")</f>
        <v>D</v>
      </c>
      <c r="L264" s="295" t="str">
        <f>_xlfn.XLOOKUP(S264,Eigenschaften!$C$20:$C$27,Eigenschaften!$B$20:$B$27)</f>
        <v>Intuition</v>
      </c>
      <c r="M264" s="295">
        <f>_xlfn.XLOOKUP(L264,Eigenschaften!$B$20:$B$27,Eigenschaften!$H$20:$H$27,"NaN",1)</f>
        <v>15</v>
      </c>
      <c r="N264" s="295" t="str">
        <f>_xlfn.XLOOKUP(T264,Eigenschaften!$C$20:$C$27,Eigenschaften!$B$20:$B$27)</f>
        <v>Konstitution</v>
      </c>
      <c r="O264" s="295">
        <f>_xlfn.XLOOKUP(N264,Eigenschaften!$B$20:$B$27,Eigenschaften!$H$20:$H$27,"NaN",1)</f>
        <v>12</v>
      </c>
      <c r="P264" s="295" t="str">
        <f>_xlfn.XLOOKUP(U264,Eigenschaften!$C$20:$C$27,Eigenschaften!$B$20:$B$27)</f>
        <v>Körperkraft</v>
      </c>
      <c r="Q264" s="295">
        <f>_xlfn.XLOOKUP(P264,Eigenschaften!$B$20:$B$27,Eigenschaften!$H$20:$H$27,"NaN",1)</f>
        <v>12</v>
      </c>
      <c r="R264" s="244"/>
      <c r="S264" s="244" t="str" cm="1">
        <f t="array" ref="S264:U264">_xlfn.TEXTSPLIT(F264,"/",,,,3)</f>
        <v>IN</v>
      </c>
      <c r="T264" s="244" t="str">
        <v>KO</v>
      </c>
      <c r="U264" s="244" t="str">
        <v>KK</v>
      </c>
      <c r="V264" s="325">
        <f t="shared" si="78"/>
        <v>0</v>
      </c>
      <c r="W264" s="325">
        <f t="shared" si="78"/>
        <v>0</v>
      </c>
      <c r="X264" s="325">
        <f t="shared" si="78"/>
        <v>0</v>
      </c>
      <c r="Y264" s="325">
        <f t="shared" si="78"/>
        <v>1</v>
      </c>
      <c r="Z264" s="325">
        <f t="shared" si="78"/>
        <v>0</v>
      </c>
      <c r="AA264" s="325">
        <f t="shared" si="78"/>
        <v>0</v>
      </c>
      <c r="AB264" s="325">
        <f t="shared" si="78"/>
        <v>0</v>
      </c>
      <c r="AC264" s="325">
        <f t="shared" si="78"/>
        <v>0</v>
      </c>
      <c r="AD264" s="325">
        <f t="shared" si="78"/>
        <v>1</v>
      </c>
      <c r="AE264" s="325">
        <f t="shared" si="78"/>
        <v>0</v>
      </c>
      <c r="AF264" s="325">
        <f t="shared" si="79"/>
        <v>0</v>
      </c>
      <c r="AG264" s="325">
        <f t="shared" si="79"/>
        <v>0</v>
      </c>
      <c r="AH264" s="325">
        <f t="shared" si="79"/>
        <v>0</v>
      </c>
      <c r="AI264" s="325">
        <f t="shared" si="79"/>
        <v>0</v>
      </c>
      <c r="AJ264" s="325">
        <f t="shared" si="79"/>
        <v>0</v>
      </c>
      <c r="AK264" s="325">
        <f t="shared" si="79"/>
        <v>0</v>
      </c>
      <c r="AL264" s="325">
        <f t="shared" si="79"/>
        <v>0</v>
      </c>
      <c r="AM264" s="325">
        <f t="shared" si="79"/>
        <v>0</v>
      </c>
      <c r="AN264" s="325">
        <f t="shared" si="79"/>
        <v>0</v>
      </c>
      <c r="AO264" s="325">
        <f t="shared" si="79"/>
        <v>0</v>
      </c>
      <c r="AP264" s="325">
        <f t="shared" si="80"/>
        <v>0</v>
      </c>
      <c r="AQ264" s="325">
        <f t="shared" si="80"/>
        <v>0</v>
      </c>
      <c r="AR264" s="325">
        <f t="shared" si="80"/>
        <v>0</v>
      </c>
      <c r="AS264" s="325">
        <f t="shared" si="80"/>
        <v>0</v>
      </c>
      <c r="AT264" s="325">
        <f t="shared" si="80"/>
        <v>0</v>
      </c>
      <c r="AU264" s="325">
        <f t="shared" si="80"/>
        <v>1</v>
      </c>
      <c r="AV264" s="325">
        <f t="shared" si="80"/>
        <v>0</v>
      </c>
      <c r="AW264" s="244"/>
      <c r="AX264" s="244"/>
      <c r="AY264" s="244"/>
      <c r="AZ264" s="244"/>
      <c r="BA264" s="244"/>
      <c r="BB264" s="244"/>
    </row>
    <row r="265" spans="1:54" hidden="1">
      <c r="A265" s="326" t="s">
        <v>1465</v>
      </c>
      <c r="B265" s="295" t="str">
        <f t="shared" si="70"/>
        <v>Klugheit: 12 | Charisma: 15 | Charisma: 15</v>
      </c>
      <c r="C265" s="308" t="b">
        <v>0</v>
      </c>
      <c r="D265" s="308" t="b">
        <v>0</v>
      </c>
      <c r="E265" s="308" t="b">
        <f t="shared" si="71"/>
        <v>1</v>
      </c>
      <c r="F265" s="324" t="s">
        <v>690</v>
      </c>
      <c r="G265" s="324" t="s">
        <v>125</v>
      </c>
      <c r="H265" s="324" t="s">
        <v>368</v>
      </c>
      <c r="I265" s="324" t="s">
        <v>1466</v>
      </c>
      <c r="J265" s="295">
        <f>_xlfn.XLOOKUP(G265,Rechner!$A$17:$A$25,Rechner!$B$17:$B$25)</f>
        <v>3</v>
      </c>
      <c r="K265" s="295" t="str">
        <f>_xlfn.XLOOKUP(J265-SUMIF($V$31:$AV$31,TRUE,V265:AV265)-IF(D265=TRUE,1,0),Rechner!$B$17:$B$25,Rechner!$A$17:$A$25,"A+")</f>
        <v>A</v>
      </c>
      <c r="L265" s="295" t="str">
        <f>_xlfn.XLOOKUP(S265,Eigenschaften!$C$20:$C$27,Eigenschaften!$B$20:$B$27)</f>
        <v>Klugheit</v>
      </c>
      <c r="M265" s="295">
        <f>_xlfn.XLOOKUP(L265,Eigenschaften!$B$20:$B$27,Eigenschaften!$H$20:$H$27,"NaN",1)</f>
        <v>12</v>
      </c>
      <c r="N265" s="295" t="str">
        <f>_xlfn.XLOOKUP(T265,Eigenschaften!$C$20:$C$27,Eigenschaften!$B$20:$B$27)</f>
        <v>Charisma</v>
      </c>
      <c r="O265" s="295">
        <f>_xlfn.XLOOKUP(N265,Eigenschaften!$B$20:$B$27,Eigenschaften!$H$20:$H$27,"NaN",1)</f>
        <v>15</v>
      </c>
      <c r="P265" s="295" t="str">
        <f>_xlfn.XLOOKUP(U265,Eigenschaften!$C$20:$C$27,Eigenschaften!$B$20:$B$27)</f>
        <v>Charisma</v>
      </c>
      <c r="Q265" s="295">
        <f>_xlfn.XLOOKUP(P265,Eigenschaften!$B$20:$B$27,Eigenschaften!$H$20:$H$27,"NaN",1)</f>
        <v>15</v>
      </c>
      <c r="R265" s="244"/>
      <c r="S265" s="244" t="str" cm="1">
        <f t="array" ref="S265:U265">_xlfn.TEXTSPLIT(F265,"/",,,,3)</f>
        <v>KL</v>
      </c>
      <c r="T265" s="244" t="str">
        <v>CH</v>
      </c>
      <c r="U265" s="244" t="str">
        <v>CH</v>
      </c>
      <c r="V265" s="325">
        <f t="shared" si="78"/>
        <v>0</v>
      </c>
      <c r="W265" s="325">
        <f t="shared" si="78"/>
        <v>0</v>
      </c>
      <c r="X265" s="325">
        <f t="shared" si="78"/>
        <v>0</v>
      </c>
      <c r="Y265" s="325">
        <f t="shared" si="78"/>
        <v>0</v>
      </c>
      <c r="Z265" s="325">
        <f t="shared" si="78"/>
        <v>0</v>
      </c>
      <c r="AA265" s="325">
        <f t="shared" si="78"/>
        <v>0</v>
      </c>
      <c r="AB265" s="325">
        <f t="shared" si="78"/>
        <v>0</v>
      </c>
      <c r="AC265" s="325">
        <f t="shared" si="78"/>
        <v>0</v>
      </c>
      <c r="AD265" s="325">
        <f t="shared" si="78"/>
        <v>0</v>
      </c>
      <c r="AE265" s="325">
        <f t="shared" si="78"/>
        <v>0</v>
      </c>
      <c r="AF265" s="325">
        <f t="shared" si="79"/>
        <v>1</v>
      </c>
      <c r="AG265" s="325">
        <f t="shared" si="79"/>
        <v>0</v>
      </c>
      <c r="AH265" s="325">
        <f t="shared" si="79"/>
        <v>0</v>
      </c>
      <c r="AI265" s="325">
        <f t="shared" si="79"/>
        <v>0</v>
      </c>
      <c r="AJ265" s="325">
        <f t="shared" si="79"/>
        <v>0</v>
      </c>
      <c r="AK265" s="325">
        <f t="shared" si="79"/>
        <v>0</v>
      </c>
      <c r="AL265" s="325">
        <f t="shared" si="79"/>
        <v>0</v>
      </c>
      <c r="AM265" s="325">
        <f t="shared" si="79"/>
        <v>0</v>
      </c>
      <c r="AN265" s="325">
        <f t="shared" si="79"/>
        <v>0</v>
      </c>
      <c r="AO265" s="325">
        <f t="shared" si="79"/>
        <v>0</v>
      </c>
      <c r="AP265" s="325">
        <f t="shared" si="80"/>
        <v>0</v>
      </c>
      <c r="AQ265" s="325">
        <f t="shared" si="80"/>
        <v>0</v>
      </c>
      <c r="AR265" s="325">
        <f t="shared" si="80"/>
        <v>0</v>
      </c>
      <c r="AS265" s="325">
        <f t="shared" si="80"/>
        <v>0</v>
      </c>
      <c r="AT265" s="325">
        <f t="shared" si="80"/>
        <v>0</v>
      </c>
      <c r="AU265" s="325">
        <f t="shared" si="80"/>
        <v>0</v>
      </c>
      <c r="AV265" s="325">
        <f t="shared" si="80"/>
        <v>0</v>
      </c>
      <c r="AW265" s="244"/>
      <c r="AX265" s="244"/>
      <c r="AY265" s="244"/>
      <c r="AZ265" s="244"/>
      <c r="BA265" s="244"/>
      <c r="BB265" s="244"/>
    </row>
    <row r="266" spans="1:54">
      <c r="A266" s="326" t="s">
        <v>353</v>
      </c>
      <c r="B266" s="295" t="str">
        <f t="shared" si="70"/>
        <v>Mut: 13 | Intuition: 15 | Charisma: 15</v>
      </c>
      <c r="C266" s="308" t="b">
        <v>1</v>
      </c>
      <c r="D266" s="308" t="b">
        <v>0</v>
      </c>
      <c r="E266" s="308" t="b">
        <f t="shared" si="71"/>
        <v>1</v>
      </c>
      <c r="F266" s="324" t="s">
        <v>336</v>
      </c>
      <c r="G266" s="324" t="s">
        <v>110</v>
      </c>
      <c r="H266" s="324" t="s">
        <v>502</v>
      </c>
      <c r="I266" s="324" t="s">
        <v>1486</v>
      </c>
      <c r="J266" s="295">
        <f>_xlfn.XLOOKUP(G266,Rechner!$A$17:$A$25,Rechner!$B$17:$B$25)</f>
        <v>4</v>
      </c>
      <c r="K266" s="338" t="str">
        <f>_xlfn.XLOOKUP(J266-SUMIF($V$31:$AV$31,TRUE,V266:AV266)-IF(D266=TRUE,1,0),Rechner!$B$17:$B$25,Rechner!$A$17:$A$25,"A+")</f>
        <v>C</v>
      </c>
      <c r="L266" s="295" t="str">
        <f>_xlfn.XLOOKUP(S266,Eigenschaften!$C$20:$C$27,Eigenschaften!$B$20:$B$27)</f>
        <v>Mut</v>
      </c>
      <c r="M266" s="295">
        <f>_xlfn.XLOOKUP(L266,Eigenschaften!$B$20:$B$27,Eigenschaften!$H$20:$H$27,"NaN",1)</f>
        <v>13</v>
      </c>
      <c r="N266" s="295" t="str">
        <f>_xlfn.XLOOKUP(T266,Eigenschaften!$C$20:$C$27,Eigenschaften!$B$20:$B$27)</f>
        <v>Intuition</v>
      </c>
      <c r="O266" s="295">
        <f>_xlfn.XLOOKUP(N266,Eigenschaften!$B$20:$B$27,Eigenschaften!$H$20:$H$27,"NaN",1)</f>
        <v>15</v>
      </c>
      <c r="P266" s="295" t="str">
        <f>_xlfn.XLOOKUP(U266,Eigenschaften!$C$20:$C$27,Eigenschaften!$B$20:$B$27)</f>
        <v>Charisma</v>
      </c>
      <c r="Q266" s="295">
        <f>_xlfn.XLOOKUP(P266,Eigenschaften!$B$20:$B$27,Eigenschaften!$H$20:$H$27,"NaN",1)</f>
        <v>15</v>
      </c>
      <c r="R266" s="244"/>
      <c r="S266" s="244" t="str" cm="1">
        <f t="array" ref="S266:U266">_xlfn.TEXTSPLIT(F266,"/",,,,3)</f>
        <v>MU</v>
      </c>
      <c r="T266" s="244" t="str">
        <v>IN</v>
      </c>
      <c r="U266" s="244" t="str">
        <v>CH</v>
      </c>
      <c r="V266" s="325">
        <f t="shared" ref="V266:AE275" si="81">IF(ISNUMBER(SEARCH(V$32,$H266)),1,0)</f>
        <v>0</v>
      </c>
      <c r="W266" s="325">
        <f t="shared" si="81"/>
        <v>0</v>
      </c>
      <c r="X266" s="325">
        <f t="shared" si="81"/>
        <v>0</v>
      </c>
      <c r="Y266" s="325">
        <f t="shared" si="81"/>
        <v>0</v>
      </c>
      <c r="Z266" s="325">
        <f t="shared" si="81"/>
        <v>0</v>
      </c>
      <c r="AA266" s="325">
        <f t="shared" si="81"/>
        <v>0</v>
      </c>
      <c r="AB266" s="325">
        <f t="shared" si="81"/>
        <v>0</v>
      </c>
      <c r="AC266" s="325">
        <f t="shared" si="81"/>
        <v>0</v>
      </c>
      <c r="AD266" s="325">
        <f t="shared" si="81"/>
        <v>0</v>
      </c>
      <c r="AE266" s="325">
        <f t="shared" si="81"/>
        <v>0</v>
      </c>
      <c r="AF266" s="325">
        <f t="shared" ref="AF266:AO275" si="82">IF(ISNUMBER(SEARCH(AF$32,$H266)),1,0)</f>
        <v>0</v>
      </c>
      <c r="AG266" s="325">
        <f t="shared" si="82"/>
        <v>0</v>
      </c>
      <c r="AH266" s="325">
        <f t="shared" si="82"/>
        <v>0</v>
      </c>
      <c r="AI266" s="325">
        <f t="shared" si="82"/>
        <v>0</v>
      </c>
      <c r="AJ266" s="325">
        <f t="shared" si="82"/>
        <v>1</v>
      </c>
      <c r="AK266" s="325">
        <f t="shared" si="82"/>
        <v>0</v>
      </c>
      <c r="AL266" s="325">
        <f t="shared" si="82"/>
        <v>0</v>
      </c>
      <c r="AM266" s="325">
        <f t="shared" si="82"/>
        <v>0</v>
      </c>
      <c r="AN266" s="325">
        <f t="shared" si="82"/>
        <v>0</v>
      </c>
      <c r="AO266" s="325">
        <f t="shared" si="82"/>
        <v>0</v>
      </c>
      <c r="AP266" s="325">
        <f t="shared" ref="AP266:AV275" si="83">IF(ISNUMBER(SEARCH(AP$32,$H266)),1,0)</f>
        <v>0</v>
      </c>
      <c r="AQ266" s="325">
        <f t="shared" si="83"/>
        <v>0</v>
      </c>
      <c r="AR266" s="325">
        <f t="shared" si="83"/>
        <v>0</v>
      </c>
      <c r="AS266" s="325">
        <f t="shared" si="83"/>
        <v>0</v>
      </c>
      <c r="AT266" s="325">
        <f t="shared" si="83"/>
        <v>0</v>
      </c>
      <c r="AU266" s="325">
        <f t="shared" si="83"/>
        <v>0</v>
      </c>
      <c r="AV266" s="325">
        <f t="shared" si="83"/>
        <v>1</v>
      </c>
      <c r="AW266" s="244">
        <v>7</v>
      </c>
      <c r="AX266" s="244" t="s">
        <v>1645</v>
      </c>
      <c r="AY266" s="244" t="s">
        <v>1669</v>
      </c>
      <c r="AZ266" s="244" t="s">
        <v>288</v>
      </c>
      <c r="BA266" s="244" t="s">
        <v>1641</v>
      </c>
      <c r="BB266" s="244"/>
    </row>
    <row r="267" spans="1:54" hidden="1">
      <c r="A267" s="326" t="s">
        <v>1468</v>
      </c>
      <c r="B267" s="295" t="str">
        <f t="shared" si="70"/>
        <v>Intuition: 15 | Gewandheit: 14 | Gewandheit: 14</v>
      </c>
      <c r="C267" s="308" t="b">
        <v>0</v>
      </c>
      <c r="D267" s="308" t="b">
        <v>0</v>
      </c>
      <c r="E267" s="308" t="b">
        <f t="shared" si="71"/>
        <v>1</v>
      </c>
      <c r="F267" s="324" t="s">
        <v>1469</v>
      </c>
      <c r="G267" s="324" t="s">
        <v>110</v>
      </c>
      <c r="H267" s="324" t="s">
        <v>382</v>
      </c>
      <c r="I267" s="324" t="s">
        <v>1470</v>
      </c>
      <c r="J267" s="295">
        <f>_xlfn.XLOOKUP(G267,Rechner!$A$17:$A$25,Rechner!$B$17:$B$25)</f>
        <v>4</v>
      </c>
      <c r="K267" s="295" t="str">
        <f>_xlfn.XLOOKUP(J267-SUMIF($V$31:$AV$31,TRUE,V267:AV267)-IF(D267=TRUE,1,0),Rechner!$B$17:$B$25,Rechner!$A$17:$A$25,"A+")</f>
        <v>C</v>
      </c>
      <c r="L267" s="295" t="str">
        <f>_xlfn.XLOOKUP(S267,Eigenschaften!$C$20:$C$27,Eigenschaften!$B$20:$B$27)</f>
        <v>Intuition</v>
      </c>
      <c r="M267" s="295">
        <f>_xlfn.XLOOKUP(L267,Eigenschaften!$B$20:$B$27,Eigenschaften!$H$20:$H$27,"NaN",1)</f>
        <v>15</v>
      </c>
      <c r="N267" s="295" t="str">
        <f>_xlfn.XLOOKUP(T267,Eigenschaften!$C$20:$C$27,Eigenschaften!$B$20:$B$27)</f>
        <v>Gewandheit</v>
      </c>
      <c r="O267" s="295">
        <f>_xlfn.XLOOKUP(N267,Eigenschaften!$B$20:$B$27,Eigenschaften!$H$20:$H$27,"NaN",1)</f>
        <v>14</v>
      </c>
      <c r="P267" s="295" t="str">
        <f>_xlfn.XLOOKUP(U267,Eigenschaften!$C$20:$C$27,Eigenschaften!$B$20:$B$27)</f>
        <v>Gewandheit</v>
      </c>
      <c r="Q267" s="295">
        <f>_xlfn.XLOOKUP(P267,Eigenschaften!$B$20:$B$27,Eigenschaften!$H$20:$H$27,"NaN",1)</f>
        <v>14</v>
      </c>
      <c r="R267" s="244"/>
      <c r="S267" s="244" t="str" cm="1">
        <f t="array" ref="S267:U267">_xlfn.TEXTSPLIT(F267,"/",,,,3)</f>
        <v>IN</v>
      </c>
      <c r="T267" s="244" t="str">
        <v>GE</v>
      </c>
      <c r="U267" s="244" t="str">
        <v>GE</v>
      </c>
      <c r="V267" s="325">
        <f t="shared" si="81"/>
        <v>0</v>
      </c>
      <c r="W267" s="325">
        <f t="shared" si="81"/>
        <v>0</v>
      </c>
      <c r="X267" s="325">
        <f t="shared" si="81"/>
        <v>0</v>
      </c>
      <c r="Y267" s="325">
        <f t="shared" si="81"/>
        <v>0</v>
      </c>
      <c r="Z267" s="325">
        <f t="shared" si="81"/>
        <v>0</v>
      </c>
      <c r="AA267" s="325">
        <f t="shared" si="81"/>
        <v>0</v>
      </c>
      <c r="AB267" s="325">
        <f t="shared" si="81"/>
        <v>0</v>
      </c>
      <c r="AC267" s="325">
        <f t="shared" si="81"/>
        <v>0</v>
      </c>
      <c r="AD267" s="325">
        <f t="shared" si="81"/>
        <v>0</v>
      </c>
      <c r="AE267" s="325">
        <f t="shared" si="81"/>
        <v>0</v>
      </c>
      <c r="AF267" s="325">
        <f t="shared" si="82"/>
        <v>0</v>
      </c>
      <c r="AG267" s="325">
        <f t="shared" si="82"/>
        <v>0</v>
      </c>
      <c r="AH267" s="325">
        <f t="shared" si="82"/>
        <v>0</v>
      </c>
      <c r="AI267" s="325">
        <f t="shared" si="82"/>
        <v>0</v>
      </c>
      <c r="AJ267" s="325">
        <f t="shared" si="82"/>
        <v>0</v>
      </c>
      <c r="AK267" s="325">
        <f t="shared" si="82"/>
        <v>0</v>
      </c>
      <c r="AL267" s="325">
        <f t="shared" si="82"/>
        <v>0</v>
      </c>
      <c r="AM267" s="325">
        <f t="shared" si="82"/>
        <v>0</v>
      </c>
      <c r="AN267" s="325">
        <f t="shared" si="82"/>
        <v>0</v>
      </c>
      <c r="AO267" s="325">
        <f t="shared" si="82"/>
        <v>0</v>
      </c>
      <c r="AP267" s="325">
        <f t="shared" si="83"/>
        <v>0</v>
      </c>
      <c r="AQ267" s="325">
        <f t="shared" si="83"/>
        <v>0</v>
      </c>
      <c r="AR267" s="325">
        <f t="shared" si="83"/>
        <v>0</v>
      </c>
      <c r="AS267" s="325">
        <f t="shared" si="83"/>
        <v>0</v>
      </c>
      <c r="AT267" s="325">
        <f t="shared" si="83"/>
        <v>0</v>
      </c>
      <c r="AU267" s="325">
        <f t="shared" si="83"/>
        <v>1</v>
      </c>
      <c r="AV267" s="325">
        <f t="shared" si="83"/>
        <v>0</v>
      </c>
      <c r="AW267" s="244"/>
      <c r="AX267" s="244"/>
      <c r="AY267" s="244"/>
      <c r="AZ267" s="244"/>
      <c r="BA267" s="244"/>
      <c r="BB267" s="244"/>
    </row>
    <row r="268" spans="1:54" hidden="1">
      <c r="A268" s="326" t="s">
        <v>1471</v>
      </c>
      <c r="B268" s="295" t="str">
        <f t="shared" si="70"/>
        <v>Intuition: 15 | Gewandheit: 14 | Fingerfertigkeit: 10</v>
      </c>
      <c r="C268" s="308" t="b">
        <v>0</v>
      </c>
      <c r="D268" s="308" t="b">
        <v>0</v>
      </c>
      <c r="E268" s="308" t="b">
        <f t="shared" si="71"/>
        <v>0</v>
      </c>
      <c r="F268" s="324" t="s">
        <v>1429</v>
      </c>
      <c r="G268" s="324" t="s">
        <v>110</v>
      </c>
      <c r="H268" s="324" t="s">
        <v>235</v>
      </c>
      <c r="I268" s="324" t="s">
        <v>1472</v>
      </c>
      <c r="J268" s="295">
        <f>_xlfn.XLOOKUP(G268,Rechner!$A$17:$A$25,Rechner!$B$17:$B$25)</f>
        <v>4</v>
      </c>
      <c r="K268" s="295" t="str">
        <f>_xlfn.XLOOKUP(J268-SUMIF($V$31:$AV$31,TRUE,V268:AV268)-IF(D268=TRUE,1,0),Rechner!$B$17:$B$25,Rechner!$A$17:$A$25,"A+")</f>
        <v>B</v>
      </c>
      <c r="L268" s="295" t="str">
        <f>_xlfn.XLOOKUP(S268,Eigenschaften!$C$20:$C$27,Eigenschaften!$B$20:$B$27)</f>
        <v>Intuition</v>
      </c>
      <c r="M268" s="295">
        <f>_xlfn.XLOOKUP(L268,Eigenschaften!$B$20:$B$27,Eigenschaften!$H$20:$H$27,"NaN",1)</f>
        <v>15</v>
      </c>
      <c r="N268" s="295" t="str">
        <f>_xlfn.XLOOKUP(T268,Eigenschaften!$C$20:$C$27,Eigenschaften!$B$20:$B$27)</f>
        <v>Gewandheit</v>
      </c>
      <c r="O268" s="295">
        <f>_xlfn.XLOOKUP(N268,Eigenschaften!$B$20:$B$27,Eigenschaften!$H$20:$H$27,"NaN",1)</f>
        <v>14</v>
      </c>
      <c r="P268" s="295" t="str">
        <f>_xlfn.XLOOKUP(U268,Eigenschaften!$C$20:$C$27,Eigenschaften!$B$20:$B$27)</f>
        <v>Fingerfertigkeit</v>
      </c>
      <c r="Q268" s="295">
        <f>_xlfn.XLOOKUP(P268,Eigenschaften!$B$20:$B$27,Eigenschaften!$H$20:$H$27,"NaN",1)</f>
        <v>10</v>
      </c>
      <c r="R268" s="244"/>
      <c r="S268" s="244" t="str" cm="1">
        <f t="array" ref="S268:U268">_xlfn.TEXTSPLIT(F268,"/",,,,3)</f>
        <v>IN</v>
      </c>
      <c r="T268" s="244" t="str">
        <v>GE</v>
      </c>
      <c r="U268" s="244" t="str">
        <v>FF</v>
      </c>
      <c r="V268" s="325">
        <f t="shared" si="81"/>
        <v>0</v>
      </c>
      <c r="W268" s="325">
        <f t="shared" si="81"/>
        <v>0</v>
      </c>
      <c r="X268" s="325">
        <f t="shared" si="81"/>
        <v>1</v>
      </c>
      <c r="Y268" s="325">
        <f t="shared" si="81"/>
        <v>0</v>
      </c>
      <c r="Z268" s="325">
        <f t="shared" si="81"/>
        <v>0</v>
      </c>
      <c r="AA268" s="325">
        <f t="shared" si="81"/>
        <v>0</v>
      </c>
      <c r="AB268" s="325">
        <f t="shared" si="81"/>
        <v>0</v>
      </c>
      <c r="AC268" s="325">
        <f t="shared" si="81"/>
        <v>0</v>
      </c>
      <c r="AD268" s="325">
        <f t="shared" si="81"/>
        <v>0</v>
      </c>
      <c r="AE268" s="325">
        <f t="shared" si="81"/>
        <v>0</v>
      </c>
      <c r="AF268" s="325">
        <f t="shared" si="82"/>
        <v>0</v>
      </c>
      <c r="AG268" s="325">
        <f t="shared" si="82"/>
        <v>0</v>
      </c>
      <c r="AH268" s="325">
        <f t="shared" si="82"/>
        <v>0</v>
      </c>
      <c r="AI268" s="325">
        <f t="shared" si="82"/>
        <v>0</v>
      </c>
      <c r="AJ268" s="325">
        <f t="shared" si="82"/>
        <v>0</v>
      </c>
      <c r="AK268" s="325">
        <f t="shared" si="82"/>
        <v>0</v>
      </c>
      <c r="AL268" s="325">
        <f t="shared" si="82"/>
        <v>0</v>
      </c>
      <c r="AM268" s="325">
        <f t="shared" si="82"/>
        <v>0</v>
      </c>
      <c r="AN268" s="325">
        <f t="shared" si="82"/>
        <v>0</v>
      </c>
      <c r="AO268" s="325">
        <f t="shared" si="82"/>
        <v>0</v>
      </c>
      <c r="AP268" s="325">
        <f t="shared" si="83"/>
        <v>0</v>
      </c>
      <c r="AQ268" s="325">
        <f t="shared" si="83"/>
        <v>0</v>
      </c>
      <c r="AR268" s="325">
        <f t="shared" si="83"/>
        <v>0</v>
      </c>
      <c r="AS268" s="325">
        <f t="shared" si="83"/>
        <v>0</v>
      </c>
      <c r="AT268" s="325">
        <f t="shared" si="83"/>
        <v>0</v>
      </c>
      <c r="AU268" s="325">
        <f t="shared" si="83"/>
        <v>0</v>
      </c>
      <c r="AV268" s="325">
        <f t="shared" si="83"/>
        <v>0</v>
      </c>
      <c r="AW268" s="244"/>
      <c r="AX268" s="244"/>
      <c r="AY268" s="244"/>
      <c r="AZ268" s="244"/>
      <c r="BA268" s="244"/>
      <c r="BB268" s="244"/>
    </row>
    <row r="269" spans="1:54" hidden="1">
      <c r="A269" s="326" t="s">
        <v>1473</v>
      </c>
      <c r="B269" s="295" t="str">
        <f t="shared" si="70"/>
        <v>Mut: 13 | Klugheit: 12 | Charisma: 15</v>
      </c>
      <c r="C269" s="308" t="b">
        <v>0</v>
      </c>
      <c r="D269" s="308" t="b">
        <v>0</v>
      </c>
      <c r="E269" s="308" t="b">
        <f t="shared" si="71"/>
        <v>0</v>
      </c>
      <c r="F269" s="324" t="s">
        <v>567</v>
      </c>
      <c r="G269" s="324" t="s">
        <v>429</v>
      </c>
      <c r="H269" s="324" t="s">
        <v>1474</v>
      </c>
      <c r="I269" s="324" t="s">
        <v>413</v>
      </c>
      <c r="J269" s="295">
        <f>_xlfn.XLOOKUP(G269,Rechner!$A$17:$A$25,Rechner!$B$17:$B$25)</f>
        <v>6</v>
      </c>
      <c r="K269" s="295" t="str">
        <f>_xlfn.XLOOKUP(J269-SUMIF($V$31:$AV$31,TRUE,V269:AV269)-IF(D269=TRUE,1,0),Rechner!$B$17:$B$25,Rechner!$A$17:$A$25,"A+")</f>
        <v>E</v>
      </c>
      <c r="L269" s="295" t="str">
        <f>_xlfn.XLOOKUP(S269,Eigenschaften!$C$20:$C$27,Eigenschaften!$B$20:$B$27)</f>
        <v>Mut</v>
      </c>
      <c r="M269" s="295">
        <f>_xlfn.XLOOKUP(L269,Eigenschaften!$B$20:$B$27,Eigenschaften!$H$20:$H$27,"NaN",1)</f>
        <v>13</v>
      </c>
      <c r="N269" s="295" t="str">
        <f>_xlfn.XLOOKUP(T269,Eigenschaften!$C$20:$C$27,Eigenschaften!$B$20:$B$27)</f>
        <v>Klugheit</v>
      </c>
      <c r="O269" s="295">
        <f>_xlfn.XLOOKUP(N269,Eigenschaften!$B$20:$B$27,Eigenschaften!$H$20:$H$27,"NaN",1)</f>
        <v>12</v>
      </c>
      <c r="P269" s="295" t="str">
        <f>_xlfn.XLOOKUP(U269,Eigenschaften!$C$20:$C$27,Eigenschaften!$B$20:$B$27)</f>
        <v>Charisma</v>
      </c>
      <c r="Q269" s="295">
        <f>_xlfn.XLOOKUP(P269,Eigenschaften!$B$20:$B$27,Eigenschaften!$H$20:$H$27,"NaN",1)</f>
        <v>15</v>
      </c>
      <c r="R269" s="244"/>
      <c r="S269" s="244" t="str" cm="1">
        <f t="array" ref="S269:U269">_xlfn.TEXTSPLIT(F269,"/",,,,3)</f>
        <v>MU</v>
      </c>
      <c r="T269" s="244" t="str">
        <v>KL</v>
      </c>
      <c r="U269" s="244" t="str">
        <v>CH</v>
      </c>
      <c r="V269" s="325">
        <f t="shared" si="81"/>
        <v>0</v>
      </c>
      <c r="W269" s="325">
        <f t="shared" si="81"/>
        <v>0</v>
      </c>
      <c r="X269" s="325">
        <f t="shared" si="81"/>
        <v>0</v>
      </c>
      <c r="Y269" s="325">
        <f t="shared" si="81"/>
        <v>1</v>
      </c>
      <c r="Z269" s="325">
        <f t="shared" si="81"/>
        <v>0</v>
      </c>
      <c r="AA269" s="325">
        <f t="shared" si="81"/>
        <v>0</v>
      </c>
      <c r="AB269" s="325">
        <f t="shared" si="81"/>
        <v>1</v>
      </c>
      <c r="AC269" s="325">
        <f t="shared" si="81"/>
        <v>0</v>
      </c>
      <c r="AD269" s="325">
        <f t="shared" si="81"/>
        <v>0</v>
      </c>
      <c r="AE269" s="325">
        <f t="shared" si="81"/>
        <v>0</v>
      </c>
      <c r="AF269" s="325">
        <f t="shared" si="82"/>
        <v>0</v>
      </c>
      <c r="AG269" s="325">
        <f t="shared" si="82"/>
        <v>0</v>
      </c>
      <c r="AH269" s="325">
        <f t="shared" si="82"/>
        <v>0</v>
      </c>
      <c r="AI269" s="325">
        <f t="shared" si="82"/>
        <v>0</v>
      </c>
      <c r="AJ269" s="325">
        <f t="shared" si="82"/>
        <v>0</v>
      </c>
      <c r="AK269" s="325">
        <f t="shared" si="82"/>
        <v>0</v>
      </c>
      <c r="AL269" s="325">
        <f t="shared" si="82"/>
        <v>0</v>
      </c>
      <c r="AM269" s="325">
        <f t="shared" si="82"/>
        <v>0</v>
      </c>
      <c r="AN269" s="325">
        <f t="shared" si="82"/>
        <v>0</v>
      </c>
      <c r="AO269" s="325">
        <f t="shared" si="82"/>
        <v>0</v>
      </c>
      <c r="AP269" s="325">
        <f t="shared" si="83"/>
        <v>0</v>
      </c>
      <c r="AQ269" s="325">
        <f t="shared" si="83"/>
        <v>0</v>
      </c>
      <c r="AR269" s="325">
        <f t="shared" si="83"/>
        <v>0</v>
      </c>
      <c r="AS269" s="325">
        <f t="shared" si="83"/>
        <v>0</v>
      </c>
      <c r="AT269" s="325">
        <f t="shared" si="83"/>
        <v>0</v>
      </c>
      <c r="AU269" s="325">
        <f t="shared" si="83"/>
        <v>0</v>
      </c>
      <c r="AV269" s="325">
        <f t="shared" si="83"/>
        <v>0</v>
      </c>
      <c r="AW269" s="244"/>
      <c r="AX269" s="244"/>
      <c r="AY269" s="244"/>
      <c r="AZ269" s="244"/>
      <c r="BA269" s="244"/>
      <c r="BB269" s="244"/>
    </row>
    <row r="270" spans="1:54" hidden="1">
      <c r="A270" s="326" t="s">
        <v>1475</v>
      </c>
      <c r="B270" s="295" t="str">
        <f t="shared" si="70"/>
        <v>Mut: 13 | Charisma: 15 | Körperkraft: 12</v>
      </c>
      <c r="C270" s="308" t="b">
        <v>0</v>
      </c>
      <c r="D270" s="308" t="b">
        <v>0</v>
      </c>
      <c r="E270" s="308" t="b">
        <f t="shared" si="71"/>
        <v>0</v>
      </c>
      <c r="F270" s="324" t="s">
        <v>692</v>
      </c>
      <c r="G270" s="324" t="s">
        <v>429</v>
      </c>
      <c r="H270" s="324" t="s">
        <v>555</v>
      </c>
      <c r="I270" s="324" t="s">
        <v>668</v>
      </c>
      <c r="J270" s="295">
        <f>_xlfn.XLOOKUP(G270,Rechner!$A$17:$A$25,Rechner!$B$17:$B$25)</f>
        <v>6</v>
      </c>
      <c r="K270" s="295" t="str">
        <f>_xlfn.XLOOKUP(J270-SUMIF($V$31:$AV$31,TRUE,V270:AV270)-IF(D270=TRUE,1,0),Rechner!$B$17:$B$25,Rechner!$A$17:$A$25,"A+")</f>
        <v>E</v>
      </c>
      <c r="L270" s="295" t="str">
        <f>_xlfn.XLOOKUP(S270,Eigenschaften!$C$20:$C$27,Eigenschaften!$B$20:$B$27)</f>
        <v>Mut</v>
      </c>
      <c r="M270" s="295">
        <f>_xlfn.XLOOKUP(L270,Eigenschaften!$B$20:$B$27,Eigenschaften!$H$20:$H$27,"NaN",1)</f>
        <v>13</v>
      </c>
      <c r="N270" s="295" t="str">
        <f>_xlfn.XLOOKUP(T270,Eigenschaften!$C$20:$C$27,Eigenschaften!$B$20:$B$27)</f>
        <v>Charisma</v>
      </c>
      <c r="O270" s="295">
        <f>_xlfn.XLOOKUP(N270,Eigenschaften!$B$20:$B$27,Eigenschaften!$H$20:$H$27,"NaN",1)</f>
        <v>15</v>
      </c>
      <c r="P270" s="295" t="str">
        <f>_xlfn.XLOOKUP(U270,Eigenschaften!$C$20:$C$27,Eigenschaften!$B$20:$B$27)</f>
        <v>Körperkraft</v>
      </c>
      <c r="Q270" s="295">
        <f>_xlfn.XLOOKUP(P270,Eigenschaften!$B$20:$B$27,Eigenschaften!$H$20:$H$27,"NaN",1)</f>
        <v>12</v>
      </c>
      <c r="R270" s="244"/>
      <c r="S270" s="244" t="str" cm="1">
        <f t="array" ref="S270:U270">_xlfn.TEXTSPLIT(F270,"/",,,,3)</f>
        <v>MU</v>
      </c>
      <c r="T270" s="244" t="str">
        <v>CH</v>
      </c>
      <c r="U270" s="244" t="str">
        <v>KK</v>
      </c>
      <c r="V270" s="325">
        <f t="shared" si="81"/>
        <v>0</v>
      </c>
      <c r="W270" s="325">
        <f t="shared" si="81"/>
        <v>1</v>
      </c>
      <c r="X270" s="325">
        <f t="shared" si="81"/>
        <v>0</v>
      </c>
      <c r="Y270" s="325">
        <f t="shared" si="81"/>
        <v>0</v>
      </c>
      <c r="Z270" s="325">
        <f t="shared" si="81"/>
        <v>0</v>
      </c>
      <c r="AA270" s="325">
        <f t="shared" si="81"/>
        <v>0</v>
      </c>
      <c r="AB270" s="325">
        <f t="shared" si="81"/>
        <v>0</v>
      </c>
      <c r="AC270" s="325">
        <f t="shared" si="81"/>
        <v>0</v>
      </c>
      <c r="AD270" s="325">
        <f t="shared" si="81"/>
        <v>0</v>
      </c>
      <c r="AE270" s="325">
        <f t="shared" si="81"/>
        <v>0</v>
      </c>
      <c r="AF270" s="325">
        <f t="shared" si="82"/>
        <v>0</v>
      </c>
      <c r="AG270" s="325">
        <f t="shared" si="82"/>
        <v>0</v>
      </c>
      <c r="AH270" s="325">
        <f t="shared" si="82"/>
        <v>0</v>
      </c>
      <c r="AI270" s="325">
        <f t="shared" si="82"/>
        <v>0</v>
      </c>
      <c r="AJ270" s="325">
        <f t="shared" si="82"/>
        <v>0</v>
      </c>
      <c r="AK270" s="325">
        <f t="shared" si="82"/>
        <v>0</v>
      </c>
      <c r="AL270" s="325">
        <f t="shared" si="82"/>
        <v>0</v>
      </c>
      <c r="AM270" s="325">
        <f t="shared" si="82"/>
        <v>0</v>
      </c>
      <c r="AN270" s="325">
        <f t="shared" si="82"/>
        <v>0</v>
      </c>
      <c r="AO270" s="325">
        <f t="shared" si="82"/>
        <v>0</v>
      </c>
      <c r="AP270" s="325">
        <f t="shared" si="83"/>
        <v>0</v>
      </c>
      <c r="AQ270" s="325">
        <f t="shared" si="83"/>
        <v>0</v>
      </c>
      <c r="AR270" s="325">
        <f t="shared" si="83"/>
        <v>0</v>
      </c>
      <c r="AS270" s="325">
        <f t="shared" si="83"/>
        <v>0</v>
      </c>
      <c r="AT270" s="325">
        <f t="shared" si="83"/>
        <v>0</v>
      </c>
      <c r="AU270" s="325">
        <f t="shared" si="83"/>
        <v>0</v>
      </c>
      <c r="AV270" s="325">
        <f t="shared" si="83"/>
        <v>0</v>
      </c>
      <c r="AW270" s="244"/>
      <c r="AX270" s="244"/>
      <c r="AY270" s="244"/>
      <c r="AZ270" s="244"/>
      <c r="BA270" s="244"/>
      <c r="BB270" s="244"/>
    </row>
    <row r="271" spans="1:54" hidden="1">
      <c r="A271" s="326" t="s">
        <v>1476</v>
      </c>
      <c r="B271" s="295" t="str">
        <f t="shared" si="70"/>
        <v>Mut: 13 | Intuition: 15 | Gewandheit: 14</v>
      </c>
      <c r="C271" s="308" t="b">
        <v>0</v>
      </c>
      <c r="D271" s="308" t="b">
        <v>0</v>
      </c>
      <c r="E271" s="308" t="b">
        <f t="shared" si="71"/>
        <v>0</v>
      </c>
      <c r="F271" s="324" t="s">
        <v>402</v>
      </c>
      <c r="G271" s="324" t="s">
        <v>429</v>
      </c>
      <c r="H271" s="324" t="s">
        <v>1477</v>
      </c>
      <c r="I271" s="324" t="s">
        <v>1478</v>
      </c>
      <c r="J271" s="295">
        <f>_xlfn.XLOOKUP(G271,Rechner!$A$17:$A$25,Rechner!$B$17:$B$25)</f>
        <v>6</v>
      </c>
      <c r="K271" s="295" t="str">
        <f>_xlfn.XLOOKUP(J271-SUMIF($V$31:$AV$31,TRUE,V271:AV271)-IF(D271=TRUE,1,0),Rechner!$B$17:$B$25,Rechner!$A$17:$A$25,"A+")</f>
        <v>E</v>
      </c>
      <c r="L271" s="295" t="str">
        <f>_xlfn.XLOOKUP(S271,Eigenschaften!$C$20:$C$27,Eigenschaften!$B$20:$B$27)</f>
        <v>Mut</v>
      </c>
      <c r="M271" s="295">
        <f>_xlfn.XLOOKUP(L271,Eigenschaften!$B$20:$B$27,Eigenschaften!$H$20:$H$27,"NaN",1)</f>
        <v>13</v>
      </c>
      <c r="N271" s="295" t="str">
        <f>_xlfn.XLOOKUP(T271,Eigenschaften!$C$20:$C$27,Eigenschaften!$B$20:$B$27)</f>
        <v>Intuition</v>
      </c>
      <c r="O271" s="295">
        <f>_xlfn.XLOOKUP(N271,Eigenschaften!$B$20:$B$27,Eigenschaften!$H$20:$H$27,"NaN",1)</f>
        <v>15</v>
      </c>
      <c r="P271" s="295" t="str">
        <f>_xlfn.XLOOKUP(U271,Eigenschaften!$C$20:$C$27,Eigenschaften!$B$20:$B$27)</f>
        <v>Gewandheit</v>
      </c>
      <c r="Q271" s="295">
        <f>_xlfn.XLOOKUP(P271,Eigenschaften!$B$20:$B$27,Eigenschaften!$H$20:$H$27,"NaN",1)</f>
        <v>14</v>
      </c>
      <c r="R271" s="244"/>
      <c r="S271" s="244" t="str" cm="1">
        <f t="array" ref="S271:U271">_xlfn.TEXTSPLIT(F271,"/",,,,3)</f>
        <v>MU</v>
      </c>
      <c r="T271" s="244" t="str">
        <v>IN</v>
      </c>
      <c r="U271" s="244" t="str">
        <v>GE</v>
      </c>
      <c r="V271" s="325">
        <f t="shared" si="81"/>
        <v>0</v>
      </c>
      <c r="W271" s="325">
        <f t="shared" si="81"/>
        <v>0</v>
      </c>
      <c r="X271" s="325">
        <f t="shared" si="81"/>
        <v>0</v>
      </c>
      <c r="Y271" s="325">
        <f t="shared" si="81"/>
        <v>1</v>
      </c>
      <c r="Z271" s="325">
        <f t="shared" si="81"/>
        <v>0</v>
      </c>
      <c r="AA271" s="325">
        <f t="shared" si="81"/>
        <v>0</v>
      </c>
      <c r="AB271" s="325">
        <f t="shared" si="81"/>
        <v>0</v>
      </c>
      <c r="AC271" s="325">
        <f t="shared" si="81"/>
        <v>1</v>
      </c>
      <c r="AD271" s="325">
        <f t="shared" si="81"/>
        <v>0</v>
      </c>
      <c r="AE271" s="325">
        <f t="shared" si="81"/>
        <v>0</v>
      </c>
      <c r="AF271" s="325">
        <f t="shared" si="82"/>
        <v>0</v>
      </c>
      <c r="AG271" s="325">
        <f t="shared" si="82"/>
        <v>0</v>
      </c>
      <c r="AH271" s="325">
        <f t="shared" si="82"/>
        <v>0</v>
      </c>
      <c r="AI271" s="325">
        <f t="shared" si="82"/>
        <v>0</v>
      </c>
      <c r="AJ271" s="325">
        <f t="shared" si="82"/>
        <v>0</v>
      </c>
      <c r="AK271" s="325">
        <f t="shared" si="82"/>
        <v>0</v>
      </c>
      <c r="AL271" s="325">
        <f t="shared" si="82"/>
        <v>0</v>
      </c>
      <c r="AM271" s="325">
        <f t="shared" si="82"/>
        <v>0</v>
      </c>
      <c r="AN271" s="325">
        <f t="shared" si="82"/>
        <v>0</v>
      </c>
      <c r="AO271" s="325">
        <f t="shared" si="82"/>
        <v>0</v>
      </c>
      <c r="AP271" s="325">
        <f t="shared" si="83"/>
        <v>0</v>
      </c>
      <c r="AQ271" s="325">
        <f t="shared" si="83"/>
        <v>0</v>
      </c>
      <c r="AR271" s="325">
        <f t="shared" si="83"/>
        <v>0</v>
      </c>
      <c r="AS271" s="325">
        <f t="shared" si="83"/>
        <v>0</v>
      </c>
      <c r="AT271" s="325">
        <f t="shared" si="83"/>
        <v>0</v>
      </c>
      <c r="AU271" s="325">
        <f t="shared" si="83"/>
        <v>1</v>
      </c>
      <c r="AV271" s="325">
        <f t="shared" si="83"/>
        <v>0</v>
      </c>
      <c r="AW271" s="244"/>
      <c r="AX271" s="244"/>
      <c r="AY271" s="244"/>
      <c r="AZ271" s="244"/>
      <c r="BA271" s="244"/>
      <c r="BB271" s="244"/>
    </row>
    <row r="272" spans="1:54" hidden="1">
      <c r="A272" s="326" t="s">
        <v>1479</v>
      </c>
      <c r="B272" s="295" t="str">
        <f t="shared" si="70"/>
        <v>Intuition: 15 | Charisma: 15 | Fingerfertigkeit: 10</v>
      </c>
      <c r="C272" s="308" t="b">
        <v>0</v>
      </c>
      <c r="D272" s="308" t="b">
        <v>0</v>
      </c>
      <c r="E272" s="308" t="b">
        <f t="shared" si="71"/>
        <v>1</v>
      </c>
      <c r="F272" s="324" t="s">
        <v>314</v>
      </c>
      <c r="G272" s="324" t="s">
        <v>110</v>
      </c>
      <c r="H272" s="324" t="s">
        <v>1480</v>
      </c>
      <c r="I272" s="324" t="s">
        <v>1481</v>
      </c>
      <c r="J272" s="295">
        <f>_xlfn.XLOOKUP(G272,Rechner!$A$17:$A$25,Rechner!$B$17:$B$25)</f>
        <v>4</v>
      </c>
      <c r="K272" s="295" t="str">
        <f>_xlfn.XLOOKUP(J272-SUMIF($V$31:$AV$31,TRUE,V272:AV272)-IF(D272=TRUE,1,0),Rechner!$B$17:$B$25,Rechner!$A$17:$A$25,"A+")</f>
        <v>C</v>
      </c>
      <c r="L272" s="295" t="str">
        <f>_xlfn.XLOOKUP(S272,Eigenschaften!$C$20:$C$27,Eigenschaften!$B$20:$B$27)</f>
        <v>Intuition</v>
      </c>
      <c r="M272" s="295">
        <f>_xlfn.XLOOKUP(L272,Eigenschaften!$B$20:$B$27,Eigenschaften!$H$20:$H$27,"NaN",1)</f>
        <v>15</v>
      </c>
      <c r="N272" s="295" t="str">
        <f>_xlfn.XLOOKUP(T272,Eigenschaften!$C$20:$C$27,Eigenschaften!$B$20:$B$27)</f>
        <v>Charisma</v>
      </c>
      <c r="O272" s="295">
        <f>_xlfn.XLOOKUP(N272,Eigenschaften!$B$20:$B$27,Eigenschaften!$H$20:$H$27,"NaN",1)</f>
        <v>15</v>
      </c>
      <c r="P272" s="295" t="str">
        <f>_xlfn.XLOOKUP(U272,Eigenschaften!$C$20:$C$27,Eigenschaften!$B$20:$B$27)</f>
        <v>Fingerfertigkeit</v>
      </c>
      <c r="Q272" s="295">
        <f>_xlfn.XLOOKUP(P272,Eigenschaften!$B$20:$B$27,Eigenschaften!$H$20:$H$27,"NaN",1)</f>
        <v>10</v>
      </c>
      <c r="R272" s="244"/>
      <c r="S272" s="244" t="str" cm="1">
        <f t="array" ref="S272:U272">_xlfn.TEXTSPLIT(F272,"/",,,,3)</f>
        <v>IN</v>
      </c>
      <c r="T272" s="244" t="str">
        <v>CH</v>
      </c>
      <c r="U272" s="244" t="str">
        <v>FF</v>
      </c>
      <c r="V272" s="325">
        <f t="shared" si="81"/>
        <v>0</v>
      </c>
      <c r="W272" s="325">
        <f t="shared" si="81"/>
        <v>0</v>
      </c>
      <c r="X272" s="325">
        <f t="shared" si="81"/>
        <v>0</v>
      </c>
      <c r="Y272" s="325">
        <f t="shared" si="81"/>
        <v>1</v>
      </c>
      <c r="Z272" s="325">
        <f t="shared" si="81"/>
        <v>1</v>
      </c>
      <c r="AA272" s="325">
        <f t="shared" si="81"/>
        <v>0</v>
      </c>
      <c r="AB272" s="325">
        <f t="shared" si="81"/>
        <v>0</v>
      </c>
      <c r="AC272" s="325">
        <f t="shared" si="81"/>
        <v>0</v>
      </c>
      <c r="AD272" s="325">
        <f t="shared" si="81"/>
        <v>0</v>
      </c>
      <c r="AE272" s="325">
        <f t="shared" si="81"/>
        <v>0</v>
      </c>
      <c r="AF272" s="325">
        <f t="shared" si="82"/>
        <v>0</v>
      </c>
      <c r="AG272" s="325">
        <f t="shared" si="82"/>
        <v>0</v>
      </c>
      <c r="AH272" s="325">
        <f t="shared" si="82"/>
        <v>0</v>
      </c>
      <c r="AI272" s="325">
        <f t="shared" si="82"/>
        <v>0</v>
      </c>
      <c r="AJ272" s="325">
        <f t="shared" si="82"/>
        <v>0</v>
      </c>
      <c r="AK272" s="325">
        <f t="shared" si="82"/>
        <v>0</v>
      </c>
      <c r="AL272" s="325">
        <f t="shared" si="82"/>
        <v>0</v>
      </c>
      <c r="AM272" s="325">
        <f t="shared" si="82"/>
        <v>0</v>
      </c>
      <c r="AN272" s="325">
        <f t="shared" si="82"/>
        <v>0</v>
      </c>
      <c r="AO272" s="325">
        <f t="shared" si="82"/>
        <v>0</v>
      </c>
      <c r="AP272" s="325">
        <f t="shared" si="83"/>
        <v>0</v>
      </c>
      <c r="AQ272" s="325">
        <f t="shared" si="83"/>
        <v>0</v>
      </c>
      <c r="AR272" s="325">
        <f t="shared" si="83"/>
        <v>0</v>
      </c>
      <c r="AS272" s="325">
        <f t="shared" si="83"/>
        <v>0</v>
      </c>
      <c r="AT272" s="325">
        <f t="shared" si="83"/>
        <v>0</v>
      </c>
      <c r="AU272" s="325">
        <f t="shared" si="83"/>
        <v>0</v>
      </c>
      <c r="AV272" s="325">
        <f t="shared" si="83"/>
        <v>0</v>
      </c>
      <c r="AW272" s="244"/>
      <c r="AX272" s="244"/>
      <c r="AY272" s="244"/>
      <c r="AZ272" s="244"/>
      <c r="BA272" s="244"/>
      <c r="BB272" s="244"/>
    </row>
    <row r="273" spans="1:54" hidden="1">
      <c r="A273" s="326" t="s">
        <v>1482</v>
      </c>
      <c r="B273" s="295" t="str">
        <f t="shared" si="70"/>
        <v>Intuition: 15 | Fingerfertigkeit: 10 | Konstitution: 12</v>
      </c>
      <c r="C273" s="308" t="b">
        <v>0</v>
      </c>
      <c r="D273" s="308" t="b">
        <v>0</v>
      </c>
      <c r="E273" s="308" t="b">
        <f t="shared" si="71"/>
        <v>0</v>
      </c>
      <c r="F273" s="324" t="s">
        <v>1483</v>
      </c>
      <c r="G273" s="324" t="s">
        <v>113</v>
      </c>
      <c r="H273" s="324" t="s">
        <v>78</v>
      </c>
      <c r="I273" s="324" t="s">
        <v>565</v>
      </c>
      <c r="J273" s="295">
        <f>_xlfn.XLOOKUP(G273,Rechner!$A$17:$A$25,Rechner!$B$17:$B$25)</f>
        <v>5</v>
      </c>
      <c r="K273" s="295" t="str">
        <f>_xlfn.XLOOKUP(J273-SUMIF($V$31:$AV$31,TRUE,V273:AV273)-IF(D273=TRUE,1,0),Rechner!$B$17:$B$25,Rechner!$A$17:$A$25,"A+")</f>
        <v>D</v>
      </c>
      <c r="L273" s="295" t="str">
        <f>_xlfn.XLOOKUP(S273,Eigenschaften!$C$20:$C$27,Eigenschaften!$B$20:$B$27)</f>
        <v>Intuition</v>
      </c>
      <c r="M273" s="295">
        <f>_xlfn.XLOOKUP(L273,Eigenschaften!$B$20:$B$27,Eigenschaften!$H$20:$H$27,"NaN",1)</f>
        <v>15</v>
      </c>
      <c r="N273" s="295" t="str">
        <f>_xlfn.XLOOKUP(T273,Eigenschaften!$C$20:$C$27,Eigenschaften!$B$20:$B$27)</f>
        <v>Fingerfertigkeit</v>
      </c>
      <c r="O273" s="295">
        <f>_xlfn.XLOOKUP(N273,Eigenschaften!$B$20:$B$27,Eigenschaften!$H$20:$H$27,"NaN",1)</f>
        <v>10</v>
      </c>
      <c r="P273" s="295" t="str">
        <f>_xlfn.XLOOKUP(U273,Eigenschaften!$C$20:$C$27,Eigenschaften!$B$20:$B$27)</f>
        <v>Konstitution</v>
      </c>
      <c r="Q273" s="295">
        <f>_xlfn.XLOOKUP(P273,Eigenschaften!$B$20:$B$27,Eigenschaften!$H$20:$H$27,"NaN",1)</f>
        <v>12</v>
      </c>
      <c r="R273" s="244"/>
      <c r="S273" s="244" t="str" cm="1">
        <f t="array" ref="S273:U273">_xlfn.TEXTSPLIT(F273,"/",,,,3)</f>
        <v>IN</v>
      </c>
      <c r="T273" s="244" t="str">
        <v>FF</v>
      </c>
      <c r="U273" s="244" t="str">
        <v>KO</v>
      </c>
      <c r="V273" s="325">
        <f t="shared" si="81"/>
        <v>0</v>
      </c>
      <c r="W273" s="325">
        <f t="shared" si="81"/>
        <v>0</v>
      </c>
      <c r="X273" s="325">
        <f t="shared" si="81"/>
        <v>0</v>
      </c>
      <c r="Y273" s="325">
        <f t="shared" si="81"/>
        <v>0</v>
      </c>
      <c r="Z273" s="325">
        <f t="shared" si="81"/>
        <v>0</v>
      </c>
      <c r="AA273" s="325">
        <f t="shared" si="81"/>
        <v>0</v>
      </c>
      <c r="AB273" s="325">
        <f t="shared" si="81"/>
        <v>0</v>
      </c>
      <c r="AC273" s="325">
        <f t="shared" si="81"/>
        <v>0</v>
      </c>
      <c r="AD273" s="325">
        <f t="shared" si="81"/>
        <v>0</v>
      </c>
      <c r="AE273" s="325">
        <f t="shared" si="81"/>
        <v>0</v>
      </c>
      <c r="AF273" s="325">
        <f t="shared" si="82"/>
        <v>0</v>
      </c>
      <c r="AG273" s="325">
        <f t="shared" si="82"/>
        <v>0</v>
      </c>
      <c r="AH273" s="325">
        <f t="shared" si="82"/>
        <v>0</v>
      </c>
      <c r="AI273" s="325">
        <f t="shared" si="82"/>
        <v>0</v>
      </c>
      <c r="AJ273" s="325">
        <f t="shared" si="82"/>
        <v>0</v>
      </c>
      <c r="AK273" s="325">
        <f t="shared" si="82"/>
        <v>0</v>
      </c>
      <c r="AL273" s="325">
        <f t="shared" si="82"/>
        <v>0</v>
      </c>
      <c r="AM273" s="325">
        <f t="shared" si="82"/>
        <v>0</v>
      </c>
      <c r="AN273" s="325">
        <f t="shared" si="82"/>
        <v>0</v>
      </c>
      <c r="AO273" s="325">
        <f t="shared" si="82"/>
        <v>1</v>
      </c>
      <c r="AP273" s="325">
        <f t="shared" si="83"/>
        <v>0</v>
      </c>
      <c r="AQ273" s="325">
        <f t="shared" si="83"/>
        <v>0</v>
      </c>
      <c r="AR273" s="325">
        <f t="shared" si="83"/>
        <v>0</v>
      </c>
      <c r="AS273" s="325">
        <f t="shared" si="83"/>
        <v>0</v>
      </c>
      <c r="AT273" s="325">
        <f t="shared" si="83"/>
        <v>0</v>
      </c>
      <c r="AU273" s="325">
        <f t="shared" si="83"/>
        <v>0</v>
      </c>
      <c r="AV273" s="325">
        <f t="shared" si="83"/>
        <v>0</v>
      </c>
      <c r="AW273" s="244"/>
      <c r="AX273" s="244"/>
      <c r="AY273" s="244"/>
      <c r="AZ273" s="244"/>
      <c r="BA273" s="244"/>
      <c r="BB273" s="244"/>
    </row>
    <row r="274" spans="1:54" hidden="1">
      <c r="A274" s="326" t="s">
        <v>1484</v>
      </c>
      <c r="B274" s="295" t="str">
        <f t="shared" si="70"/>
        <v>Mut: 13 | Klugheit: 12 | Körperkraft: 12</v>
      </c>
      <c r="C274" s="308" t="b">
        <v>0</v>
      </c>
      <c r="D274" s="308" t="b">
        <v>0</v>
      </c>
      <c r="E274" s="308" t="b">
        <f t="shared" si="71"/>
        <v>0</v>
      </c>
      <c r="F274" s="324" t="s">
        <v>676</v>
      </c>
      <c r="G274" s="324" t="s">
        <v>429</v>
      </c>
      <c r="H274" s="324" t="s">
        <v>381</v>
      </c>
      <c r="I274" s="324" t="s">
        <v>411</v>
      </c>
      <c r="J274" s="295">
        <f>_xlfn.XLOOKUP(G274,Rechner!$A$17:$A$25,Rechner!$B$17:$B$25)</f>
        <v>6</v>
      </c>
      <c r="K274" s="295" t="str">
        <f>_xlfn.XLOOKUP(J274-SUMIF($V$31:$AV$31,TRUE,V274:AV274)-IF(D274=TRUE,1,0),Rechner!$B$17:$B$25,Rechner!$A$17:$A$25,"A+")</f>
        <v>E</v>
      </c>
      <c r="L274" s="295" t="str">
        <f>_xlfn.XLOOKUP(S274,Eigenschaften!$C$20:$C$27,Eigenschaften!$B$20:$B$27)</f>
        <v>Mut</v>
      </c>
      <c r="M274" s="295">
        <f>_xlfn.XLOOKUP(L274,Eigenschaften!$B$20:$B$27,Eigenschaften!$H$20:$H$27,"NaN",1)</f>
        <v>13</v>
      </c>
      <c r="N274" s="295" t="str">
        <f>_xlfn.XLOOKUP(T274,Eigenschaften!$C$20:$C$27,Eigenschaften!$B$20:$B$27)</f>
        <v>Klugheit</v>
      </c>
      <c r="O274" s="295">
        <f>_xlfn.XLOOKUP(N274,Eigenschaften!$B$20:$B$27,Eigenschaften!$H$20:$H$27,"NaN",1)</f>
        <v>12</v>
      </c>
      <c r="P274" s="295" t="str">
        <f>_xlfn.XLOOKUP(U274,Eigenschaften!$C$20:$C$27,Eigenschaften!$B$20:$B$27)</f>
        <v>Körperkraft</v>
      </c>
      <c r="Q274" s="295">
        <f>_xlfn.XLOOKUP(P274,Eigenschaften!$B$20:$B$27,Eigenschaften!$H$20:$H$27,"NaN",1)</f>
        <v>12</v>
      </c>
      <c r="R274" s="244"/>
      <c r="S274" s="244" t="str" cm="1">
        <f t="array" ref="S274:U274">_xlfn.TEXTSPLIT(F274,"/",,,,3)</f>
        <v>MU</v>
      </c>
      <c r="T274" s="244" t="str">
        <v>KL</v>
      </c>
      <c r="U274" s="244" t="str">
        <v>KK</v>
      </c>
      <c r="V274" s="325">
        <f t="shared" si="81"/>
        <v>0</v>
      </c>
      <c r="W274" s="325">
        <f t="shared" si="81"/>
        <v>0</v>
      </c>
      <c r="X274" s="325">
        <f t="shared" si="81"/>
        <v>0</v>
      </c>
      <c r="Y274" s="325">
        <f t="shared" si="81"/>
        <v>0</v>
      </c>
      <c r="Z274" s="325">
        <f t="shared" si="81"/>
        <v>0</v>
      </c>
      <c r="AA274" s="325">
        <f t="shared" si="81"/>
        <v>0</v>
      </c>
      <c r="AB274" s="325">
        <f t="shared" si="81"/>
        <v>0</v>
      </c>
      <c r="AC274" s="325">
        <f t="shared" si="81"/>
        <v>0</v>
      </c>
      <c r="AD274" s="325">
        <f t="shared" si="81"/>
        <v>0</v>
      </c>
      <c r="AE274" s="325">
        <f t="shared" si="81"/>
        <v>0</v>
      </c>
      <c r="AF274" s="325">
        <f t="shared" si="82"/>
        <v>0</v>
      </c>
      <c r="AG274" s="325">
        <f t="shared" si="82"/>
        <v>0</v>
      </c>
      <c r="AH274" s="325">
        <f t="shared" si="82"/>
        <v>0</v>
      </c>
      <c r="AI274" s="325">
        <f t="shared" si="82"/>
        <v>0</v>
      </c>
      <c r="AJ274" s="325">
        <f t="shared" si="82"/>
        <v>0</v>
      </c>
      <c r="AK274" s="325">
        <f t="shared" si="82"/>
        <v>0</v>
      </c>
      <c r="AL274" s="325">
        <f t="shared" si="82"/>
        <v>0</v>
      </c>
      <c r="AM274" s="325">
        <f t="shared" si="82"/>
        <v>0</v>
      </c>
      <c r="AN274" s="325">
        <f t="shared" si="82"/>
        <v>0</v>
      </c>
      <c r="AO274" s="325">
        <f t="shared" si="82"/>
        <v>0</v>
      </c>
      <c r="AP274" s="325">
        <f t="shared" si="83"/>
        <v>0</v>
      </c>
      <c r="AQ274" s="325">
        <f t="shared" si="83"/>
        <v>0</v>
      </c>
      <c r="AR274" s="325">
        <f t="shared" si="83"/>
        <v>0</v>
      </c>
      <c r="AS274" s="325">
        <f t="shared" si="83"/>
        <v>0</v>
      </c>
      <c r="AT274" s="325">
        <f t="shared" si="83"/>
        <v>1</v>
      </c>
      <c r="AU274" s="325">
        <f t="shared" si="83"/>
        <v>0</v>
      </c>
      <c r="AV274" s="325">
        <f t="shared" si="83"/>
        <v>0</v>
      </c>
      <c r="AW274" s="244"/>
      <c r="AX274" s="244"/>
      <c r="AY274" s="244"/>
      <c r="AZ274" s="244"/>
      <c r="BA274" s="244"/>
      <c r="BB274" s="244"/>
    </row>
    <row r="275" spans="1:54" ht="15">
      <c r="A275" s="331" t="s">
        <v>297</v>
      </c>
      <c r="B275" s="295" t="str">
        <f t="shared" si="70"/>
        <v>Intuition: 15 | Intuition: 15 | Charisma: 15</v>
      </c>
      <c r="C275" s="308" t="b">
        <v>1</v>
      </c>
      <c r="D275" s="308" t="b">
        <v>0</v>
      </c>
      <c r="E275" s="308" t="b">
        <f t="shared" si="71"/>
        <v>1</v>
      </c>
      <c r="F275" t="s">
        <v>298</v>
      </c>
      <c r="G275" t="s">
        <v>125</v>
      </c>
      <c r="H275" t="s">
        <v>383</v>
      </c>
      <c r="I275" t="s">
        <v>695</v>
      </c>
      <c r="J275" s="295">
        <f>_xlfn.XLOOKUP(G275,Rechner!$A$17:$A$25,Rechner!$B$17:$B$25)</f>
        <v>3</v>
      </c>
      <c r="K275" s="338" t="str">
        <f>_xlfn.XLOOKUP(J275-SUMIF($V$31:$AV$31,TRUE,V275:AV275)-IF(D275=TRUE,1,0),Rechner!$B$17:$B$25,Rechner!$A$17:$A$25,"A+")</f>
        <v>B</v>
      </c>
      <c r="L275" s="295" t="str">
        <f>_xlfn.XLOOKUP(S275,Eigenschaften!$C$20:$C$27,Eigenschaften!$B$20:$B$27)</f>
        <v>Intuition</v>
      </c>
      <c r="M275" s="295">
        <f>_xlfn.XLOOKUP(L275,Eigenschaften!$B$20:$B$27,Eigenschaften!$H$20:$H$27,"NaN",1)</f>
        <v>15</v>
      </c>
      <c r="N275" s="295" t="str">
        <f>_xlfn.XLOOKUP(T275,Eigenschaften!$C$20:$C$27,Eigenschaften!$B$20:$B$27)</f>
        <v>Intuition</v>
      </c>
      <c r="O275" s="295">
        <f>_xlfn.XLOOKUP(N275,Eigenschaften!$B$20:$B$27,Eigenschaften!$H$20:$H$27,"NaN",1)</f>
        <v>15</v>
      </c>
      <c r="P275" s="295" t="str">
        <f>_xlfn.XLOOKUP(U275,Eigenschaften!$C$20:$C$27,Eigenschaften!$B$20:$B$27)</f>
        <v>Charisma</v>
      </c>
      <c r="Q275" s="295">
        <f>_xlfn.XLOOKUP(P275,Eigenschaften!$B$20:$B$27,Eigenschaften!$H$20:$H$27,"NaN",1)</f>
        <v>15</v>
      </c>
      <c r="R275" s="244"/>
      <c r="S275" s="244" t="str" cm="1">
        <f t="array" ref="S275:U275">_xlfn.TEXTSPLIT(F275,"/",,,,3)</f>
        <v>IN</v>
      </c>
      <c r="T275" s="244" t="str">
        <v>IN</v>
      </c>
      <c r="U275" s="244" t="str">
        <v>CH</v>
      </c>
      <c r="V275" s="344">
        <f t="shared" si="81"/>
        <v>0</v>
      </c>
      <c r="W275" s="344">
        <f t="shared" si="81"/>
        <v>0</v>
      </c>
      <c r="X275" s="344">
        <f t="shared" si="81"/>
        <v>0</v>
      </c>
      <c r="Y275" s="344">
        <f t="shared" si="81"/>
        <v>0</v>
      </c>
      <c r="Z275" s="344">
        <f t="shared" si="81"/>
        <v>0</v>
      </c>
      <c r="AA275" s="344">
        <f t="shared" si="81"/>
        <v>0</v>
      </c>
      <c r="AB275" s="344">
        <f t="shared" si="81"/>
        <v>0</v>
      </c>
      <c r="AC275" s="344">
        <f t="shared" si="81"/>
        <v>0</v>
      </c>
      <c r="AD275" s="344">
        <f t="shared" si="81"/>
        <v>0</v>
      </c>
      <c r="AE275" s="344">
        <f t="shared" si="81"/>
        <v>0</v>
      </c>
      <c r="AF275" s="344">
        <f t="shared" si="82"/>
        <v>0</v>
      </c>
      <c r="AG275" s="344">
        <f t="shared" si="82"/>
        <v>0</v>
      </c>
      <c r="AH275" s="344">
        <f t="shared" si="82"/>
        <v>0</v>
      </c>
      <c r="AI275" s="344">
        <f t="shared" si="82"/>
        <v>0</v>
      </c>
      <c r="AJ275" s="344">
        <f t="shared" si="82"/>
        <v>0</v>
      </c>
      <c r="AK275" s="344">
        <f t="shared" si="82"/>
        <v>0</v>
      </c>
      <c r="AL275" s="344">
        <f t="shared" si="82"/>
        <v>0</v>
      </c>
      <c r="AM275" s="344">
        <f t="shared" si="82"/>
        <v>0</v>
      </c>
      <c r="AN275" s="344">
        <f t="shared" si="82"/>
        <v>0</v>
      </c>
      <c r="AO275" s="344">
        <f t="shared" si="82"/>
        <v>0</v>
      </c>
      <c r="AP275" s="344">
        <f t="shared" si="83"/>
        <v>0</v>
      </c>
      <c r="AQ275" s="344">
        <f t="shared" si="83"/>
        <v>0</v>
      </c>
      <c r="AR275" s="344">
        <f t="shared" si="83"/>
        <v>0</v>
      </c>
      <c r="AS275" s="344">
        <f t="shared" si="83"/>
        <v>0</v>
      </c>
      <c r="AT275" s="344">
        <f t="shared" si="83"/>
        <v>0</v>
      </c>
      <c r="AU275" s="344">
        <f t="shared" si="83"/>
        <v>0</v>
      </c>
      <c r="AV275" s="344">
        <f t="shared" si="83"/>
        <v>1</v>
      </c>
      <c r="AW275" s="244">
        <v>2</v>
      </c>
      <c r="AX275" s="244" t="s">
        <v>300</v>
      </c>
      <c r="AY275" s="244" t="s">
        <v>1634</v>
      </c>
      <c r="AZ275" s="244" t="s">
        <v>1635</v>
      </c>
      <c r="BA275" s="244" t="s">
        <v>300</v>
      </c>
      <c r="BB275" s="244"/>
    </row>
    <row r="276" spans="1:54" ht="15">
      <c r="A276" s="331" t="s">
        <v>328</v>
      </c>
      <c r="B276" s="295" t="str">
        <f t="shared" si="70"/>
        <v>Klugheit: 12 | Fingerfertigkeit: 10 | Körperkraft: 12</v>
      </c>
      <c r="C276" s="308" t="b">
        <v>1</v>
      </c>
      <c r="D276" s="308" t="b">
        <v>0</v>
      </c>
      <c r="E276" s="308" t="b">
        <f t="shared" si="71"/>
        <v>1</v>
      </c>
      <c r="F276" t="s">
        <v>302</v>
      </c>
      <c r="G276" t="s">
        <v>110</v>
      </c>
      <c r="H276" t="s">
        <v>380</v>
      </c>
      <c r="I276" t="s">
        <v>829</v>
      </c>
      <c r="J276" s="295">
        <f>_xlfn.XLOOKUP(G276,Rechner!$A$17:$A$25,Rechner!$B$17:$B$25)</f>
        <v>4</v>
      </c>
      <c r="K276" s="338" t="str">
        <f>_xlfn.XLOOKUP(J276-SUMIF($V$31:$AV$31,TRUE,V276:AV276)-IF(D276=TRUE,1,0),Rechner!$B$17:$B$25,Rechner!$A$17:$A$25,"A+")</f>
        <v>C</v>
      </c>
      <c r="L276" s="295" t="str">
        <f>_xlfn.XLOOKUP(S276,Eigenschaften!$C$20:$C$27,Eigenschaften!$B$20:$B$27)</f>
        <v>Klugheit</v>
      </c>
      <c r="M276" s="295">
        <f>_xlfn.XLOOKUP(L276,Eigenschaften!$B$20:$B$27,Eigenschaften!$H$20:$H$27,"NaN",1)</f>
        <v>12</v>
      </c>
      <c r="N276" s="295" t="str">
        <f>_xlfn.XLOOKUP(T276,Eigenschaften!$C$20:$C$27,Eigenschaften!$B$20:$B$27)</f>
        <v>Fingerfertigkeit</v>
      </c>
      <c r="O276" s="295">
        <f>_xlfn.XLOOKUP(N276,Eigenschaften!$B$20:$B$27,Eigenschaften!$H$20:$H$27,"NaN",1)</f>
        <v>10</v>
      </c>
      <c r="P276" s="295" t="str">
        <f>_xlfn.XLOOKUP(U276,Eigenschaften!$C$20:$C$27,Eigenschaften!$B$20:$B$27)</f>
        <v>Körperkraft</v>
      </c>
      <c r="Q276" s="295">
        <f>_xlfn.XLOOKUP(P276,Eigenschaften!$B$20:$B$27,Eigenschaften!$H$20:$H$27,"NaN",1)</f>
        <v>12</v>
      </c>
      <c r="R276" s="244"/>
      <c r="S276" s="244" t="str" cm="1">
        <f t="array" ref="S276:U276">_xlfn.TEXTSPLIT(F276,"/",,,,3)</f>
        <v>KL</v>
      </c>
      <c r="T276" s="244" t="str">
        <v>FF</v>
      </c>
      <c r="U276" s="244" t="str">
        <v>KK</v>
      </c>
      <c r="V276" s="344">
        <f t="shared" ref="V276:AE285" si="84">IF(ISNUMBER(SEARCH(V$32,$H276)),1,0)</f>
        <v>0</v>
      </c>
      <c r="W276" s="344">
        <f t="shared" si="84"/>
        <v>0</v>
      </c>
      <c r="X276" s="344">
        <f t="shared" si="84"/>
        <v>0</v>
      </c>
      <c r="Y276" s="344">
        <f t="shared" si="84"/>
        <v>0</v>
      </c>
      <c r="Z276" s="344">
        <f t="shared" si="84"/>
        <v>0</v>
      </c>
      <c r="AA276" s="344">
        <f t="shared" si="84"/>
        <v>0</v>
      </c>
      <c r="AB276" s="344">
        <f t="shared" si="84"/>
        <v>0</v>
      </c>
      <c r="AC276" s="344">
        <f t="shared" si="84"/>
        <v>0</v>
      </c>
      <c r="AD276" s="344">
        <f t="shared" si="84"/>
        <v>0</v>
      </c>
      <c r="AE276" s="344">
        <f t="shared" si="84"/>
        <v>0</v>
      </c>
      <c r="AF276" s="344">
        <f t="shared" ref="AF276:AO285" si="85">IF(ISNUMBER(SEARCH(AF$32,$H276)),1,0)</f>
        <v>0</v>
      </c>
      <c r="AG276" s="344">
        <f t="shared" si="85"/>
        <v>0</v>
      </c>
      <c r="AH276" s="344">
        <f t="shared" si="85"/>
        <v>0</v>
      </c>
      <c r="AI276" s="344">
        <f t="shared" si="85"/>
        <v>0</v>
      </c>
      <c r="AJ276" s="344">
        <f t="shared" si="85"/>
        <v>0</v>
      </c>
      <c r="AK276" s="344">
        <f t="shared" si="85"/>
        <v>0</v>
      </c>
      <c r="AL276" s="344">
        <f t="shared" si="85"/>
        <v>0</v>
      </c>
      <c r="AM276" s="344">
        <f t="shared" si="85"/>
        <v>0</v>
      </c>
      <c r="AN276" s="344">
        <f t="shared" si="85"/>
        <v>0</v>
      </c>
      <c r="AO276" s="344">
        <f t="shared" si="85"/>
        <v>0</v>
      </c>
      <c r="AP276" s="344">
        <f t="shared" ref="AP276:AV285" si="86">IF(ISNUMBER(SEARCH(AP$32,$H276)),1,0)</f>
        <v>0</v>
      </c>
      <c r="AQ276" s="344">
        <f t="shared" si="86"/>
        <v>0</v>
      </c>
      <c r="AR276" s="344">
        <f t="shared" si="86"/>
        <v>0</v>
      </c>
      <c r="AS276" s="344">
        <f t="shared" si="86"/>
        <v>1</v>
      </c>
      <c r="AT276" s="344">
        <f t="shared" si="86"/>
        <v>0</v>
      </c>
      <c r="AU276" s="344">
        <f t="shared" si="86"/>
        <v>0</v>
      </c>
      <c r="AV276" s="344">
        <f t="shared" si="86"/>
        <v>0</v>
      </c>
      <c r="AW276" s="244">
        <v>2</v>
      </c>
      <c r="AX276" s="244" t="s">
        <v>1615</v>
      </c>
      <c r="AY276" s="244" t="s">
        <v>1649</v>
      </c>
      <c r="AZ276" s="244" t="s">
        <v>304</v>
      </c>
      <c r="BA276" s="244" t="s">
        <v>1651</v>
      </c>
      <c r="BB276" s="244"/>
    </row>
    <row r="277" spans="1:54" hidden="1">
      <c r="A277" s="326" t="s">
        <v>1487</v>
      </c>
      <c r="B277" s="295" t="str">
        <f t="shared" si="70"/>
        <v>Mut: 13 | Intuition: 15 | Gewandheit: 14</v>
      </c>
      <c r="C277" s="308" t="b">
        <v>0</v>
      </c>
      <c r="D277" s="308" t="b">
        <v>0</v>
      </c>
      <c r="E277" s="308" t="b">
        <f t="shared" si="71"/>
        <v>1</v>
      </c>
      <c r="F277" s="324" t="s">
        <v>402</v>
      </c>
      <c r="G277" s="324" t="s">
        <v>110</v>
      </c>
      <c r="H277" s="324" t="s">
        <v>1488</v>
      </c>
      <c r="I277" s="324" t="s">
        <v>1489</v>
      </c>
      <c r="J277" s="295">
        <f>_xlfn.XLOOKUP(G277,Rechner!$A$17:$A$25,Rechner!$B$17:$B$25)</f>
        <v>4</v>
      </c>
      <c r="K277" s="295" t="str">
        <f>_xlfn.XLOOKUP(J277-SUMIF($V$31:$AV$31,TRUE,V277:AV277)-IF(D277=TRUE,1,0),Rechner!$B$17:$B$25,Rechner!$A$17:$A$25,"A+")</f>
        <v>C</v>
      </c>
      <c r="L277" s="295" t="str">
        <f>_xlfn.XLOOKUP(S277,Eigenschaften!$C$20:$C$27,Eigenschaften!$B$20:$B$27)</f>
        <v>Mut</v>
      </c>
      <c r="M277" s="295">
        <f>_xlfn.XLOOKUP(L277,Eigenschaften!$B$20:$B$27,Eigenschaften!$H$20:$H$27,"NaN",1)</f>
        <v>13</v>
      </c>
      <c r="N277" s="295" t="str">
        <f>_xlfn.XLOOKUP(T277,Eigenschaften!$C$20:$C$27,Eigenschaften!$B$20:$B$27)</f>
        <v>Intuition</v>
      </c>
      <c r="O277" s="295">
        <f>_xlfn.XLOOKUP(N277,Eigenschaften!$B$20:$B$27,Eigenschaften!$H$20:$H$27,"NaN",1)</f>
        <v>15</v>
      </c>
      <c r="P277" s="295" t="str">
        <f>_xlfn.XLOOKUP(U277,Eigenschaften!$C$20:$C$27,Eigenschaften!$B$20:$B$27)</f>
        <v>Gewandheit</v>
      </c>
      <c r="Q277" s="295">
        <f>_xlfn.XLOOKUP(P277,Eigenschaften!$B$20:$B$27,Eigenschaften!$H$20:$H$27,"NaN",1)</f>
        <v>14</v>
      </c>
      <c r="R277" s="244"/>
      <c r="S277" s="244" t="str" cm="1">
        <f t="array" ref="S277:U277">_xlfn.TEXTSPLIT(F277,"/",,,,3)</f>
        <v>MU</v>
      </c>
      <c r="T277" s="244" t="str">
        <v>IN</v>
      </c>
      <c r="U277" s="244" t="str">
        <v>GE</v>
      </c>
      <c r="V277" s="325">
        <f t="shared" si="84"/>
        <v>0</v>
      </c>
      <c r="W277" s="325">
        <f t="shared" si="84"/>
        <v>1</v>
      </c>
      <c r="X277" s="325">
        <f t="shared" si="84"/>
        <v>0</v>
      </c>
      <c r="Y277" s="325">
        <f t="shared" si="84"/>
        <v>0</v>
      </c>
      <c r="Z277" s="325">
        <f t="shared" si="84"/>
        <v>0</v>
      </c>
      <c r="AA277" s="325">
        <f t="shared" si="84"/>
        <v>0</v>
      </c>
      <c r="AB277" s="325">
        <f t="shared" si="84"/>
        <v>0</v>
      </c>
      <c r="AC277" s="325">
        <f t="shared" si="84"/>
        <v>0</v>
      </c>
      <c r="AD277" s="325">
        <f t="shared" si="84"/>
        <v>0</v>
      </c>
      <c r="AE277" s="325">
        <f t="shared" si="84"/>
        <v>0</v>
      </c>
      <c r="AF277" s="325">
        <f t="shared" si="85"/>
        <v>0</v>
      </c>
      <c r="AG277" s="325">
        <f t="shared" si="85"/>
        <v>0</v>
      </c>
      <c r="AH277" s="325">
        <f t="shared" si="85"/>
        <v>0</v>
      </c>
      <c r="AI277" s="325">
        <f t="shared" si="85"/>
        <v>0</v>
      </c>
      <c r="AJ277" s="325">
        <f t="shared" si="85"/>
        <v>0</v>
      </c>
      <c r="AK277" s="325">
        <f t="shared" si="85"/>
        <v>0</v>
      </c>
      <c r="AL277" s="325">
        <f t="shared" si="85"/>
        <v>0</v>
      </c>
      <c r="AM277" s="325">
        <f t="shared" si="85"/>
        <v>0</v>
      </c>
      <c r="AN277" s="325">
        <f t="shared" si="85"/>
        <v>0</v>
      </c>
      <c r="AO277" s="325">
        <f t="shared" si="85"/>
        <v>0</v>
      </c>
      <c r="AP277" s="325">
        <f t="shared" si="86"/>
        <v>0</v>
      </c>
      <c r="AQ277" s="325">
        <f t="shared" si="86"/>
        <v>0</v>
      </c>
      <c r="AR277" s="325">
        <f t="shared" si="86"/>
        <v>1</v>
      </c>
      <c r="AS277" s="325">
        <f t="shared" si="86"/>
        <v>0</v>
      </c>
      <c r="AT277" s="325">
        <f t="shared" si="86"/>
        <v>0</v>
      </c>
      <c r="AU277" s="325">
        <f t="shared" si="86"/>
        <v>0</v>
      </c>
      <c r="AV277" s="325">
        <f t="shared" si="86"/>
        <v>0</v>
      </c>
      <c r="AW277" s="244"/>
      <c r="AX277" s="244"/>
      <c r="AY277" s="244"/>
      <c r="AZ277" s="244"/>
      <c r="BA277" s="244"/>
      <c r="BB277" s="244"/>
    </row>
    <row r="278" spans="1:54" hidden="1">
      <c r="A278" s="326" t="s">
        <v>1490</v>
      </c>
      <c r="B278" s="295" t="str">
        <f t="shared" si="70"/>
        <v>Mut: 13 | Charisma: 15 | Konstitution: 12</v>
      </c>
      <c r="C278" s="308" t="b">
        <v>0</v>
      </c>
      <c r="D278" s="308" t="b">
        <v>0</v>
      </c>
      <c r="E278" s="308" t="b">
        <f t="shared" si="71"/>
        <v>0</v>
      </c>
      <c r="F278" s="324" t="s">
        <v>340</v>
      </c>
      <c r="G278" s="324" t="s">
        <v>113</v>
      </c>
      <c r="H278" s="324" t="s">
        <v>1491</v>
      </c>
      <c r="I278" s="324" t="s">
        <v>668</v>
      </c>
      <c r="J278" s="295">
        <f>_xlfn.XLOOKUP(G278,Rechner!$A$17:$A$25,Rechner!$B$17:$B$25)</f>
        <v>5</v>
      </c>
      <c r="K278" s="295" t="str">
        <f>_xlfn.XLOOKUP(J278-SUMIF($V$31:$AV$31,TRUE,V278:AV278)-IF(D278=TRUE,1,0),Rechner!$B$17:$B$25,Rechner!$A$17:$A$25,"A+")</f>
        <v>D</v>
      </c>
      <c r="L278" s="295" t="str">
        <f>_xlfn.XLOOKUP(S278,Eigenschaften!$C$20:$C$27,Eigenschaften!$B$20:$B$27)</f>
        <v>Mut</v>
      </c>
      <c r="M278" s="295">
        <f>_xlfn.XLOOKUP(L278,Eigenschaften!$B$20:$B$27,Eigenschaften!$H$20:$H$27,"NaN",1)</f>
        <v>13</v>
      </c>
      <c r="N278" s="295" t="str">
        <f>_xlfn.XLOOKUP(T278,Eigenschaften!$C$20:$C$27,Eigenschaften!$B$20:$B$27)</f>
        <v>Charisma</v>
      </c>
      <c r="O278" s="295">
        <f>_xlfn.XLOOKUP(N278,Eigenschaften!$B$20:$B$27,Eigenschaften!$H$20:$H$27,"NaN",1)</f>
        <v>15</v>
      </c>
      <c r="P278" s="295" t="str">
        <f>_xlfn.XLOOKUP(U278,Eigenschaften!$C$20:$C$27,Eigenschaften!$B$20:$B$27)</f>
        <v>Konstitution</v>
      </c>
      <c r="Q278" s="295">
        <f>_xlfn.XLOOKUP(P278,Eigenschaften!$B$20:$B$27,Eigenschaften!$H$20:$H$27,"NaN",1)</f>
        <v>12</v>
      </c>
      <c r="R278" s="244"/>
      <c r="S278" s="244" t="str" cm="1">
        <f t="array" ref="S278:U278">_xlfn.TEXTSPLIT(F278,"/",,,,3)</f>
        <v>MU</v>
      </c>
      <c r="T278" s="244" t="str">
        <v>CH</v>
      </c>
      <c r="U278" s="244" t="str">
        <v>KO</v>
      </c>
      <c r="V278" s="325">
        <f t="shared" si="84"/>
        <v>0</v>
      </c>
      <c r="W278" s="325">
        <f t="shared" si="84"/>
        <v>1</v>
      </c>
      <c r="X278" s="325">
        <f t="shared" si="84"/>
        <v>0</v>
      </c>
      <c r="Y278" s="325">
        <f t="shared" si="84"/>
        <v>0</v>
      </c>
      <c r="Z278" s="325">
        <f t="shared" si="84"/>
        <v>0</v>
      </c>
      <c r="AA278" s="325">
        <f t="shared" si="84"/>
        <v>0</v>
      </c>
      <c r="AB278" s="325">
        <f t="shared" si="84"/>
        <v>0</v>
      </c>
      <c r="AC278" s="325">
        <f t="shared" si="84"/>
        <v>0</v>
      </c>
      <c r="AD278" s="325">
        <f t="shared" si="84"/>
        <v>0</v>
      </c>
      <c r="AE278" s="325">
        <f t="shared" si="84"/>
        <v>0</v>
      </c>
      <c r="AF278" s="325">
        <f t="shared" si="85"/>
        <v>0</v>
      </c>
      <c r="AG278" s="325">
        <f t="shared" si="85"/>
        <v>0</v>
      </c>
      <c r="AH278" s="325">
        <f t="shared" si="85"/>
        <v>0</v>
      </c>
      <c r="AI278" s="325">
        <f t="shared" si="85"/>
        <v>0</v>
      </c>
      <c r="AJ278" s="325">
        <f t="shared" si="85"/>
        <v>0</v>
      </c>
      <c r="AK278" s="325">
        <f t="shared" si="85"/>
        <v>0</v>
      </c>
      <c r="AL278" s="325">
        <f t="shared" si="85"/>
        <v>0</v>
      </c>
      <c r="AM278" s="325">
        <f t="shared" si="85"/>
        <v>0</v>
      </c>
      <c r="AN278" s="325">
        <f t="shared" si="85"/>
        <v>0</v>
      </c>
      <c r="AO278" s="325">
        <f t="shared" si="85"/>
        <v>0</v>
      </c>
      <c r="AP278" s="325">
        <f t="shared" si="86"/>
        <v>0</v>
      </c>
      <c r="AQ278" s="325">
        <f t="shared" si="86"/>
        <v>0</v>
      </c>
      <c r="AR278" s="325">
        <f t="shared" si="86"/>
        <v>0</v>
      </c>
      <c r="AS278" s="325">
        <f t="shared" si="86"/>
        <v>0</v>
      </c>
      <c r="AT278" s="325">
        <f t="shared" si="86"/>
        <v>0</v>
      </c>
      <c r="AU278" s="325">
        <f t="shared" si="86"/>
        <v>0</v>
      </c>
      <c r="AV278" s="325">
        <f t="shared" si="86"/>
        <v>0</v>
      </c>
      <c r="AW278" s="244"/>
      <c r="AX278" s="244"/>
      <c r="AY278" s="244"/>
      <c r="AZ278" s="244"/>
      <c r="BA278" s="244"/>
      <c r="BB278" s="244"/>
    </row>
    <row r="279" spans="1:54" hidden="1">
      <c r="A279" s="326" t="s">
        <v>1492</v>
      </c>
      <c r="B279" s="295" t="str">
        <f t="shared" si="70"/>
        <v>Klugheit: 12 | Fingerfertigkeit: 10 | Körperkraft: 12</v>
      </c>
      <c r="C279" s="308" t="b">
        <v>0</v>
      </c>
      <c r="D279" s="308" t="b">
        <v>0</v>
      </c>
      <c r="E279" s="308" t="b">
        <f t="shared" si="71"/>
        <v>0</v>
      </c>
      <c r="F279" s="324" t="s">
        <v>302</v>
      </c>
      <c r="G279" s="324" t="s">
        <v>429</v>
      </c>
      <c r="H279" s="324" t="s">
        <v>1493</v>
      </c>
      <c r="I279" s="324" t="s">
        <v>1494</v>
      </c>
      <c r="J279" s="295">
        <f>_xlfn.XLOOKUP(G279,Rechner!$A$17:$A$25,Rechner!$B$17:$B$25)</f>
        <v>6</v>
      </c>
      <c r="K279" s="295" t="str">
        <f>_xlfn.XLOOKUP(J279-SUMIF($V$31:$AV$31,TRUE,V279:AV279)-IF(D279=TRUE,1,0),Rechner!$B$17:$B$25,Rechner!$A$17:$A$25,"A+")</f>
        <v>E</v>
      </c>
      <c r="L279" s="295" t="str">
        <f>_xlfn.XLOOKUP(S279,Eigenschaften!$C$20:$C$27,Eigenschaften!$B$20:$B$27)</f>
        <v>Klugheit</v>
      </c>
      <c r="M279" s="295">
        <f>_xlfn.XLOOKUP(L279,Eigenschaften!$B$20:$B$27,Eigenschaften!$H$20:$H$27,"NaN",1)</f>
        <v>12</v>
      </c>
      <c r="N279" s="295" t="str">
        <f>_xlfn.XLOOKUP(T279,Eigenschaften!$C$20:$C$27,Eigenschaften!$B$20:$B$27)</f>
        <v>Fingerfertigkeit</v>
      </c>
      <c r="O279" s="295">
        <f>_xlfn.XLOOKUP(N279,Eigenschaften!$B$20:$B$27,Eigenschaften!$H$20:$H$27,"NaN",1)</f>
        <v>10</v>
      </c>
      <c r="P279" s="295" t="str">
        <f>_xlfn.XLOOKUP(U279,Eigenschaften!$C$20:$C$27,Eigenschaften!$B$20:$B$27)</f>
        <v>Körperkraft</v>
      </c>
      <c r="Q279" s="295">
        <f>_xlfn.XLOOKUP(P279,Eigenschaften!$B$20:$B$27,Eigenschaften!$H$20:$H$27,"NaN",1)</f>
        <v>12</v>
      </c>
      <c r="R279" s="244"/>
      <c r="S279" s="244" t="str" cm="1">
        <f t="array" ref="S279:U279">_xlfn.TEXTSPLIT(F279,"/",,,,3)</f>
        <v>KL</v>
      </c>
      <c r="T279" s="244" t="str">
        <v>FF</v>
      </c>
      <c r="U279" s="244" t="str">
        <v>KK</v>
      </c>
      <c r="V279" s="325">
        <f t="shared" si="84"/>
        <v>0</v>
      </c>
      <c r="W279" s="325">
        <f t="shared" si="84"/>
        <v>0</v>
      </c>
      <c r="X279" s="325">
        <f t="shared" si="84"/>
        <v>0</v>
      </c>
      <c r="Y279" s="325">
        <f t="shared" si="84"/>
        <v>0</v>
      </c>
      <c r="Z279" s="325">
        <f t="shared" si="84"/>
        <v>0</v>
      </c>
      <c r="AA279" s="325">
        <f t="shared" si="84"/>
        <v>0</v>
      </c>
      <c r="AB279" s="325">
        <f t="shared" si="84"/>
        <v>0</v>
      </c>
      <c r="AC279" s="325">
        <f t="shared" si="84"/>
        <v>0</v>
      </c>
      <c r="AD279" s="325">
        <f t="shared" si="84"/>
        <v>0</v>
      </c>
      <c r="AE279" s="325">
        <f t="shared" si="84"/>
        <v>0</v>
      </c>
      <c r="AF279" s="325">
        <f t="shared" si="85"/>
        <v>0</v>
      </c>
      <c r="AG279" s="325">
        <f t="shared" si="85"/>
        <v>1</v>
      </c>
      <c r="AH279" s="325">
        <f t="shared" si="85"/>
        <v>0</v>
      </c>
      <c r="AI279" s="325">
        <f t="shared" si="85"/>
        <v>0</v>
      </c>
      <c r="AJ279" s="325">
        <f t="shared" si="85"/>
        <v>0</v>
      </c>
      <c r="AK279" s="325">
        <f t="shared" si="85"/>
        <v>0</v>
      </c>
      <c r="AL279" s="325">
        <f t="shared" si="85"/>
        <v>0</v>
      </c>
      <c r="AM279" s="325">
        <f t="shared" si="85"/>
        <v>0</v>
      </c>
      <c r="AN279" s="325">
        <f t="shared" si="85"/>
        <v>0</v>
      </c>
      <c r="AO279" s="325">
        <f t="shared" si="85"/>
        <v>0</v>
      </c>
      <c r="AP279" s="325">
        <f t="shared" si="86"/>
        <v>0</v>
      </c>
      <c r="AQ279" s="325">
        <f t="shared" si="86"/>
        <v>1</v>
      </c>
      <c r="AR279" s="325">
        <f t="shared" si="86"/>
        <v>0</v>
      </c>
      <c r="AS279" s="325">
        <f t="shared" si="86"/>
        <v>0</v>
      </c>
      <c r="AT279" s="325">
        <f t="shared" si="86"/>
        <v>0</v>
      </c>
      <c r="AU279" s="325">
        <f t="shared" si="86"/>
        <v>0</v>
      </c>
      <c r="AV279" s="325">
        <f t="shared" si="86"/>
        <v>0</v>
      </c>
      <c r="AW279" s="244"/>
      <c r="AX279" s="244"/>
      <c r="AY279" s="244"/>
      <c r="AZ279" s="244"/>
      <c r="BA279" s="244"/>
      <c r="BB279" s="244"/>
    </row>
    <row r="280" spans="1:54" hidden="1">
      <c r="A280" s="326" t="s">
        <v>1495</v>
      </c>
      <c r="B280" s="295" t="str">
        <f t="shared" si="70"/>
        <v>Charisma: 15 | Gewandheit: 14 | Konstitution: 12</v>
      </c>
      <c r="C280" s="308" t="b">
        <v>0</v>
      </c>
      <c r="D280" s="308" t="b">
        <v>0</v>
      </c>
      <c r="E280" s="308" t="b">
        <f t="shared" si="71"/>
        <v>0</v>
      </c>
      <c r="F280" s="324" t="s">
        <v>544</v>
      </c>
      <c r="G280" s="324" t="s">
        <v>113</v>
      </c>
      <c r="H280" s="324" t="s">
        <v>369</v>
      </c>
      <c r="I280" s="324" t="s">
        <v>413</v>
      </c>
      <c r="J280" s="295">
        <f>_xlfn.XLOOKUP(G280,Rechner!$A$17:$A$25,Rechner!$B$17:$B$25)</f>
        <v>5</v>
      </c>
      <c r="K280" s="295" t="str">
        <f>_xlfn.XLOOKUP(J280-SUMIF($V$31:$AV$31,TRUE,V280:AV280)-IF(D280=TRUE,1,0),Rechner!$B$17:$B$25,Rechner!$A$17:$A$25,"A+")</f>
        <v>D</v>
      </c>
      <c r="L280" s="295" t="str">
        <f>_xlfn.XLOOKUP(S280,Eigenschaften!$C$20:$C$27,Eigenschaften!$B$20:$B$27)</f>
        <v>Charisma</v>
      </c>
      <c r="M280" s="295">
        <f>_xlfn.XLOOKUP(L280,Eigenschaften!$B$20:$B$27,Eigenschaften!$H$20:$H$27,"NaN",1)</f>
        <v>15</v>
      </c>
      <c r="N280" s="295" t="str">
        <f>_xlfn.XLOOKUP(T280,Eigenschaften!$C$20:$C$27,Eigenschaften!$B$20:$B$27)</f>
        <v>Gewandheit</v>
      </c>
      <c r="O280" s="295">
        <f>_xlfn.XLOOKUP(N280,Eigenschaften!$B$20:$B$27,Eigenschaften!$H$20:$H$27,"NaN",1)</f>
        <v>14</v>
      </c>
      <c r="P280" s="295" t="str">
        <f>_xlfn.XLOOKUP(U280,Eigenschaften!$C$20:$C$27,Eigenschaften!$B$20:$B$27)</f>
        <v>Konstitution</v>
      </c>
      <c r="Q280" s="295">
        <f>_xlfn.XLOOKUP(P280,Eigenschaften!$B$20:$B$27,Eigenschaften!$H$20:$H$27,"NaN",1)</f>
        <v>12</v>
      </c>
      <c r="R280" s="244"/>
      <c r="S280" s="244" t="str" cm="1">
        <f t="array" ref="S280:U280">_xlfn.TEXTSPLIT(F280,"/",,,,3)</f>
        <v>CH</v>
      </c>
      <c r="T280" s="244" t="str">
        <v>GE</v>
      </c>
      <c r="U280" s="244" t="str">
        <v>KO</v>
      </c>
      <c r="V280" s="325">
        <f t="shared" si="84"/>
        <v>0</v>
      </c>
      <c r="W280" s="325">
        <f t="shared" si="84"/>
        <v>0</v>
      </c>
      <c r="X280" s="325">
        <f t="shared" si="84"/>
        <v>0</v>
      </c>
      <c r="Y280" s="325">
        <f t="shared" si="84"/>
        <v>0</v>
      </c>
      <c r="Z280" s="325">
        <f t="shared" si="84"/>
        <v>0</v>
      </c>
      <c r="AA280" s="325">
        <f t="shared" si="84"/>
        <v>0</v>
      </c>
      <c r="AB280" s="325">
        <f t="shared" si="84"/>
        <v>0</v>
      </c>
      <c r="AC280" s="325">
        <f t="shared" si="84"/>
        <v>0</v>
      </c>
      <c r="AD280" s="325">
        <f t="shared" si="84"/>
        <v>0</v>
      </c>
      <c r="AE280" s="325">
        <f t="shared" si="84"/>
        <v>0</v>
      </c>
      <c r="AF280" s="325">
        <f t="shared" si="85"/>
        <v>0</v>
      </c>
      <c r="AG280" s="325">
        <f t="shared" si="85"/>
        <v>1</v>
      </c>
      <c r="AH280" s="325">
        <f t="shared" si="85"/>
        <v>0</v>
      </c>
      <c r="AI280" s="325">
        <f t="shared" si="85"/>
        <v>0</v>
      </c>
      <c r="AJ280" s="325">
        <f t="shared" si="85"/>
        <v>0</v>
      </c>
      <c r="AK280" s="325">
        <f t="shared" si="85"/>
        <v>0</v>
      </c>
      <c r="AL280" s="325">
        <f t="shared" si="85"/>
        <v>0</v>
      </c>
      <c r="AM280" s="325">
        <f t="shared" si="85"/>
        <v>0</v>
      </c>
      <c r="AN280" s="325">
        <f t="shared" si="85"/>
        <v>0</v>
      </c>
      <c r="AO280" s="325">
        <f t="shared" si="85"/>
        <v>0</v>
      </c>
      <c r="AP280" s="325">
        <f t="shared" si="86"/>
        <v>0</v>
      </c>
      <c r="AQ280" s="325">
        <f t="shared" si="86"/>
        <v>0</v>
      </c>
      <c r="AR280" s="325">
        <f t="shared" si="86"/>
        <v>0</v>
      </c>
      <c r="AS280" s="325">
        <f t="shared" si="86"/>
        <v>0</v>
      </c>
      <c r="AT280" s="325">
        <f t="shared" si="86"/>
        <v>0</v>
      </c>
      <c r="AU280" s="325">
        <f t="shared" si="86"/>
        <v>0</v>
      </c>
      <c r="AV280" s="325">
        <f t="shared" si="86"/>
        <v>0</v>
      </c>
      <c r="AW280" s="244"/>
      <c r="AX280" s="244"/>
      <c r="AY280" s="244"/>
      <c r="AZ280" s="244"/>
      <c r="BA280" s="244"/>
      <c r="BB280" s="244"/>
    </row>
    <row r="281" spans="1:54" hidden="1">
      <c r="A281" s="326" t="s">
        <v>1496</v>
      </c>
      <c r="B281" s="295" t="str">
        <f t="shared" si="70"/>
        <v>Klugheit: 12 | Intuition: 15 | Konstitution: 12</v>
      </c>
      <c r="C281" s="308" t="b">
        <v>0</v>
      </c>
      <c r="D281" s="308" t="b">
        <v>0</v>
      </c>
      <c r="E281" s="308" t="b">
        <f t="shared" si="71"/>
        <v>0</v>
      </c>
      <c r="F281" s="324" t="s">
        <v>529</v>
      </c>
      <c r="G281" s="324" t="s">
        <v>429</v>
      </c>
      <c r="H281" s="324" t="s">
        <v>78</v>
      </c>
      <c r="I281" s="324" t="s">
        <v>430</v>
      </c>
      <c r="J281" s="295">
        <f>_xlfn.XLOOKUP(G281,Rechner!$A$17:$A$25,Rechner!$B$17:$B$25)</f>
        <v>6</v>
      </c>
      <c r="K281" s="295" t="str">
        <f>_xlfn.XLOOKUP(J281-SUMIF($V$31:$AV$31,TRUE,V281:AV281)-IF(D281=TRUE,1,0),Rechner!$B$17:$B$25,Rechner!$A$17:$A$25,"A+")</f>
        <v>E</v>
      </c>
      <c r="L281" s="295" t="str">
        <f>_xlfn.XLOOKUP(S281,Eigenschaften!$C$20:$C$27,Eigenschaften!$B$20:$B$27)</f>
        <v>Klugheit</v>
      </c>
      <c r="M281" s="295">
        <f>_xlfn.XLOOKUP(L281,Eigenschaften!$B$20:$B$27,Eigenschaften!$H$20:$H$27,"NaN",1)</f>
        <v>12</v>
      </c>
      <c r="N281" s="295" t="str">
        <f>_xlfn.XLOOKUP(T281,Eigenschaften!$C$20:$C$27,Eigenschaften!$B$20:$B$27)</f>
        <v>Intuition</v>
      </c>
      <c r="O281" s="295">
        <f>_xlfn.XLOOKUP(N281,Eigenschaften!$B$20:$B$27,Eigenschaften!$H$20:$H$27,"NaN",1)</f>
        <v>15</v>
      </c>
      <c r="P281" s="295" t="str">
        <f>_xlfn.XLOOKUP(U281,Eigenschaften!$C$20:$C$27,Eigenschaften!$B$20:$B$27)</f>
        <v>Konstitution</v>
      </c>
      <c r="Q281" s="295">
        <f>_xlfn.XLOOKUP(P281,Eigenschaften!$B$20:$B$27,Eigenschaften!$H$20:$H$27,"NaN",1)</f>
        <v>12</v>
      </c>
      <c r="R281" s="244"/>
      <c r="S281" s="244" t="str" cm="1">
        <f t="array" ref="S281:U281">_xlfn.TEXTSPLIT(F281,"/",,,,3)</f>
        <v>KL</v>
      </c>
      <c r="T281" s="244" t="str">
        <v>IN</v>
      </c>
      <c r="U281" s="244" t="str">
        <v>KO</v>
      </c>
      <c r="V281" s="325">
        <f t="shared" si="84"/>
        <v>0</v>
      </c>
      <c r="W281" s="325">
        <f t="shared" si="84"/>
        <v>0</v>
      </c>
      <c r="X281" s="325">
        <f t="shared" si="84"/>
        <v>0</v>
      </c>
      <c r="Y281" s="325">
        <f t="shared" si="84"/>
        <v>0</v>
      </c>
      <c r="Z281" s="325">
        <f t="shared" si="84"/>
        <v>0</v>
      </c>
      <c r="AA281" s="325">
        <f t="shared" si="84"/>
        <v>0</v>
      </c>
      <c r="AB281" s="325">
        <f t="shared" si="84"/>
        <v>0</v>
      </c>
      <c r="AC281" s="325">
        <f t="shared" si="84"/>
        <v>0</v>
      </c>
      <c r="AD281" s="325">
        <f t="shared" si="84"/>
        <v>0</v>
      </c>
      <c r="AE281" s="325">
        <f t="shared" si="84"/>
        <v>0</v>
      </c>
      <c r="AF281" s="325">
        <f t="shared" si="85"/>
        <v>0</v>
      </c>
      <c r="AG281" s="325">
        <f t="shared" si="85"/>
        <v>0</v>
      </c>
      <c r="AH281" s="325">
        <f t="shared" si="85"/>
        <v>0</v>
      </c>
      <c r="AI281" s="325">
        <f t="shared" si="85"/>
        <v>0</v>
      </c>
      <c r="AJ281" s="325">
        <f t="shared" si="85"/>
        <v>0</v>
      </c>
      <c r="AK281" s="325">
        <f t="shared" si="85"/>
        <v>0</v>
      </c>
      <c r="AL281" s="325">
        <f t="shared" si="85"/>
        <v>0</v>
      </c>
      <c r="AM281" s="325">
        <f t="shared" si="85"/>
        <v>0</v>
      </c>
      <c r="AN281" s="325">
        <f t="shared" si="85"/>
        <v>0</v>
      </c>
      <c r="AO281" s="325">
        <f t="shared" si="85"/>
        <v>1</v>
      </c>
      <c r="AP281" s="325">
        <f t="shared" si="86"/>
        <v>0</v>
      </c>
      <c r="AQ281" s="325">
        <f t="shared" si="86"/>
        <v>0</v>
      </c>
      <c r="AR281" s="325">
        <f t="shared" si="86"/>
        <v>0</v>
      </c>
      <c r="AS281" s="325">
        <f t="shared" si="86"/>
        <v>0</v>
      </c>
      <c r="AT281" s="325">
        <f t="shared" si="86"/>
        <v>0</v>
      </c>
      <c r="AU281" s="325">
        <f t="shared" si="86"/>
        <v>0</v>
      </c>
      <c r="AV281" s="325">
        <f t="shared" si="86"/>
        <v>0</v>
      </c>
      <c r="AW281" s="244"/>
      <c r="AX281" s="244"/>
      <c r="AY281" s="244"/>
      <c r="AZ281" s="244"/>
      <c r="BA281" s="244"/>
      <c r="BB281" s="244"/>
    </row>
    <row r="282" spans="1:54" hidden="1">
      <c r="A282" s="326" t="s">
        <v>1497</v>
      </c>
      <c r="B282" s="295" t="str">
        <f t="shared" si="70"/>
        <v>Intuition: 15 | Charisma: 15 | Charisma: 15</v>
      </c>
      <c r="C282" s="308" t="b">
        <v>0</v>
      </c>
      <c r="D282" s="308" t="b">
        <v>0</v>
      </c>
      <c r="E282" s="308" t="b">
        <f t="shared" si="71"/>
        <v>1</v>
      </c>
      <c r="F282" s="324" t="s">
        <v>481</v>
      </c>
      <c r="G282" s="324" t="s">
        <v>113</v>
      </c>
      <c r="H282" s="324" t="s">
        <v>383</v>
      </c>
      <c r="I282" s="324" t="s">
        <v>1498</v>
      </c>
      <c r="J282" s="295">
        <f>_xlfn.XLOOKUP(G282,Rechner!$A$17:$A$25,Rechner!$B$17:$B$25)</f>
        <v>5</v>
      </c>
      <c r="K282" s="295" t="str">
        <f>_xlfn.XLOOKUP(J282-SUMIF($V$31:$AV$31,TRUE,V282:AV282)-IF(D282=TRUE,1,0),Rechner!$B$17:$B$25,Rechner!$A$17:$A$25,"A+")</f>
        <v>D</v>
      </c>
      <c r="L282" s="295" t="str">
        <f>_xlfn.XLOOKUP(S282,Eigenschaften!$C$20:$C$27,Eigenschaften!$B$20:$B$27)</f>
        <v>Intuition</v>
      </c>
      <c r="M282" s="295">
        <f>_xlfn.XLOOKUP(L282,Eigenschaften!$B$20:$B$27,Eigenschaften!$H$20:$H$27,"NaN",1)</f>
        <v>15</v>
      </c>
      <c r="N282" s="295" t="str">
        <f>_xlfn.XLOOKUP(T282,Eigenschaften!$C$20:$C$27,Eigenschaften!$B$20:$B$27)</f>
        <v>Charisma</v>
      </c>
      <c r="O282" s="295">
        <f>_xlfn.XLOOKUP(N282,Eigenschaften!$B$20:$B$27,Eigenschaften!$H$20:$H$27,"NaN",1)</f>
        <v>15</v>
      </c>
      <c r="P282" s="295" t="str">
        <f>_xlfn.XLOOKUP(U282,Eigenschaften!$C$20:$C$27,Eigenschaften!$B$20:$B$27)</f>
        <v>Charisma</v>
      </c>
      <c r="Q282" s="295">
        <f>_xlfn.XLOOKUP(P282,Eigenschaften!$B$20:$B$27,Eigenschaften!$H$20:$H$27,"NaN",1)</f>
        <v>15</v>
      </c>
      <c r="R282" s="244"/>
      <c r="S282" s="244" t="str" cm="1">
        <f t="array" ref="S282:U282">_xlfn.TEXTSPLIT(F282,"/",,,,3)</f>
        <v>IN</v>
      </c>
      <c r="T282" s="244" t="str">
        <v>CH</v>
      </c>
      <c r="U282" s="244" t="str">
        <v>CH</v>
      </c>
      <c r="V282" s="325">
        <f t="shared" si="84"/>
        <v>0</v>
      </c>
      <c r="W282" s="325">
        <f t="shared" si="84"/>
        <v>0</v>
      </c>
      <c r="X282" s="325">
        <f t="shared" si="84"/>
        <v>0</v>
      </c>
      <c r="Y282" s="325">
        <f t="shared" si="84"/>
        <v>0</v>
      </c>
      <c r="Z282" s="325">
        <f t="shared" si="84"/>
        <v>0</v>
      </c>
      <c r="AA282" s="325">
        <f t="shared" si="84"/>
        <v>0</v>
      </c>
      <c r="AB282" s="325">
        <f t="shared" si="84"/>
        <v>0</v>
      </c>
      <c r="AC282" s="325">
        <f t="shared" si="84"/>
        <v>0</v>
      </c>
      <c r="AD282" s="325">
        <f t="shared" si="84"/>
        <v>0</v>
      </c>
      <c r="AE282" s="325">
        <f t="shared" si="84"/>
        <v>0</v>
      </c>
      <c r="AF282" s="325">
        <f t="shared" si="85"/>
        <v>0</v>
      </c>
      <c r="AG282" s="325">
        <f t="shared" si="85"/>
        <v>0</v>
      </c>
      <c r="AH282" s="325">
        <f t="shared" si="85"/>
        <v>0</v>
      </c>
      <c r="AI282" s="325">
        <f t="shared" si="85"/>
        <v>0</v>
      </c>
      <c r="AJ282" s="325">
        <f t="shared" si="85"/>
        <v>0</v>
      </c>
      <c r="AK282" s="325">
        <f t="shared" si="85"/>
        <v>0</v>
      </c>
      <c r="AL282" s="325">
        <f t="shared" si="85"/>
        <v>0</v>
      </c>
      <c r="AM282" s="325">
        <f t="shared" si="85"/>
        <v>0</v>
      </c>
      <c r="AN282" s="325">
        <f t="shared" si="85"/>
        <v>0</v>
      </c>
      <c r="AO282" s="325">
        <f t="shared" si="85"/>
        <v>0</v>
      </c>
      <c r="AP282" s="325">
        <f t="shared" si="86"/>
        <v>0</v>
      </c>
      <c r="AQ282" s="325">
        <f t="shared" si="86"/>
        <v>0</v>
      </c>
      <c r="AR282" s="325">
        <f t="shared" si="86"/>
        <v>0</v>
      </c>
      <c r="AS282" s="325">
        <f t="shared" si="86"/>
        <v>0</v>
      </c>
      <c r="AT282" s="325">
        <f t="shared" si="86"/>
        <v>0</v>
      </c>
      <c r="AU282" s="325">
        <f t="shared" si="86"/>
        <v>0</v>
      </c>
      <c r="AV282" s="325">
        <f t="shared" si="86"/>
        <v>1</v>
      </c>
      <c r="AW282" s="244"/>
      <c r="AX282" s="244"/>
      <c r="AY282" s="244"/>
      <c r="AZ282" s="244"/>
      <c r="BA282" s="244"/>
      <c r="BB282" s="244"/>
    </row>
    <row r="283" spans="1:54" hidden="1">
      <c r="A283" s="326" t="s">
        <v>1499</v>
      </c>
      <c r="B283" s="295" t="str">
        <f t="shared" si="70"/>
        <v>Klugheit: 12 | Fingerfertigkeit: 10 | Konstitution: 12</v>
      </c>
      <c r="C283" s="308" t="b">
        <v>0</v>
      </c>
      <c r="D283" s="308" t="b">
        <v>0</v>
      </c>
      <c r="E283" s="308" t="b">
        <f t="shared" si="71"/>
        <v>0</v>
      </c>
      <c r="F283" s="324" t="s">
        <v>295</v>
      </c>
      <c r="G283" s="324" t="s">
        <v>110</v>
      </c>
      <c r="H283" s="324" t="s">
        <v>597</v>
      </c>
      <c r="I283" s="324" t="s">
        <v>1500</v>
      </c>
      <c r="J283" s="295">
        <f>_xlfn.XLOOKUP(G283,Rechner!$A$17:$A$25,Rechner!$B$17:$B$25)</f>
        <v>4</v>
      </c>
      <c r="K283" s="295" t="str">
        <f>_xlfn.XLOOKUP(J283-SUMIF($V$31:$AV$31,TRUE,V283:AV283)-IF(D283=TRUE,1,0),Rechner!$B$17:$B$25,Rechner!$A$17:$A$25,"A+")</f>
        <v>C</v>
      </c>
      <c r="L283" s="295" t="str">
        <f>_xlfn.XLOOKUP(S283,Eigenschaften!$C$20:$C$27,Eigenschaften!$B$20:$B$27)</f>
        <v>Klugheit</v>
      </c>
      <c r="M283" s="295">
        <f>_xlfn.XLOOKUP(L283,Eigenschaften!$B$20:$B$27,Eigenschaften!$H$20:$H$27,"NaN",1)</f>
        <v>12</v>
      </c>
      <c r="N283" s="295" t="str">
        <f>_xlfn.XLOOKUP(T283,Eigenschaften!$C$20:$C$27,Eigenschaften!$B$20:$B$27)</f>
        <v>Fingerfertigkeit</v>
      </c>
      <c r="O283" s="295">
        <f>_xlfn.XLOOKUP(N283,Eigenschaften!$B$20:$B$27,Eigenschaften!$H$20:$H$27,"NaN",1)</f>
        <v>10</v>
      </c>
      <c r="P283" s="295" t="str">
        <f>_xlfn.XLOOKUP(U283,Eigenschaften!$C$20:$C$27,Eigenschaften!$B$20:$B$27)</f>
        <v>Konstitution</v>
      </c>
      <c r="Q283" s="295">
        <f>_xlfn.XLOOKUP(P283,Eigenschaften!$B$20:$B$27,Eigenschaften!$H$20:$H$27,"NaN",1)</f>
        <v>12</v>
      </c>
      <c r="R283" s="244"/>
      <c r="S283" s="244" t="str" cm="1">
        <f t="array" ref="S283:U283">_xlfn.TEXTSPLIT(F283,"/",,,,3)</f>
        <v>KL</v>
      </c>
      <c r="T283" s="244" t="str">
        <v>FF</v>
      </c>
      <c r="U283" s="244" t="str">
        <v>KO</v>
      </c>
      <c r="V283" s="325">
        <f t="shared" si="84"/>
        <v>0</v>
      </c>
      <c r="W283" s="325">
        <f t="shared" si="84"/>
        <v>0</v>
      </c>
      <c r="X283" s="325">
        <f t="shared" si="84"/>
        <v>0</v>
      </c>
      <c r="Y283" s="325">
        <f t="shared" si="84"/>
        <v>0</v>
      </c>
      <c r="Z283" s="325">
        <f t="shared" si="84"/>
        <v>0</v>
      </c>
      <c r="AA283" s="325">
        <f t="shared" si="84"/>
        <v>0</v>
      </c>
      <c r="AB283" s="325">
        <f t="shared" si="84"/>
        <v>0</v>
      </c>
      <c r="AC283" s="325">
        <f t="shared" si="84"/>
        <v>0</v>
      </c>
      <c r="AD283" s="325">
        <f t="shared" si="84"/>
        <v>0</v>
      </c>
      <c r="AE283" s="325">
        <f t="shared" si="84"/>
        <v>0</v>
      </c>
      <c r="AF283" s="325">
        <f t="shared" si="85"/>
        <v>0</v>
      </c>
      <c r="AG283" s="325">
        <f t="shared" si="85"/>
        <v>0</v>
      </c>
      <c r="AH283" s="325">
        <f t="shared" si="85"/>
        <v>0</v>
      </c>
      <c r="AI283" s="325">
        <f t="shared" si="85"/>
        <v>0</v>
      </c>
      <c r="AJ283" s="325">
        <f t="shared" si="85"/>
        <v>0</v>
      </c>
      <c r="AK283" s="325">
        <f t="shared" si="85"/>
        <v>0</v>
      </c>
      <c r="AL283" s="325">
        <f t="shared" si="85"/>
        <v>0</v>
      </c>
      <c r="AM283" s="325">
        <f t="shared" si="85"/>
        <v>0</v>
      </c>
      <c r="AN283" s="325">
        <f t="shared" si="85"/>
        <v>0</v>
      </c>
      <c r="AO283" s="325">
        <f t="shared" si="85"/>
        <v>0</v>
      </c>
      <c r="AP283" s="325">
        <f t="shared" si="86"/>
        <v>0</v>
      </c>
      <c r="AQ283" s="325">
        <f t="shared" si="86"/>
        <v>1</v>
      </c>
      <c r="AR283" s="325">
        <f t="shared" si="86"/>
        <v>0</v>
      </c>
      <c r="AS283" s="325">
        <f t="shared" si="86"/>
        <v>0</v>
      </c>
      <c r="AT283" s="325">
        <f t="shared" si="86"/>
        <v>1</v>
      </c>
      <c r="AU283" s="325">
        <f t="shared" si="86"/>
        <v>0</v>
      </c>
      <c r="AV283" s="325">
        <f t="shared" si="86"/>
        <v>0</v>
      </c>
      <c r="AW283" s="244"/>
      <c r="AX283" s="244"/>
      <c r="AY283" s="244"/>
      <c r="AZ283" s="244"/>
      <c r="BA283" s="244"/>
      <c r="BB283" s="244"/>
    </row>
    <row r="284" spans="1:54" hidden="1">
      <c r="A284" s="326" t="s">
        <v>1501</v>
      </c>
      <c r="B284" s="295" t="str">
        <f t="shared" si="70"/>
        <v>Intuition: 15 | Charisma: 15 | Konstitution: 12</v>
      </c>
      <c r="C284" s="308" t="b">
        <v>0</v>
      </c>
      <c r="D284" s="308" t="b">
        <v>0</v>
      </c>
      <c r="E284" s="308" t="b">
        <f t="shared" si="71"/>
        <v>1</v>
      </c>
      <c r="F284" s="324" t="s">
        <v>521</v>
      </c>
      <c r="G284" s="324" t="s">
        <v>125</v>
      </c>
      <c r="H284" s="324" t="s">
        <v>1502</v>
      </c>
      <c r="I284" s="324" t="s">
        <v>1503</v>
      </c>
      <c r="J284" s="295">
        <f>_xlfn.XLOOKUP(G284,Rechner!$A$17:$A$25,Rechner!$B$17:$B$25)</f>
        <v>3</v>
      </c>
      <c r="K284" s="295" t="str">
        <f>_xlfn.XLOOKUP(J284-SUMIF($V$31:$AV$31,TRUE,V284:AV284)-IF(D284=TRUE,1,0),Rechner!$B$17:$B$25,Rechner!$A$17:$A$25,"A+")</f>
        <v>B</v>
      </c>
      <c r="L284" s="295" t="str">
        <f>_xlfn.XLOOKUP(S284,Eigenschaften!$C$20:$C$27,Eigenschaften!$B$20:$B$27)</f>
        <v>Intuition</v>
      </c>
      <c r="M284" s="295">
        <f>_xlfn.XLOOKUP(L284,Eigenschaften!$B$20:$B$27,Eigenschaften!$H$20:$H$27,"NaN",1)</f>
        <v>15</v>
      </c>
      <c r="N284" s="295" t="str">
        <f>_xlfn.XLOOKUP(T284,Eigenschaften!$C$20:$C$27,Eigenschaften!$B$20:$B$27)</f>
        <v>Charisma</v>
      </c>
      <c r="O284" s="295">
        <f>_xlfn.XLOOKUP(N284,Eigenschaften!$B$20:$B$27,Eigenschaften!$H$20:$H$27,"NaN",1)</f>
        <v>15</v>
      </c>
      <c r="P284" s="295" t="str">
        <f>_xlfn.XLOOKUP(U284,Eigenschaften!$C$20:$C$27,Eigenschaften!$B$20:$B$27)</f>
        <v>Konstitution</v>
      </c>
      <c r="Q284" s="295">
        <f>_xlfn.XLOOKUP(P284,Eigenschaften!$B$20:$B$27,Eigenschaften!$H$20:$H$27,"NaN",1)</f>
        <v>12</v>
      </c>
      <c r="R284" s="244"/>
      <c r="S284" s="244" t="str" cm="1">
        <f t="array" ref="S284:U284">_xlfn.TEXTSPLIT(F284,"/",,,,3)</f>
        <v>IN</v>
      </c>
      <c r="T284" s="244" t="str">
        <v>CH</v>
      </c>
      <c r="U284" s="244" t="str">
        <v>KO</v>
      </c>
      <c r="V284" s="325">
        <f t="shared" si="84"/>
        <v>0</v>
      </c>
      <c r="W284" s="325">
        <f t="shared" si="84"/>
        <v>0</v>
      </c>
      <c r="X284" s="325">
        <f t="shared" si="84"/>
        <v>0</v>
      </c>
      <c r="Y284" s="325">
        <f t="shared" si="84"/>
        <v>0</v>
      </c>
      <c r="Z284" s="325">
        <f t="shared" si="84"/>
        <v>0</v>
      </c>
      <c r="AA284" s="325">
        <f t="shared" si="84"/>
        <v>0</v>
      </c>
      <c r="AB284" s="325">
        <f t="shared" si="84"/>
        <v>0</v>
      </c>
      <c r="AC284" s="325">
        <f t="shared" si="84"/>
        <v>0</v>
      </c>
      <c r="AD284" s="325">
        <f t="shared" si="84"/>
        <v>0</v>
      </c>
      <c r="AE284" s="325">
        <f t="shared" si="84"/>
        <v>0</v>
      </c>
      <c r="AF284" s="325">
        <f t="shared" si="85"/>
        <v>0</v>
      </c>
      <c r="AG284" s="325">
        <f t="shared" si="85"/>
        <v>0</v>
      </c>
      <c r="AH284" s="325">
        <f t="shared" si="85"/>
        <v>0</v>
      </c>
      <c r="AI284" s="325">
        <f t="shared" si="85"/>
        <v>0</v>
      </c>
      <c r="AJ284" s="325">
        <f t="shared" si="85"/>
        <v>0</v>
      </c>
      <c r="AK284" s="325">
        <f t="shared" si="85"/>
        <v>0</v>
      </c>
      <c r="AL284" s="325">
        <f t="shared" si="85"/>
        <v>0</v>
      </c>
      <c r="AM284" s="325">
        <f t="shared" si="85"/>
        <v>0</v>
      </c>
      <c r="AN284" s="325">
        <f t="shared" si="85"/>
        <v>1</v>
      </c>
      <c r="AO284" s="325">
        <f t="shared" si="85"/>
        <v>0</v>
      </c>
      <c r="AP284" s="325">
        <f t="shared" si="86"/>
        <v>0</v>
      </c>
      <c r="AQ284" s="325">
        <f t="shared" si="86"/>
        <v>0</v>
      </c>
      <c r="AR284" s="325">
        <f t="shared" si="86"/>
        <v>0</v>
      </c>
      <c r="AS284" s="325">
        <f t="shared" si="86"/>
        <v>0</v>
      </c>
      <c r="AT284" s="325">
        <f t="shared" si="86"/>
        <v>0</v>
      </c>
      <c r="AU284" s="325">
        <f t="shared" si="86"/>
        <v>0</v>
      </c>
      <c r="AV284" s="325">
        <f t="shared" si="86"/>
        <v>1</v>
      </c>
      <c r="AW284" s="244"/>
      <c r="AX284" s="244"/>
      <c r="AY284" s="244"/>
      <c r="AZ284" s="244"/>
      <c r="BA284" s="244"/>
      <c r="BB284" s="244"/>
    </row>
    <row r="285" spans="1:54" hidden="1">
      <c r="A285" s="326" t="s">
        <v>1504</v>
      </c>
      <c r="B285" s="295" t="str">
        <f t="shared" si="70"/>
        <v>Intuition: 15 | Fingerfertigkeit: 10 | Gewandheit: 14</v>
      </c>
      <c r="C285" s="308" t="b">
        <v>0</v>
      </c>
      <c r="D285" s="308" t="b">
        <v>0</v>
      </c>
      <c r="E285" s="308" t="b">
        <f t="shared" si="71"/>
        <v>1</v>
      </c>
      <c r="F285" s="324" t="s">
        <v>617</v>
      </c>
      <c r="G285" s="324" t="s">
        <v>429</v>
      </c>
      <c r="H285" s="324" t="s">
        <v>375</v>
      </c>
      <c r="I285" s="324" t="s">
        <v>1505</v>
      </c>
      <c r="J285" s="295">
        <f>_xlfn.XLOOKUP(G285,Rechner!$A$17:$A$25,Rechner!$B$17:$B$25)</f>
        <v>6</v>
      </c>
      <c r="K285" s="295" t="str">
        <f>_xlfn.XLOOKUP(J285-SUMIF($V$31:$AV$31,TRUE,V285:AV285)-IF(D285=TRUE,1,0),Rechner!$B$17:$B$25,Rechner!$A$17:$A$25,"A+")</f>
        <v>E</v>
      </c>
      <c r="L285" s="295" t="str">
        <f>_xlfn.XLOOKUP(S285,Eigenschaften!$C$20:$C$27,Eigenschaften!$B$20:$B$27)</f>
        <v>Intuition</v>
      </c>
      <c r="M285" s="295">
        <f>_xlfn.XLOOKUP(L285,Eigenschaften!$B$20:$B$27,Eigenschaften!$H$20:$H$27,"NaN",1)</f>
        <v>15</v>
      </c>
      <c r="N285" s="295" t="str">
        <f>_xlfn.XLOOKUP(T285,Eigenschaften!$C$20:$C$27,Eigenschaften!$B$20:$B$27)</f>
        <v>Fingerfertigkeit</v>
      </c>
      <c r="O285" s="295">
        <f>_xlfn.XLOOKUP(N285,Eigenschaften!$B$20:$B$27,Eigenschaften!$H$20:$H$27,"NaN",1)</f>
        <v>10</v>
      </c>
      <c r="P285" s="295" t="str">
        <f>_xlfn.XLOOKUP(U285,Eigenschaften!$C$20:$C$27,Eigenschaften!$B$20:$B$27)</f>
        <v>Gewandheit</v>
      </c>
      <c r="Q285" s="295">
        <f>_xlfn.XLOOKUP(P285,Eigenschaften!$B$20:$B$27,Eigenschaften!$H$20:$H$27,"NaN",1)</f>
        <v>14</v>
      </c>
      <c r="R285" s="244"/>
      <c r="S285" s="244" t="str" cm="1">
        <f t="array" ref="S285:U285">_xlfn.TEXTSPLIT(F285,"/",,,,3)</f>
        <v>IN</v>
      </c>
      <c r="T285" s="244" t="str">
        <v>FF</v>
      </c>
      <c r="U285" s="244" t="str">
        <v>GE</v>
      </c>
      <c r="V285" s="325">
        <f t="shared" si="84"/>
        <v>0</v>
      </c>
      <c r="W285" s="325">
        <f t="shared" si="84"/>
        <v>0</v>
      </c>
      <c r="X285" s="325">
        <f t="shared" si="84"/>
        <v>0</v>
      </c>
      <c r="Y285" s="325">
        <f t="shared" si="84"/>
        <v>0</v>
      </c>
      <c r="Z285" s="325">
        <f t="shared" si="84"/>
        <v>0</v>
      </c>
      <c r="AA285" s="325">
        <f t="shared" si="84"/>
        <v>0</v>
      </c>
      <c r="AB285" s="325">
        <f t="shared" si="84"/>
        <v>0</v>
      </c>
      <c r="AC285" s="325">
        <f t="shared" si="84"/>
        <v>0</v>
      </c>
      <c r="AD285" s="325">
        <f t="shared" si="84"/>
        <v>0</v>
      </c>
      <c r="AE285" s="325">
        <f t="shared" si="84"/>
        <v>0</v>
      </c>
      <c r="AF285" s="325">
        <f t="shared" si="85"/>
        <v>0</v>
      </c>
      <c r="AG285" s="325">
        <f t="shared" si="85"/>
        <v>0</v>
      </c>
      <c r="AH285" s="325">
        <f t="shared" si="85"/>
        <v>0</v>
      </c>
      <c r="AI285" s="325">
        <f t="shared" si="85"/>
        <v>0</v>
      </c>
      <c r="AJ285" s="325">
        <f t="shared" si="85"/>
        <v>0</v>
      </c>
      <c r="AK285" s="325">
        <f t="shared" si="85"/>
        <v>0</v>
      </c>
      <c r="AL285" s="325">
        <f t="shared" si="85"/>
        <v>0</v>
      </c>
      <c r="AM285" s="325">
        <f t="shared" si="85"/>
        <v>1</v>
      </c>
      <c r="AN285" s="325">
        <f t="shared" si="85"/>
        <v>0</v>
      </c>
      <c r="AO285" s="325">
        <f t="shared" si="85"/>
        <v>0</v>
      </c>
      <c r="AP285" s="325">
        <f t="shared" si="86"/>
        <v>0</v>
      </c>
      <c r="AQ285" s="325">
        <f t="shared" si="86"/>
        <v>0</v>
      </c>
      <c r="AR285" s="325">
        <f t="shared" si="86"/>
        <v>0</v>
      </c>
      <c r="AS285" s="325">
        <f t="shared" si="86"/>
        <v>0</v>
      </c>
      <c r="AT285" s="325">
        <f t="shared" si="86"/>
        <v>0</v>
      </c>
      <c r="AU285" s="325">
        <f t="shared" si="86"/>
        <v>0</v>
      </c>
      <c r="AV285" s="325">
        <f t="shared" si="86"/>
        <v>0</v>
      </c>
      <c r="AW285" s="244"/>
      <c r="AX285" s="244"/>
      <c r="AY285" s="244"/>
      <c r="AZ285" s="244"/>
      <c r="BA285" s="244"/>
      <c r="BB285" s="244"/>
    </row>
    <row r="286" spans="1:54" hidden="1">
      <c r="A286" s="326" t="s">
        <v>1506</v>
      </c>
      <c r="B286" s="295" t="str">
        <f t="shared" si="70"/>
        <v>Klugheit: 12 | Intuition: 15 | Konstitution: 12</v>
      </c>
      <c r="C286" s="308" t="b">
        <v>0</v>
      </c>
      <c r="D286" s="308" t="b">
        <v>0</v>
      </c>
      <c r="E286" s="308" t="b">
        <f t="shared" si="71"/>
        <v>0</v>
      </c>
      <c r="F286" s="324" t="s">
        <v>529</v>
      </c>
      <c r="G286" s="324" t="s">
        <v>113</v>
      </c>
      <c r="H286" s="324" t="s">
        <v>1507</v>
      </c>
      <c r="I286" s="324" t="s">
        <v>1508</v>
      </c>
      <c r="J286" s="295">
        <f>_xlfn.XLOOKUP(G286,Rechner!$A$17:$A$25,Rechner!$B$17:$B$25)</f>
        <v>5</v>
      </c>
      <c r="K286" s="295" t="str">
        <f>_xlfn.XLOOKUP(J286-SUMIF($V$31:$AV$31,TRUE,V286:AV286)-IF(D286=TRUE,1,0),Rechner!$B$17:$B$25,Rechner!$A$17:$A$25,"A+")</f>
        <v>D</v>
      </c>
      <c r="L286" s="295" t="str">
        <f>_xlfn.XLOOKUP(S286,Eigenschaften!$C$20:$C$27,Eigenschaften!$B$20:$B$27)</f>
        <v>Klugheit</v>
      </c>
      <c r="M286" s="295">
        <f>_xlfn.XLOOKUP(L286,Eigenschaften!$B$20:$B$27,Eigenschaften!$H$20:$H$27,"NaN",1)</f>
        <v>12</v>
      </c>
      <c r="N286" s="295" t="str">
        <f>_xlfn.XLOOKUP(T286,Eigenschaften!$C$20:$C$27,Eigenschaften!$B$20:$B$27)</f>
        <v>Intuition</v>
      </c>
      <c r="O286" s="295">
        <f>_xlfn.XLOOKUP(N286,Eigenschaften!$B$20:$B$27,Eigenschaften!$H$20:$H$27,"NaN",1)</f>
        <v>15</v>
      </c>
      <c r="P286" s="295" t="str">
        <f>_xlfn.XLOOKUP(U286,Eigenschaften!$C$20:$C$27,Eigenschaften!$B$20:$B$27)</f>
        <v>Konstitution</v>
      </c>
      <c r="Q286" s="295">
        <f>_xlfn.XLOOKUP(P286,Eigenschaften!$B$20:$B$27,Eigenschaften!$H$20:$H$27,"NaN",1)</f>
        <v>12</v>
      </c>
      <c r="R286" s="244"/>
      <c r="S286" s="244" t="str" cm="1">
        <f t="array" ref="S286:U286">_xlfn.TEXTSPLIT(F286,"/",,,,3)</f>
        <v>KL</v>
      </c>
      <c r="T286" s="244" t="str">
        <v>IN</v>
      </c>
      <c r="U286" s="244" t="str">
        <v>KO</v>
      </c>
      <c r="V286" s="325">
        <f t="shared" ref="V286:AE295" si="87">IF(ISNUMBER(SEARCH(V$32,$H286)),1,0)</f>
        <v>1</v>
      </c>
      <c r="W286" s="325">
        <f t="shared" si="87"/>
        <v>0</v>
      </c>
      <c r="X286" s="325">
        <f t="shared" si="87"/>
        <v>0</v>
      </c>
      <c r="Y286" s="325">
        <f t="shared" si="87"/>
        <v>0</v>
      </c>
      <c r="Z286" s="325">
        <f t="shared" si="87"/>
        <v>0</v>
      </c>
      <c r="AA286" s="325">
        <f t="shared" si="87"/>
        <v>0</v>
      </c>
      <c r="AB286" s="325">
        <f t="shared" si="87"/>
        <v>0</v>
      </c>
      <c r="AC286" s="325">
        <f t="shared" si="87"/>
        <v>0</v>
      </c>
      <c r="AD286" s="325">
        <f t="shared" si="87"/>
        <v>0</v>
      </c>
      <c r="AE286" s="325">
        <f t="shared" si="87"/>
        <v>0</v>
      </c>
      <c r="AF286" s="325">
        <f t="shared" ref="AF286:AO295" si="88">IF(ISNUMBER(SEARCH(AF$32,$H286)),1,0)</f>
        <v>0</v>
      </c>
      <c r="AG286" s="325">
        <f t="shared" si="88"/>
        <v>0</v>
      </c>
      <c r="AH286" s="325">
        <f t="shared" si="88"/>
        <v>0</v>
      </c>
      <c r="AI286" s="325">
        <f t="shared" si="88"/>
        <v>0</v>
      </c>
      <c r="AJ286" s="325">
        <f t="shared" si="88"/>
        <v>0</v>
      </c>
      <c r="AK286" s="325">
        <f t="shared" si="88"/>
        <v>0</v>
      </c>
      <c r="AL286" s="325">
        <f t="shared" si="88"/>
        <v>0</v>
      </c>
      <c r="AM286" s="325">
        <f t="shared" si="88"/>
        <v>0</v>
      </c>
      <c r="AN286" s="325">
        <f t="shared" si="88"/>
        <v>0</v>
      </c>
      <c r="AO286" s="325">
        <f t="shared" si="88"/>
        <v>0</v>
      </c>
      <c r="AP286" s="325">
        <f t="shared" ref="AP286:AV295" si="89">IF(ISNUMBER(SEARCH(AP$32,$H286)),1,0)</f>
        <v>0</v>
      </c>
      <c r="AQ286" s="325">
        <f t="shared" si="89"/>
        <v>0</v>
      </c>
      <c r="AR286" s="325">
        <f t="shared" si="89"/>
        <v>0</v>
      </c>
      <c r="AS286" s="325">
        <f t="shared" si="89"/>
        <v>0</v>
      </c>
      <c r="AT286" s="325">
        <f t="shared" si="89"/>
        <v>0</v>
      </c>
      <c r="AU286" s="325">
        <f t="shared" si="89"/>
        <v>1</v>
      </c>
      <c r="AV286" s="325">
        <f t="shared" si="89"/>
        <v>0</v>
      </c>
      <c r="AW286" s="244"/>
      <c r="AX286" s="244"/>
      <c r="AY286" s="244"/>
      <c r="AZ286" s="244"/>
      <c r="BA286" s="244"/>
      <c r="BB286" s="244"/>
    </row>
    <row r="287" spans="1:54" hidden="1">
      <c r="A287" s="326" t="s">
        <v>1509</v>
      </c>
      <c r="B287" s="295" t="str">
        <f t="shared" si="70"/>
        <v>Intuition: 15 | Charisma: 15 | Gewandheit: 14</v>
      </c>
      <c r="C287" s="308" t="b">
        <v>0</v>
      </c>
      <c r="D287" s="308" t="b">
        <v>0</v>
      </c>
      <c r="E287" s="308" t="b">
        <f t="shared" si="71"/>
        <v>0</v>
      </c>
      <c r="F287" s="324" t="s">
        <v>495</v>
      </c>
      <c r="G287" s="324" t="s">
        <v>110</v>
      </c>
      <c r="H287" s="324" t="s">
        <v>78</v>
      </c>
      <c r="I287" s="324" t="s">
        <v>755</v>
      </c>
      <c r="J287" s="295">
        <f>_xlfn.XLOOKUP(G287,Rechner!$A$17:$A$25,Rechner!$B$17:$B$25)</f>
        <v>4</v>
      </c>
      <c r="K287" s="295" t="str">
        <f>_xlfn.XLOOKUP(J287-SUMIF($V$31:$AV$31,TRUE,V287:AV287)-IF(D287=TRUE,1,0),Rechner!$B$17:$B$25,Rechner!$A$17:$A$25,"A+")</f>
        <v>C</v>
      </c>
      <c r="L287" s="295" t="str">
        <f>_xlfn.XLOOKUP(S287,Eigenschaften!$C$20:$C$27,Eigenschaften!$B$20:$B$27)</f>
        <v>Intuition</v>
      </c>
      <c r="M287" s="295">
        <f>_xlfn.XLOOKUP(L287,Eigenschaften!$B$20:$B$27,Eigenschaften!$H$20:$H$27,"NaN",1)</f>
        <v>15</v>
      </c>
      <c r="N287" s="295" t="str">
        <f>_xlfn.XLOOKUP(T287,Eigenschaften!$C$20:$C$27,Eigenschaften!$B$20:$B$27)</f>
        <v>Charisma</v>
      </c>
      <c r="O287" s="295">
        <f>_xlfn.XLOOKUP(N287,Eigenschaften!$B$20:$B$27,Eigenschaften!$H$20:$H$27,"NaN",1)</f>
        <v>15</v>
      </c>
      <c r="P287" s="295" t="str">
        <f>_xlfn.XLOOKUP(U287,Eigenschaften!$C$20:$C$27,Eigenschaften!$B$20:$B$27)</f>
        <v>Gewandheit</v>
      </c>
      <c r="Q287" s="295">
        <f>_xlfn.XLOOKUP(P287,Eigenschaften!$B$20:$B$27,Eigenschaften!$H$20:$H$27,"NaN",1)</f>
        <v>14</v>
      </c>
      <c r="R287" s="244"/>
      <c r="S287" s="244" t="str" cm="1">
        <f t="array" ref="S287:U287">_xlfn.TEXTSPLIT(F287,"/",,,,3)</f>
        <v>IN</v>
      </c>
      <c r="T287" s="244" t="str">
        <v>CH</v>
      </c>
      <c r="U287" s="244" t="str">
        <v>GE</v>
      </c>
      <c r="V287" s="325">
        <f t="shared" si="87"/>
        <v>0</v>
      </c>
      <c r="W287" s="325">
        <f t="shared" si="87"/>
        <v>0</v>
      </c>
      <c r="X287" s="325">
        <f t="shared" si="87"/>
        <v>0</v>
      </c>
      <c r="Y287" s="325">
        <f t="shared" si="87"/>
        <v>0</v>
      </c>
      <c r="Z287" s="325">
        <f t="shared" si="87"/>
        <v>0</v>
      </c>
      <c r="AA287" s="325">
        <f t="shared" si="87"/>
        <v>0</v>
      </c>
      <c r="AB287" s="325">
        <f t="shared" si="87"/>
        <v>0</v>
      </c>
      <c r="AC287" s="325">
        <f t="shared" si="87"/>
        <v>0</v>
      </c>
      <c r="AD287" s="325">
        <f t="shared" si="87"/>
        <v>0</v>
      </c>
      <c r="AE287" s="325">
        <f t="shared" si="87"/>
        <v>0</v>
      </c>
      <c r="AF287" s="325">
        <f t="shared" si="88"/>
        <v>0</v>
      </c>
      <c r="AG287" s="325">
        <f t="shared" si="88"/>
        <v>0</v>
      </c>
      <c r="AH287" s="325">
        <f t="shared" si="88"/>
        <v>0</v>
      </c>
      <c r="AI287" s="325">
        <f t="shared" si="88"/>
        <v>0</v>
      </c>
      <c r="AJ287" s="325">
        <f t="shared" si="88"/>
        <v>0</v>
      </c>
      <c r="AK287" s="325">
        <f t="shared" si="88"/>
        <v>0</v>
      </c>
      <c r="AL287" s="325">
        <f t="shared" si="88"/>
        <v>0</v>
      </c>
      <c r="AM287" s="325">
        <f t="shared" si="88"/>
        <v>0</v>
      </c>
      <c r="AN287" s="325">
        <f t="shared" si="88"/>
        <v>0</v>
      </c>
      <c r="AO287" s="325">
        <f t="shared" si="88"/>
        <v>1</v>
      </c>
      <c r="AP287" s="325">
        <f t="shared" si="89"/>
        <v>0</v>
      </c>
      <c r="AQ287" s="325">
        <f t="shared" si="89"/>
        <v>0</v>
      </c>
      <c r="AR287" s="325">
        <f t="shared" si="89"/>
        <v>0</v>
      </c>
      <c r="AS287" s="325">
        <f t="shared" si="89"/>
        <v>0</v>
      </c>
      <c r="AT287" s="325">
        <f t="shared" si="89"/>
        <v>0</v>
      </c>
      <c r="AU287" s="325">
        <f t="shared" si="89"/>
        <v>0</v>
      </c>
      <c r="AV287" s="325">
        <f t="shared" si="89"/>
        <v>0</v>
      </c>
      <c r="AW287" s="244"/>
      <c r="AX287" s="244"/>
      <c r="AY287" s="244"/>
      <c r="AZ287" s="244"/>
      <c r="BA287" s="244"/>
      <c r="BB287" s="244"/>
    </row>
    <row r="288" spans="1:54" hidden="1">
      <c r="A288" s="326" t="s">
        <v>1510</v>
      </c>
      <c r="B288" s="295" t="str">
        <f t="shared" si="70"/>
        <v>Klugheit: 12 | Klugheit: 12 | Intuition: 15</v>
      </c>
      <c r="C288" s="308" t="b">
        <v>0</v>
      </c>
      <c r="D288" s="308" t="b">
        <v>0</v>
      </c>
      <c r="E288" s="308" t="b">
        <f t="shared" si="71"/>
        <v>1</v>
      </c>
      <c r="F288" s="324" t="s">
        <v>421</v>
      </c>
      <c r="G288" s="324" t="s">
        <v>110</v>
      </c>
      <c r="H288" s="324" t="s">
        <v>1511</v>
      </c>
      <c r="I288" s="324" t="s">
        <v>1512</v>
      </c>
      <c r="J288" s="295">
        <f>_xlfn.XLOOKUP(G288,Rechner!$A$17:$A$25,Rechner!$B$17:$B$25)</f>
        <v>4</v>
      </c>
      <c r="K288" s="295" t="str">
        <f>_xlfn.XLOOKUP(J288-SUMIF($V$31:$AV$31,TRUE,V288:AV288)-IF(D288=TRUE,1,0),Rechner!$B$17:$B$25,Rechner!$A$17:$A$25,"A+")</f>
        <v>C</v>
      </c>
      <c r="L288" s="295" t="str">
        <f>_xlfn.XLOOKUP(S288,Eigenschaften!$C$20:$C$27,Eigenschaften!$B$20:$B$27)</f>
        <v>Klugheit</v>
      </c>
      <c r="M288" s="295">
        <f>_xlfn.XLOOKUP(L288,Eigenschaften!$B$20:$B$27,Eigenschaften!$H$20:$H$27,"NaN",1)</f>
        <v>12</v>
      </c>
      <c r="N288" s="295" t="str">
        <f>_xlfn.XLOOKUP(T288,Eigenschaften!$C$20:$C$27,Eigenschaften!$B$20:$B$27)</f>
        <v>Klugheit</v>
      </c>
      <c r="O288" s="295">
        <f>_xlfn.XLOOKUP(N288,Eigenschaften!$B$20:$B$27,Eigenschaften!$H$20:$H$27,"NaN",1)</f>
        <v>12</v>
      </c>
      <c r="P288" s="295" t="str">
        <f>_xlfn.XLOOKUP(U288,Eigenschaften!$C$20:$C$27,Eigenschaften!$B$20:$B$27)</f>
        <v>Intuition</v>
      </c>
      <c r="Q288" s="295">
        <f>_xlfn.XLOOKUP(P288,Eigenschaften!$B$20:$B$27,Eigenschaften!$H$20:$H$27,"NaN",1)</f>
        <v>15</v>
      </c>
      <c r="R288" s="244"/>
      <c r="S288" s="244" t="str" cm="1">
        <f t="array" ref="S288:U288">_xlfn.TEXTSPLIT(F288,"/",,,,3)</f>
        <v>KL</v>
      </c>
      <c r="T288" s="244" t="str">
        <v>KL</v>
      </c>
      <c r="U288" s="244" t="str">
        <v>IN</v>
      </c>
      <c r="V288" s="325">
        <f t="shared" si="87"/>
        <v>1</v>
      </c>
      <c r="W288" s="325">
        <f t="shared" si="87"/>
        <v>0</v>
      </c>
      <c r="X288" s="325">
        <f t="shared" si="87"/>
        <v>0</v>
      </c>
      <c r="Y288" s="325">
        <f t="shared" si="87"/>
        <v>0</v>
      </c>
      <c r="Z288" s="325">
        <f t="shared" si="87"/>
        <v>0</v>
      </c>
      <c r="AA288" s="325">
        <f t="shared" si="87"/>
        <v>0</v>
      </c>
      <c r="AB288" s="325">
        <f t="shared" si="87"/>
        <v>0</v>
      </c>
      <c r="AC288" s="325">
        <f t="shared" si="87"/>
        <v>0</v>
      </c>
      <c r="AD288" s="325">
        <f t="shared" si="87"/>
        <v>0</v>
      </c>
      <c r="AE288" s="325">
        <f t="shared" si="87"/>
        <v>0</v>
      </c>
      <c r="AF288" s="325">
        <f t="shared" si="88"/>
        <v>0</v>
      </c>
      <c r="AG288" s="325">
        <f t="shared" si="88"/>
        <v>0</v>
      </c>
      <c r="AH288" s="325">
        <f t="shared" si="88"/>
        <v>0</v>
      </c>
      <c r="AI288" s="325">
        <f t="shared" si="88"/>
        <v>0</v>
      </c>
      <c r="AJ288" s="325">
        <f t="shared" si="88"/>
        <v>0</v>
      </c>
      <c r="AK288" s="325">
        <f t="shared" si="88"/>
        <v>0</v>
      </c>
      <c r="AL288" s="325">
        <f t="shared" si="88"/>
        <v>0</v>
      </c>
      <c r="AM288" s="325">
        <f t="shared" si="88"/>
        <v>0</v>
      </c>
      <c r="AN288" s="325">
        <f t="shared" si="88"/>
        <v>0</v>
      </c>
      <c r="AO288" s="325">
        <f t="shared" si="88"/>
        <v>0</v>
      </c>
      <c r="AP288" s="325">
        <f t="shared" si="89"/>
        <v>0</v>
      </c>
      <c r="AQ288" s="325">
        <f t="shared" si="89"/>
        <v>0</v>
      </c>
      <c r="AR288" s="325">
        <f t="shared" si="89"/>
        <v>0</v>
      </c>
      <c r="AS288" s="325">
        <f t="shared" si="89"/>
        <v>0</v>
      </c>
      <c r="AT288" s="325">
        <f t="shared" si="89"/>
        <v>0</v>
      </c>
      <c r="AU288" s="325">
        <f t="shared" si="89"/>
        <v>0</v>
      </c>
      <c r="AV288" s="325">
        <f t="shared" si="89"/>
        <v>1</v>
      </c>
      <c r="AW288" s="244"/>
      <c r="AX288" s="244"/>
      <c r="AY288" s="244"/>
      <c r="AZ288" s="244"/>
      <c r="BA288" s="244"/>
      <c r="BB288" s="244"/>
    </row>
    <row r="289" spans="1:54" hidden="1">
      <c r="A289" s="326" t="s">
        <v>1513</v>
      </c>
      <c r="B289" s="295" t="str">
        <f t="shared" si="70"/>
        <v>Klugheit: 12 | Charisma: 15 | Fingerfertigkeit: 10</v>
      </c>
      <c r="C289" s="308" t="b">
        <v>0</v>
      </c>
      <c r="D289" s="308" t="b">
        <v>0</v>
      </c>
      <c r="E289" s="308" t="b">
        <f t="shared" si="71"/>
        <v>1</v>
      </c>
      <c r="F289" s="324" t="s">
        <v>393</v>
      </c>
      <c r="G289" s="324" t="s">
        <v>113</v>
      </c>
      <c r="H289" s="324" t="s">
        <v>1514</v>
      </c>
      <c r="I289" s="324" t="s">
        <v>1515</v>
      </c>
      <c r="J289" s="295">
        <f>_xlfn.XLOOKUP(G289,Rechner!$A$17:$A$25,Rechner!$B$17:$B$25)</f>
        <v>5</v>
      </c>
      <c r="K289" s="295" t="str">
        <f>_xlfn.XLOOKUP(J289-SUMIF($V$31:$AV$31,TRUE,V289:AV289)-IF(D289=TRUE,1,0),Rechner!$B$17:$B$25,Rechner!$A$17:$A$25,"A+")</f>
        <v>D</v>
      </c>
      <c r="L289" s="295" t="str">
        <f>_xlfn.XLOOKUP(S289,Eigenschaften!$C$20:$C$27,Eigenschaften!$B$20:$B$27)</f>
        <v>Klugheit</v>
      </c>
      <c r="M289" s="295">
        <f>_xlfn.XLOOKUP(L289,Eigenschaften!$B$20:$B$27,Eigenschaften!$H$20:$H$27,"NaN",1)</f>
        <v>12</v>
      </c>
      <c r="N289" s="295" t="str">
        <f>_xlfn.XLOOKUP(T289,Eigenschaften!$C$20:$C$27,Eigenschaften!$B$20:$B$27)</f>
        <v>Charisma</v>
      </c>
      <c r="O289" s="295">
        <f>_xlfn.XLOOKUP(N289,Eigenschaften!$B$20:$B$27,Eigenschaften!$H$20:$H$27,"NaN",1)</f>
        <v>15</v>
      </c>
      <c r="P289" s="295" t="str">
        <f>_xlfn.XLOOKUP(U289,Eigenschaften!$C$20:$C$27,Eigenschaften!$B$20:$B$27)</f>
        <v>Fingerfertigkeit</v>
      </c>
      <c r="Q289" s="295">
        <f>_xlfn.XLOOKUP(P289,Eigenschaften!$B$20:$B$27,Eigenschaften!$H$20:$H$27,"NaN",1)</f>
        <v>10</v>
      </c>
      <c r="R289" s="244"/>
      <c r="S289" s="244" t="str" cm="1">
        <f t="array" ref="S289:U289">_xlfn.TEXTSPLIT(F289,"/",,,,3)</f>
        <v>KL</v>
      </c>
      <c r="T289" s="244" t="str">
        <v>CH</v>
      </c>
      <c r="U289" s="244" t="str">
        <v>FF</v>
      </c>
      <c r="V289" s="325">
        <f t="shared" si="87"/>
        <v>1</v>
      </c>
      <c r="W289" s="325">
        <f t="shared" si="87"/>
        <v>0</v>
      </c>
      <c r="X289" s="325">
        <f t="shared" si="87"/>
        <v>0</v>
      </c>
      <c r="Y289" s="325">
        <f t="shared" si="87"/>
        <v>0</v>
      </c>
      <c r="Z289" s="325">
        <f t="shared" si="87"/>
        <v>0</v>
      </c>
      <c r="AA289" s="325">
        <f t="shared" si="87"/>
        <v>0</v>
      </c>
      <c r="AB289" s="325">
        <f t="shared" si="87"/>
        <v>0</v>
      </c>
      <c r="AC289" s="325">
        <f t="shared" si="87"/>
        <v>0</v>
      </c>
      <c r="AD289" s="325">
        <f t="shared" si="87"/>
        <v>0</v>
      </c>
      <c r="AE289" s="325">
        <f t="shared" si="87"/>
        <v>0</v>
      </c>
      <c r="AF289" s="325">
        <f t="shared" si="88"/>
        <v>0</v>
      </c>
      <c r="AG289" s="325">
        <f t="shared" si="88"/>
        <v>1</v>
      </c>
      <c r="AH289" s="325">
        <f t="shared" si="88"/>
        <v>0</v>
      </c>
      <c r="AI289" s="325">
        <f t="shared" si="88"/>
        <v>0</v>
      </c>
      <c r="AJ289" s="325">
        <f t="shared" si="88"/>
        <v>0</v>
      </c>
      <c r="AK289" s="325">
        <f t="shared" si="88"/>
        <v>0</v>
      </c>
      <c r="AL289" s="325">
        <f t="shared" si="88"/>
        <v>0</v>
      </c>
      <c r="AM289" s="325">
        <f t="shared" si="88"/>
        <v>0</v>
      </c>
      <c r="AN289" s="325">
        <f t="shared" si="88"/>
        <v>0</v>
      </c>
      <c r="AO289" s="325">
        <f t="shared" si="88"/>
        <v>0</v>
      </c>
      <c r="AP289" s="325">
        <f t="shared" si="89"/>
        <v>0</v>
      </c>
      <c r="AQ289" s="325">
        <f t="shared" si="89"/>
        <v>0</v>
      </c>
      <c r="AR289" s="325">
        <f t="shared" si="89"/>
        <v>0</v>
      </c>
      <c r="AS289" s="325">
        <f t="shared" si="89"/>
        <v>0</v>
      </c>
      <c r="AT289" s="325">
        <f t="shared" si="89"/>
        <v>0</v>
      </c>
      <c r="AU289" s="325">
        <f t="shared" si="89"/>
        <v>0</v>
      </c>
      <c r="AV289" s="325">
        <f t="shared" si="89"/>
        <v>0</v>
      </c>
      <c r="AW289" s="244"/>
      <c r="AX289" s="244"/>
      <c r="AY289" s="244"/>
      <c r="AZ289" s="244"/>
      <c r="BA289" s="244"/>
      <c r="BB289" s="244"/>
    </row>
    <row r="290" spans="1:54">
      <c r="A290" s="326" t="s">
        <v>355</v>
      </c>
      <c r="B290" s="295" t="str">
        <f t="shared" si="70"/>
        <v>Mut: 13 | Charisma: 15 | Charisma: 15</v>
      </c>
      <c r="C290" s="308" t="b">
        <v>1</v>
      </c>
      <c r="D290" s="308" t="b">
        <v>0</v>
      </c>
      <c r="E290" s="308" t="b">
        <f t="shared" si="71"/>
        <v>1</v>
      </c>
      <c r="F290" s="324" t="s">
        <v>320</v>
      </c>
      <c r="G290" s="324" t="s">
        <v>429</v>
      </c>
      <c r="H290" s="324" t="s">
        <v>1574</v>
      </c>
      <c r="I290" s="324" t="s">
        <v>1575</v>
      </c>
      <c r="J290" s="295">
        <f>_xlfn.XLOOKUP(G290,Rechner!$A$17:$A$25,Rechner!$B$17:$B$25)</f>
        <v>6</v>
      </c>
      <c r="K290" s="338" t="str">
        <f>_xlfn.XLOOKUP(J290-SUMIF($V$31:$AV$31,TRUE,V290:AV290)-IF(D290=TRUE,1,0),Rechner!$B$17:$B$25,Rechner!$A$17:$A$25,"A+")</f>
        <v>E</v>
      </c>
      <c r="L290" s="295" t="str">
        <f>_xlfn.XLOOKUP(S290,Eigenschaften!$C$20:$C$27,Eigenschaften!$B$20:$B$27)</f>
        <v>Mut</v>
      </c>
      <c r="M290" s="295">
        <f>_xlfn.XLOOKUP(L290,Eigenschaften!$B$20:$B$27,Eigenschaften!$H$20:$H$27,"NaN",1)</f>
        <v>13</v>
      </c>
      <c r="N290" s="295" t="str">
        <f>_xlfn.XLOOKUP(T290,Eigenschaften!$C$20:$C$27,Eigenschaften!$B$20:$B$27)</f>
        <v>Charisma</v>
      </c>
      <c r="O290" s="295">
        <f>_xlfn.XLOOKUP(N290,Eigenschaften!$B$20:$B$27,Eigenschaften!$H$20:$H$27,"NaN",1)</f>
        <v>15</v>
      </c>
      <c r="P290" s="295" t="str">
        <f>_xlfn.XLOOKUP(U290,Eigenschaften!$C$20:$C$27,Eigenschaften!$B$20:$B$27)</f>
        <v>Charisma</v>
      </c>
      <c r="Q290" s="295">
        <f>_xlfn.XLOOKUP(P290,Eigenschaften!$B$20:$B$27,Eigenschaften!$H$20:$H$27,"NaN",1)</f>
        <v>15</v>
      </c>
      <c r="R290" s="244"/>
      <c r="S290" s="244" t="str" cm="1">
        <f t="array" ref="S290:U290">_xlfn.TEXTSPLIT(F290,"/",,,,3)</f>
        <v>MU</v>
      </c>
      <c r="T290" s="244" t="str">
        <v>CH</v>
      </c>
      <c r="U290" s="244" t="str">
        <v>CH</v>
      </c>
      <c r="V290" s="325">
        <f t="shared" si="87"/>
        <v>0</v>
      </c>
      <c r="W290" s="325">
        <f t="shared" si="87"/>
        <v>0</v>
      </c>
      <c r="X290" s="325">
        <f t="shared" si="87"/>
        <v>0</v>
      </c>
      <c r="Y290" s="325">
        <f t="shared" si="87"/>
        <v>0</v>
      </c>
      <c r="Z290" s="325">
        <f t="shared" si="87"/>
        <v>0</v>
      </c>
      <c r="AA290" s="325">
        <f t="shared" si="87"/>
        <v>0</v>
      </c>
      <c r="AB290" s="325">
        <f t="shared" si="87"/>
        <v>0</v>
      </c>
      <c r="AC290" s="325">
        <f t="shared" si="87"/>
        <v>0</v>
      </c>
      <c r="AD290" s="325">
        <f t="shared" si="87"/>
        <v>0</v>
      </c>
      <c r="AE290" s="325">
        <f t="shared" si="87"/>
        <v>0</v>
      </c>
      <c r="AF290" s="325">
        <f t="shared" si="88"/>
        <v>0</v>
      </c>
      <c r="AG290" s="325">
        <f t="shared" si="88"/>
        <v>0</v>
      </c>
      <c r="AH290" s="325">
        <f t="shared" si="88"/>
        <v>0</v>
      </c>
      <c r="AI290" s="325">
        <f t="shared" si="88"/>
        <v>0</v>
      </c>
      <c r="AJ290" s="325">
        <f t="shared" si="88"/>
        <v>0</v>
      </c>
      <c r="AK290" s="325">
        <f t="shared" si="88"/>
        <v>0</v>
      </c>
      <c r="AL290" s="325">
        <f t="shared" si="88"/>
        <v>1</v>
      </c>
      <c r="AM290" s="325">
        <f t="shared" si="88"/>
        <v>0</v>
      </c>
      <c r="AN290" s="325">
        <f t="shared" si="88"/>
        <v>0</v>
      </c>
      <c r="AO290" s="325">
        <f t="shared" si="88"/>
        <v>0</v>
      </c>
      <c r="AP290" s="325">
        <f t="shared" si="89"/>
        <v>0</v>
      </c>
      <c r="AQ290" s="325">
        <f t="shared" si="89"/>
        <v>0</v>
      </c>
      <c r="AR290" s="325">
        <f t="shared" si="89"/>
        <v>1</v>
      </c>
      <c r="AS290" s="325">
        <f t="shared" si="89"/>
        <v>0</v>
      </c>
      <c r="AT290" s="325">
        <f t="shared" si="89"/>
        <v>0</v>
      </c>
      <c r="AU290" s="325">
        <f t="shared" si="89"/>
        <v>0</v>
      </c>
      <c r="AV290" s="325">
        <f t="shared" si="89"/>
        <v>0</v>
      </c>
      <c r="AW290" s="244">
        <v>2</v>
      </c>
      <c r="AX290" s="244" t="s">
        <v>1671</v>
      </c>
      <c r="AY290" s="244" t="s">
        <v>1672</v>
      </c>
      <c r="AZ290" s="244" t="s">
        <v>283</v>
      </c>
      <c r="BA290" s="244" t="s">
        <v>1673</v>
      </c>
      <c r="BB290" s="244"/>
    </row>
    <row r="291" spans="1:54" hidden="1">
      <c r="A291" s="326" t="s">
        <v>1517</v>
      </c>
      <c r="B291" s="295" t="str">
        <f t="shared" si="70"/>
        <v>Klugheit: 12 | Intuition: 15 | Gewandheit: 14</v>
      </c>
      <c r="C291" s="308" t="b">
        <v>0</v>
      </c>
      <c r="D291" s="308" t="b">
        <v>0</v>
      </c>
      <c r="E291" s="308" t="b">
        <f t="shared" si="71"/>
        <v>0</v>
      </c>
      <c r="F291" s="324" t="s">
        <v>287</v>
      </c>
      <c r="G291" s="324" t="s">
        <v>110</v>
      </c>
      <c r="H291" s="324" t="s">
        <v>369</v>
      </c>
      <c r="I291" s="324" t="s">
        <v>1518</v>
      </c>
      <c r="J291" s="295">
        <f>_xlfn.XLOOKUP(G291,Rechner!$A$17:$A$25,Rechner!$B$17:$B$25)</f>
        <v>4</v>
      </c>
      <c r="K291" s="295" t="str">
        <f>_xlfn.XLOOKUP(J291-SUMIF($V$31:$AV$31,TRUE,V291:AV291)-IF(D291=TRUE,1,0),Rechner!$B$17:$B$25,Rechner!$A$17:$A$25,"A+")</f>
        <v>C</v>
      </c>
      <c r="L291" s="295" t="str">
        <f>_xlfn.XLOOKUP(S291,Eigenschaften!$C$20:$C$27,Eigenschaften!$B$20:$B$27)</f>
        <v>Klugheit</v>
      </c>
      <c r="M291" s="295">
        <f>_xlfn.XLOOKUP(L291,Eigenschaften!$B$20:$B$27,Eigenschaften!$H$20:$H$27,"NaN",1)</f>
        <v>12</v>
      </c>
      <c r="N291" s="295" t="str">
        <f>_xlfn.XLOOKUP(T291,Eigenschaften!$C$20:$C$27,Eigenschaften!$B$20:$B$27)</f>
        <v>Intuition</v>
      </c>
      <c r="O291" s="295">
        <f>_xlfn.XLOOKUP(N291,Eigenschaften!$B$20:$B$27,Eigenschaften!$H$20:$H$27,"NaN",1)</f>
        <v>15</v>
      </c>
      <c r="P291" s="295" t="str">
        <f>_xlfn.XLOOKUP(U291,Eigenschaften!$C$20:$C$27,Eigenschaften!$B$20:$B$27)</f>
        <v>Gewandheit</v>
      </c>
      <c r="Q291" s="295">
        <f>_xlfn.XLOOKUP(P291,Eigenschaften!$B$20:$B$27,Eigenschaften!$H$20:$H$27,"NaN",1)</f>
        <v>14</v>
      </c>
      <c r="R291" s="244"/>
      <c r="S291" s="244" t="str" cm="1">
        <f t="array" ref="S291:U291">_xlfn.TEXTSPLIT(F291,"/",,,,3)</f>
        <v>KL</v>
      </c>
      <c r="T291" s="244" t="str">
        <v>IN</v>
      </c>
      <c r="U291" s="244" t="str">
        <v>GE</v>
      </c>
      <c r="V291" s="325">
        <f t="shared" si="87"/>
        <v>0</v>
      </c>
      <c r="W291" s="325">
        <f t="shared" si="87"/>
        <v>0</v>
      </c>
      <c r="X291" s="325">
        <f t="shared" si="87"/>
        <v>0</v>
      </c>
      <c r="Y291" s="325">
        <f t="shared" si="87"/>
        <v>0</v>
      </c>
      <c r="Z291" s="325">
        <f t="shared" si="87"/>
        <v>0</v>
      </c>
      <c r="AA291" s="325">
        <f t="shared" si="87"/>
        <v>0</v>
      </c>
      <c r="AB291" s="325">
        <f t="shared" si="87"/>
        <v>0</v>
      </c>
      <c r="AC291" s="325">
        <f t="shared" si="87"/>
        <v>0</v>
      </c>
      <c r="AD291" s="325">
        <f t="shared" si="87"/>
        <v>0</v>
      </c>
      <c r="AE291" s="325">
        <f t="shared" si="87"/>
        <v>0</v>
      </c>
      <c r="AF291" s="325">
        <f t="shared" si="88"/>
        <v>0</v>
      </c>
      <c r="AG291" s="325">
        <f t="shared" si="88"/>
        <v>1</v>
      </c>
      <c r="AH291" s="325">
        <f t="shared" si="88"/>
        <v>0</v>
      </c>
      <c r="AI291" s="325">
        <f t="shared" si="88"/>
        <v>0</v>
      </c>
      <c r="AJ291" s="325">
        <f t="shared" si="88"/>
        <v>0</v>
      </c>
      <c r="AK291" s="325">
        <f t="shared" si="88"/>
        <v>0</v>
      </c>
      <c r="AL291" s="325">
        <f t="shared" si="88"/>
        <v>0</v>
      </c>
      <c r="AM291" s="325">
        <f t="shared" si="88"/>
        <v>0</v>
      </c>
      <c r="AN291" s="325">
        <f t="shared" si="88"/>
        <v>0</v>
      </c>
      <c r="AO291" s="325">
        <f t="shared" si="88"/>
        <v>0</v>
      </c>
      <c r="AP291" s="325">
        <f t="shared" si="89"/>
        <v>0</v>
      </c>
      <c r="AQ291" s="325">
        <f t="shared" si="89"/>
        <v>0</v>
      </c>
      <c r="AR291" s="325">
        <f t="shared" si="89"/>
        <v>0</v>
      </c>
      <c r="AS291" s="325">
        <f t="shared" si="89"/>
        <v>0</v>
      </c>
      <c r="AT291" s="325">
        <f t="shared" si="89"/>
        <v>0</v>
      </c>
      <c r="AU291" s="325">
        <f t="shared" si="89"/>
        <v>0</v>
      </c>
      <c r="AV291" s="325">
        <f t="shared" si="89"/>
        <v>0</v>
      </c>
      <c r="AW291" s="244"/>
      <c r="AX291" s="244"/>
      <c r="AY291" s="244"/>
      <c r="AZ291" s="244"/>
      <c r="BA291" s="244"/>
      <c r="BB291" s="244"/>
    </row>
    <row r="292" spans="1:54" hidden="1">
      <c r="A292" s="326" t="s">
        <v>1519</v>
      </c>
      <c r="B292" s="295" t="str">
        <f t="shared" ref="B292:B317" si="90">L292&amp;": "&amp;M292&amp;" | "&amp;N292&amp;": "&amp;O292&amp;" | "&amp;P292&amp;": "&amp;Q292</f>
        <v>Klugheit: 12 | Charisma: 15 | Fingerfertigkeit: 10</v>
      </c>
      <c r="C292" s="308" t="b">
        <v>0</v>
      </c>
      <c r="D292" s="308" t="b">
        <v>0</v>
      </c>
      <c r="E292" s="308" t="b">
        <f t="shared" ref="E292:E317" si="91">ISNUMBER(FIND($B$1,I292))</f>
        <v>0</v>
      </c>
      <c r="F292" s="324" t="s">
        <v>393</v>
      </c>
      <c r="G292" s="324" t="s">
        <v>125</v>
      </c>
      <c r="H292" s="324" t="s">
        <v>375</v>
      </c>
      <c r="I292" s="324" t="s">
        <v>1520</v>
      </c>
      <c r="J292" s="295">
        <f>_xlfn.XLOOKUP(G292,Rechner!$A$17:$A$25,Rechner!$B$17:$B$25)</f>
        <v>3</v>
      </c>
      <c r="K292" s="295" t="str">
        <f>_xlfn.XLOOKUP(J292-SUMIF($V$31:$AV$31,TRUE,V292:AV292)-IF(D292=TRUE,1,0),Rechner!$B$17:$B$25,Rechner!$A$17:$A$25,"A+")</f>
        <v>B</v>
      </c>
      <c r="L292" s="295" t="str">
        <f>_xlfn.XLOOKUP(S292,Eigenschaften!$C$20:$C$27,Eigenschaften!$B$20:$B$27)</f>
        <v>Klugheit</v>
      </c>
      <c r="M292" s="295">
        <f>_xlfn.XLOOKUP(L292,Eigenschaften!$B$20:$B$27,Eigenschaften!$H$20:$H$27,"NaN",1)</f>
        <v>12</v>
      </c>
      <c r="N292" s="295" t="str">
        <f>_xlfn.XLOOKUP(T292,Eigenschaften!$C$20:$C$27,Eigenschaften!$B$20:$B$27)</f>
        <v>Charisma</v>
      </c>
      <c r="O292" s="295">
        <f>_xlfn.XLOOKUP(N292,Eigenschaften!$B$20:$B$27,Eigenschaften!$H$20:$H$27,"NaN",1)</f>
        <v>15</v>
      </c>
      <c r="P292" s="295" t="str">
        <f>_xlfn.XLOOKUP(U292,Eigenschaften!$C$20:$C$27,Eigenschaften!$B$20:$B$27)</f>
        <v>Fingerfertigkeit</v>
      </c>
      <c r="Q292" s="295">
        <f>_xlfn.XLOOKUP(P292,Eigenschaften!$B$20:$B$27,Eigenschaften!$H$20:$H$27,"NaN",1)</f>
        <v>10</v>
      </c>
      <c r="R292" s="244"/>
      <c r="S292" s="244" t="str" cm="1">
        <f t="array" ref="S292:U292">_xlfn.TEXTSPLIT(F292,"/",,,,3)</f>
        <v>KL</v>
      </c>
      <c r="T292" s="244" t="str">
        <v>CH</v>
      </c>
      <c r="U292" s="244" t="str">
        <v>FF</v>
      </c>
      <c r="V292" s="325">
        <f t="shared" si="87"/>
        <v>0</v>
      </c>
      <c r="W292" s="325">
        <f t="shared" si="87"/>
        <v>0</v>
      </c>
      <c r="X292" s="325">
        <f t="shared" si="87"/>
        <v>0</v>
      </c>
      <c r="Y292" s="325">
        <f t="shared" si="87"/>
        <v>0</v>
      </c>
      <c r="Z292" s="325">
        <f t="shared" si="87"/>
        <v>0</v>
      </c>
      <c r="AA292" s="325">
        <f t="shared" si="87"/>
        <v>0</v>
      </c>
      <c r="AB292" s="325">
        <f t="shared" si="87"/>
        <v>0</v>
      </c>
      <c r="AC292" s="325">
        <f t="shared" si="87"/>
        <v>0</v>
      </c>
      <c r="AD292" s="325">
        <f t="shared" si="87"/>
        <v>0</v>
      </c>
      <c r="AE292" s="325">
        <f t="shared" si="87"/>
        <v>0</v>
      </c>
      <c r="AF292" s="325">
        <f t="shared" si="88"/>
        <v>0</v>
      </c>
      <c r="AG292" s="325">
        <f t="shared" si="88"/>
        <v>0</v>
      </c>
      <c r="AH292" s="325">
        <f t="shared" si="88"/>
        <v>0</v>
      </c>
      <c r="AI292" s="325">
        <f t="shared" si="88"/>
        <v>0</v>
      </c>
      <c r="AJ292" s="325">
        <f t="shared" si="88"/>
        <v>0</v>
      </c>
      <c r="AK292" s="325">
        <f t="shared" si="88"/>
        <v>0</v>
      </c>
      <c r="AL292" s="325">
        <f t="shared" si="88"/>
        <v>0</v>
      </c>
      <c r="AM292" s="325">
        <f t="shared" si="88"/>
        <v>1</v>
      </c>
      <c r="AN292" s="325">
        <f t="shared" si="88"/>
        <v>0</v>
      </c>
      <c r="AO292" s="325">
        <f t="shared" si="88"/>
        <v>0</v>
      </c>
      <c r="AP292" s="325">
        <f t="shared" si="89"/>
        <v>0</v>
      </c>
      <c r="AQ292" s="325">
        <f t="shared" si="89"/>
        <v>0</v>
      </c>
      <c r="AR292" s="325">
        <f t="shared" si="89"/>
        <v>0</v>
      </c>
      <c r="AS292" s="325">
        <f t="shared" si="89"/>
        <v>0</v>
      </c>
      <c r="AT292" s="325">
        <f t="shared" si="89"/>
        <v>0</v>
      </c>
      <c r="AU292" s="325">
        <f t="shared" si="89"/>
        <v>0</v>
      </c>
      <c r="AV292" s="325">
        <f t="shared" si="89"/>
        <v>0</v>
      </c>
      <c r="AW292" s="244"/>
      <c r="AX292" s="244"/>
      <c r="AY292" s="244"/>
      <c r="AZ292" s="244"/>
      <c r="BA292" s="244"/>
      <c r="BB292" s="244"/>
    </row>
    <row r="293" spans="1:54" hidden="1">
      <c r="A293" s="326" t="s">
        <v>1521</v>
      </c>
      <c r="B293" s="295" t="str">
        <f t="shared" si="90"/>
        <v>Mut: 13 | Intuition: 15 | Gewandheit: 14</v>
      </c>
      <c r="C293" s="308" t="b">
        <v>0</v>
      </c>
      <c r="D293" s="308" t="b">
        <v>0</v>
      </c>
      <c r="E293" s="308" t="b">
        <f t="shared" si="91"/>
        <v>0</v>
      </c>
      <c r="F293" s="324" t="s">
        <v>402</v>
      </c>
      <c r="G293" s="324" t="s">
        <v>125</v>
      </c>
      <c r="H293" s="324" t="s">
        <v>375</v>
      </c>
      <c r="I293" s="324" t="s">
        <v>1522</v>
      </c>
      <c r="J293" s="295">
        <f>_xlfn.XLOOKUP(G293,Rechner!$A$17:$A$25,Rechner!$B$17:$B$25)</f>
        <v>3</v>
      </c>
      <c r="K293" s="295" t="str">
        <f>_xlfn.XLOOKUP(J293-SUMIF($V$31:$AV$31,TRUE,V293:AV293)-IF(D293=TRUE,1,0),Rechner!$B$17:$B$25,Rechner!$A$17:$A$25,"A+")</f>
        <v>B</v>
      </c>
      <c r="L293" s="295" t="str">
        <f>_xlfn.XLOOKUP(S293,Eigenschaften!$C$20:$C$27,Eigenschaften!$B$20:$B$27)</f>
        <v>Mut</v>
      </c>
      <c r="M293" s="295">
        <f>_xlfn.XLOOKUP(L293,Eigenschaften!$B$20:$B$27,Eigenschaften!$H$20:$H$27,"NaN",1)</f>
        <v>13</v>
      </c>
      <c r="N293" s="295" t="str">
        <f>_xlfn.XLOOKUP(T293,Eigenschaften!$C$20:$C$27,Eigenschaften!$B$20:$B$27)</f>
        <v>Intuition</v>
      </c>
      <c r="O293" s="295">
        <f>_xlfn.XLOOKUP(N293,Eigenschaften!$B$20:$B$27,Eigenschaften!$H$20:$H$27,"NaN",1)</f>
        <v>15</v>
      </c>
      <c r="P293" s="295" t="str">
        <f>_xlfn.XLOOKUP(U293,Eigenschaften!$C$20:$C$27,Eigenschaften!$B$20:$B$27)</f>
        <v>Gewandheit</v>
      </c>
      <c r="Q293" s="295">
        <f>_xlfn.XLOOKUP(P293,Eigenschaften!$B$20:$B$27,Eigenschaften!$H$20:$H$27,"NaN",1)</f>
        <v>14</v>
      </c>
      <c r="R293" s="244"/>
      <c r="S293" s="244" t="str" cm="1">
        <f t="array" ref="S293:U293">_xlfn.TEXTSPLIT(F293,"/",,,,3)</f>
        <v>MU</v>
      </c>
      <c r="T293" s="244" t="str">
        <v>IN</v>
      </c>
      <c r="U293" s="244" t="str">
        <v>GE</v>
      </c>
      <c r="V293" s="325">
        <f t="shared" si="87"/>
        <v>0</v>
      </c>
      <c r="W293" s="325">
        <f t="shared" si="87"/>
        <v>0</v>
      </c>
      <c r="X293" s="325">
        <f t="shared" si="87"/>
        <v>0</v>
      </c>
      <c r="Y293" s="325">
        <f t="shared" si="87"/>
        <v>0</v>
      </c>
      <c r="Z293" s="325">
        <f t="shared" si="87"/>
        <v>0</v>
      </c>
      <c r="AA293" s="325">
        <f t="shared" si="87"/>
        <v>0</v>
      </c>
      <c r="AB293" s="325">
        <f t="shared" si="87"/>
        <v>0</v>
      </c>
      <c r="AC293" s="325">
        <f t="shared" si="87"/>
        <v>0</v>
      </c>
      <c r="AD293" s="325">
        <f t="shared" si="87"/>
        <v>0</v>
      </c>
      <c r="AE293" s="325">
        <f t="shared" si="87"/>
        <v>0</v>
      </c>
      <c r="AF293" s="325">
        <f t="shared" si="88"/>
        <v>0</v>
      </c>
      <c r="AG293" s="325">
        <f t="shared" si="88"/>
        <v>0</v>
      </c>
      <c r="AH293" s="325">
        <f t="shared" si="88"/>
        <v>0</v>
      </c>
      <c r="AI293" s="325">
        <f t="shared" si="88"/>
        <v>0</v>
      </c>
      <c r="AJ293" s="325">
        <f t="shared" si="88"/>
        <v>0</v>
      </c>
      <c r="AK293" s="325">
        <f t="shared" si="88"/>
        <v>0</v>
      </c>
      <c r="AL293" s="325">
        <f t="shared" si="88"/>
        <v>0</v>
      </c>
      <c r="AM293" s="325">
        <f t="shared" si="88"/>
        <v>1</v>
      </c>
      <c r="AN293" s="325">
        <f t="shared" si="88"/>
        <v>0</v>
      </c>
      <c r="AO293" s="325">
        <f t="shared" si="88"/>
        <v>0</v>
      </c>
      <c r="AP293" s="325">
        <f t="shared" si="89"/>
        <v>0</v>
      </c>
      <c r="AQ293" s="325">
        <f t="shared" si="89"/>
        <v>0</v>
      </c>
      <c r="AR293" s="325">
        <f t="shared" si="89"/>
        <v>0</v>
      </c>
      <c r="AS293" s="325">
        <f t="shared" si="89"/>
        <v>0</v>
      </c>
      <c r="AT293" s="325">
        <f t="shared" si="89"/>
        <v>0</v>
      </c>
      <c r="AU293" s="325">
        <f t="shared" si="89"/>
        <v>0</v>
      </c>
      <c r="AV293" s="325">
        <f t="shared" si="89"/>
        <v>0</v>
      </c>
      <c r="AW293" s="244"/>
      <c r="AX293" s="244"/>
      <c r="AY293" s="244"/>
      <c r="AZ293" s="244"/>
      <c r="BA293" s="244"/>
      <c r="BB293" s="244"/>
    </row>
    <row r="294" spans="1:54" hidden="1">
      <c r="A294" s="326" t="s">
        <v>1523</v>
      </c>
      <c r="B294" s="295" t="str">
        <f t="shared" si="90"/>
        <v>Mut: 13 | Klugheit: 12 | Charisma: 15</v>
      </c>
      <c r="C294" s="308" t="b">
        <v>0</v>
      </c>
      <c r="D294" s="308" t="b">
        <v>0</v>
      </c>
      <c r="E294" s="308" t="b">
        <f t="shared" si="91"/>
        <v>0</v>
      </c>
      <c r="F294" s="324" t="s">
        <v>567</v>
      </c>
      <c r="G294" s="324" t="s">
        <v>113</v>
      </c>
      <c r="H294" s="324" t="s">
        <v>1480</v>
      </c>
      <c r="I294" s="324" t="s">
        <v>1524</v>
      </c>
      <c r="J294" s="295">
        <f>_xlfn.XLOOKUP(G294,Rechner!$A$17:$A$25,Rechner!$B$17:$B$25)</f>
        <v>5</v>
      </c>
      <c r="K294" s="295" t="str">
        <f>_xlfn.XLOOKUP(J294-SUMIF($V$31:$AV$31,TRUE,V294:AV294)-IF(D294=TRUE,1,0),Rechner!$B$17:$B$25,Rechner!$A$17:$A$25,"A+")</f>
        <v>D</v>
      </c>
      <c r="L294" s="295" t="str">
        <f>_xlfn.XLOOKUP(S294,Eigenschaften!$C$20:$C$27,Eigenschaften!$B$20:$B$27)</f>
        <v>Mut</v>
      </c>
      <c r="M294" s="295">
        <f>_xlfn.XLOOKUP(L294,Eigenschaften!$B$20:$B$27,Eigenschaften!$H$20:$H$27,"NaN",1)</f>
        <v>13</v>
      </c>
      <c r="N294" s="295" t="str">
        <f>_xlfn.XLOOKUP(T294,Eigenschaften!$C$20:$C$27,Eigenschaften!$B$20:$B$27)</f>
        <v>Klugheit</v>
      </c>
      <c r="O294" s="295">
        <f>_xlfn.XLOOKUP(N294,Eigenschaften!$B$20:$B$27,Eigenschaften!$H$20:$H$27,"NaN",1)</f>
        <v>12</v>
      </c>
      <c r="P294" s="295" t="str">
        <f>_xlfn.XLOOKUP(U294,Eigenschaften!$C$20:$C$27,Eigenschaften!$B$20:$B$27)</f>
        <v>Charisma</v>
      </c>
      <c r="Q294" s="295">
        <f>_xlfn.XLOOKUP(P294,Eigenschaften!$B$20:$B$27,Eigenschaften!$H$20:$H$27,"NaN",1)</f>
        <v>15</v>
      </c>
      <c r="R294" s="244"/>
      <c r="S294" s="244" t="str" cm="1">
        <f t="array" ref="S294:U294">_xlfn.TEXTSPLIT(F294,"/",,,,3)</f>
        <v>MU</v>
      </c>
      <c r="T294" s="244" t="str">
        <v>KL</v>
      </c>
      <c r="U294" s="244" t="str">
        <v>CH</v>
      </c>
      <c r="V294" s="325">
        <f t="shared" si="87"/>
        <v>0</v>
      </c>
      <c r="W294" s="325">
        <f t="shared" si="87"/>
        <v>0</v>
      </c>
      <c r="X294" s="325">
        <f t="shared" si="87"/>
        <v>0</v>
      </c>
      <c r="Y294" s="325">
        <f t="shared" si="87"/>
        <v>1</v>
      </c>
      <c r="Z294" s="325">
        <f t="shared" si="87"/>
        <v>1</v>
      </c>
      <c r="AA294" s="325">
        <f t="shared" si="87"/>
        <v>0</v>
      </c>
      <c r="AB294" s="325">
        <f t="shared" si="87"/>
        <v>0</v>
      </c>
      <c r="AC294" s="325">
        <f t="shared" si="87"/>
        <v>0</v>
      </c>
      <c r="AD294" s="325">
        <f t="shared" si="87"/>
        <v>0</v>
      </c>
      <c r="AE294" s="325">
        <f t="shared" si="87"/>
        <v>0</v>
      </c>
      <c r="AF294" s="325">
        <f t="shared" si="88"/>
        <v>0</v>
      </c>
      <c r="AG294" s="325">
        <f t="shared" si="88"/>
        <v>0</v>
      </c>
      <c r="AH294" s="325">
        <f t="shared" si="88"/>
        <v>0</v>
      </c>
      <c r="AI294" s="325">
        <f t="shared" si="88"/>
        <v>0</v>
      </c>
      <c r="AJ294" s="325">
        <f t="shared" si="88"/>
        <v>0</v>
      </c>
      <c r="AK294" s="325">
        <f t="shared" si="88"/>
        <v>0</v>
      </c>
      <c r="AL294" s="325">
        <f t="shared" si="88"/>
        <v>0</v>
      </c>
      <c r="AM294" s="325">
        <f t="shared" si="88"/>
        <v>0</v>
      </c>
      <c r="AN294" s="325">
        <f t="shared" si="88"/>
        <v>0</v>
      </c>
      <c r="AO294" s="325">
        <f t="shared" si="88"/>
        <v>0</v>
      </c>
      <c r="AP294" s="325">
        <f t="shared" si="89"/>
        <v>0</v>
      </c>
      <c r="AQ294" s="325">
        <f t="shared" si="89"/>
        <v>0</v>
      </c>
      <c r="AR294" s="325">
        <f t="shared" si="89"/>
        <v>0</v>
      </c>
      <c r="AS294" s="325">
        <f t="shared" si="89"/>
        <v>0</v>
      </c>
      <c r="AT294" s="325">
        <f t="shared" si="89"/>
        <v>0</v>
      </c>
      <c r="AU294" s="325">
        <f t="shared" si="89"/>
        <v>0</v>
      </c>
      <c r="AV294" s="325">
        <f t="shared" si="89"/>
        <v>0</v>
      </c>
      <c r="AW294" s="244"/>
      <c r="AX294" s="244"/>
      <c r="AY294" s="244"/>
      <c r="AZ294" s="244"/>
      <c r="BA294" s="244"/>
      <c r="BB294" s="244"/>
    </row>
    <row r="295" spans="1:54" hidden="1">
      <c r="A295" s="326" t="s">
        <v>1525</v>
      </c>
      <c r="B295" s="295" t="str">
        <f t="shared" si="90"/>
        <v>Mut: 13 | Klugheit: 12 | Charisma: 15</v>
      </c>
      <c r="C295" s="308" t="b">
        <v>0</v>
      </c>
      <c r="D295" s="308" t="b">
        <v>0</v>
      </c>
      <c r="E295" s="308" t="b">
        <f t="shared" si="91"/>
        <v>0</v>
      </c>
      <c r="F295" s="324" t="s">
        <v>567</v>
      </c>
      <c r="G295" s="324" t="s">
        <v>113</v>
      </c>
      <c r="H295" s="324" t="s">
        <v>1526</v>
      </c>
      <c r="I295" s="324" t="s">
        <v>1527</v>
      </c>
      <c r="J295" s="295">
        <f>_xlfn.XLOOKUP(G295,Rechner!$A$17:$A$25,Rechner!$B$17:$B$25)</f>
        <v>5</v>
      </c>
      <c r="K295" s="295" t="str">
        <f>_xlfn.XLOOKUP(J295-SUMIF($V$31:$AV$31,TRUE,V295:AV295)-IF(D295=TRUE,1,0),Rechner!$B$17:$B$25,Rechner!$A$17:$A$25,"A+")</f>
        <v>D</v>
      </c>
      <c r="L295" s="295" t="str">
        <f>_xlfn.XLOOKUP(S295,Eigenschaften!$C$20:$C$27,Eigenschaften!$B$20:$B$27)</f>
        <v>Mut</v>
      </c>
      <c r="M295" s="295">
        <f>_xlfn.XLOOKUP(L295,Eigenschaften!$B$20:$B$27,Eigenschaften!$H$20:$H$27,"NaN",1)</f>
        <v>13</v>
      </c>
      <c r="N295" s="295" t="str">
        <f>_xlfn.XLOOKUP(T295,Eigenschaften!$C$20:$C$27,Eigenschaften!$B$20:$B$27)</f>
        <v>Klugheit</v>
      </c>
      <c r="O295" s="295">
        <f>_xlfn.XLOOKUP(N295,Eigenschaften!$B$20:$B$27,Eigenschaften!$H$20:$H$27,"NaN",1)</f>
        <v>12</v>
      </c>
      <c r="P295" s="295" t="str">
        <f>_xlfn.XLOOKUP(U295,Eigenschaften!$C$20:$C$27,Eigenschaften!$B$20:$B$27)</f>
        <v>Charisma</v>
      </c>
      <c r="Q295" s="295">
        <f>_xlfn.XLOOKUP(P295,Eigenschaften!$B$20:$B$27,Eigenschaften!$H$20:$H$27,"NaN",1)</f>
        <v>15</v>
      </c>
      <c r="R295" s="244"/>
      <c r="S295" s="244" t="str" cm="1">
        <f t="array" ref="S295:U295">_xlfn.TEXTSPLIT(F295,"/",,,,3)</f>
        <v>MU</v>
      </c>
      <c r="T295" s="244" t="str">
        <v>KL</v>
      </c>
      <c r="U295" s="244" t="str">
        <v>CH</v>
      </c>
      <c r="V295" s="325">
        <f t="shared" si="87"/>
        <v>0</v>
      </c>
      <c r="W295" s="325">
        <f t="shared" si="87"/>
        <v>0</v>
      </c>
      <c r="X295" s="325">
        <f t="shared" si="87"/>
        <v>0</v>
      </c>
      <c r="Y295" s="325">
        <f t="shared" si="87"/>
        <v>1</v>
      </c>
      <c r="Z295" s="325">
        <f t="shared" si="87"/>
        <v>0</v>
      </c>
      <c r="AA295" s="325">
        <f t="shared" si="87"/>
        <v>1</v>
      </c>
      <c r="AB295" s="325">
        <f t="shared" si="87"/>
        <v>0</v>
      </c>
      <c r="AC295" s="325">
        <f t="shared" si="87"/>
        <v>0</v>
      </c>
      <c r="AD295" s="325">
        <f t="shared" si="87"/>
        <v>0</v>
      </c>
      <c r="AE295" s="325">
        <f t="shared" si="87"/>
        <v>0</v>
      </c>
      <c r="AF295" s="325">
        <f t="shared" si="88"/>
        <v>0</v>
      </c>
      <c r="AG295" s="325">
        <f t="shared" si="88"/>
        <v>0</v>
      </c>
      <c r="AH295" s="325">
        <f t="shared" si="88"/>
        <v>0</v>
      </c>
      <c r="AI295" s="325">
        <f t="shared" si="88"/>
        <v>0</v>
      </c>
      <c r="AJ295" s="325">
        <f t="shared" si="88"/>
        <v>0</v>
      </c>
      <c r="AK295" s="325">
        <f t="shared" si="88"/>
        <v>0</v>
      </c>
      <c r="AL295" s="325">
        <f t="shared" si="88"/>
        <v>0</v>
      </c>
      <c r="AM295" s="325">
        <f t="shared" si="88"/>
        <v>0</v>
      </c>
      <c r="AN295" s="325">
        <f t="shared" si="88"/>
        <v>0</v>
      </c>
      <c r="AO295" s="325">
        <f t="shared" si="88"/>
        <v>0</v>
      </c>
      <c r="AP295" s="325">
        <f t="shared" si="89"/>
        <v>0</v>
      </c>
      <c r="AQ295" s="325">
        <f t="shared" si="89"/>
        <v>0</v>
      </c>
      <c r="AR295" s="325">
        <f t="shared" si="89"/>
        <v>0</v>
      </c>
      <c r="AS295" s="325">
        <f t="shared" si="89"/>
        <v>0</v>
      </c>
      <c r="AT295" s="325">
        <f t="shared" si="89"/>
        <v>0</v>
      </c>
      <c r="AU295" s="325">
        <f t="shared" si="89"/>
        <v>0</v>
      </c>
      <c r="AV295" s="325">
        <f t="shared" si="89"/>
        <v>0</v>
      </c>
      <c r="AW295" s="244"/>
      <c r="AX295" s="244"/>
      <c r="AY295" s="244"/>
      <c r="AZ295" s="244"/>
      <c r="BA295" s="244"/>
      <c r="BB295" s="244"/>
    </row>
    <row r="296" spans="1:54" hidden="1">
      <c r="A296" s="326" t="s">
        <v>1528</v>
      </c>
      <c r="B296" s="295" t="str">
        <f t="shared" si="90"/>
        <v>Mut: 13 | Klugheit: 12 | Charisma: 15</v>
      </c>
      <c r="C296" s="308" t="b">
        <v>0</v>
      </c>
      <c r="D296" s="308" t="b">
        <v>0</v>
      </c>
      <c r="E296" s="308" t="b">
        <f t="shared" si="91"/>
        <v>0</v>
      </c>
      <c r="F296" s="324" t="s">
        <v>567</v>
      </c>
      <c r="G296" s="324" t="s">
        <v>113</v>
      </c>
      <c r="H296" s="324" t="s">
        <v>1474</v>
      </c>
      <c r="I296" s="324" t="s">
        <v>1524</v>
      </c>
      <c r="J296" s="295">
        <f>_xlfn.XLOOKUP(G296,Rechner!$A$17:$A$25,Rechner!$B$17:$B$25)</f>
        <v>5</v>
      </c>
      <c r="K296" s="295" t="str">
        <f>_xlfn.XLOOKUP(J296-SUMIF($V$31:$AV$31,TRUE,V296:AV296)-IF(D296=TRUE,1,0),Rechner!$B$17:$B$25,Rechner!$A$17:$A$25,"A+")</f>
        <v>D</v>
      </c>
      <c r="L296" s="295" t="str">
        <f>_xlfn.XLOOKUP(S296,Eigenschaften!$C$20:$C$27,Eigenschaften!$B$20:$B$27)</f>
        <v>Mut</v>
      </c>
      <c r="M296" s="295">
        <f>_xlfn.XLOOKUP(L296,Eigenschaften!$B$20:$B$27,Eigenschaften!$H$20:$H$27,"NaN",1)</f>
        <v>13</v>
      </c>
      <c r="N296" s="295" t="str">
        <f>_xlfn.XLOOKUP(T296,Eigenschaften!$C$20:$C$27,Eigenschaften!$B$20:$B$27)</f>
        <v>Klugheit</v>
      </c>
      <c r="O296" s="295">
        <f>_xlfn.XLOOKUP(N296,Eigenschaften!$B$20:$B$27,Eigenschaften!$H$20:$H$27,"NaN",1)</f>
        <v>12</v>
      </c>
      <c r="P296" s="295" t="str">
        <f>_xlfn.XLOOKUP(U296,Eigenschaften!$C$20:$C$27,Eigenschaften!$B$20:$B$27)</f>
        <v>Charisma</v>
      </c>
      <c r="Q296" s="295">
        <f>_xlfn.XLOOKUP(P296,Eigenschaften!$B$20:$B$27,Eigenschaften!$H$20:$H$27,"NaN",1)</f>
        <v>15</v>
      </c>
      <c r="R296" s="244"/>
      <c r="S296" s="244" t="str" cm="1">
        <f t="array" ref="S296:U296">_xlfn.TEXTSPLIT(F296,"/",,,,3)</f>
        <v>MU</v>
      </c>
      <c r="T296" s="244" t="str">
        <v>KL</v>
      </c>
      <c r="U296" s="244" t="str">
        <v>CH</v>
      </c>
      <c r="V296" s="325">
        <f t="shared" ref="V296:AE305" si="92">IF(ISNUMBER(SEARCH(V$32,$H296)),1,0)</f>
        <v>0</v>
      </c>
      <c r="W296" s="325">
        <f t="shared" si="92"/>
        <v>0</v>
      </c>
      <c r="X296" s="325">
        <f t="shared" si="92"/>
        <v>0</v>
      </c>
      <c r="Y296" s="325">
        <f t="shared" si="92"/>
        <v>1</v>
      </c>
      <c r="Z296" s="325">
        <f t="shared" si="92"/>
        <v>0</v>
      </c>
      <c r="AA296" s="325">
        <f t="shared" si="92"/>
        <v>0</v>
      </c>
      <c r="AB296" s="325">
        <f t="shared" si="92"/>
        <v>1</v>
      </c>
      <c r="AC296" s="325">
        <f t="shared" si="92"/>
        <v>0</v>
      </c>
      <c r="AD296" s="325">
        <f t="shared" si="92"/>
        <v>0</v>
      </c>
      <c r="AE296" s="325">
        <f t="shared" si="92"/>
        <v>0</v>
      </c>
      <c r="AF296" s="325">
        <f t="shared" ref="AF296:AO305" si="93">IF(ISNUMBER(SEARCH(AF$32,$H296)),1,0)</f>
        <v>0</v>
      </c>
      <c r="AG296" s="325">
        <f t="shared" si="93"/>
        <v>0</v>
      </c>
      <c r="AH296" s="325">
        <f t="shared" si="93"/>
        <v>0</v>
      </c>
      <c r="AI296" s="325">
        <f t="shared" si="93"/>
        <v>0</v>
      </c>
      <c r="AJ296" s="325">
        <f t="shared" si="93"/>
        <v>0</v>
      </c>
      <c r="AK296" s="325">
        <f t="shared" si="93"/>
        <v>0</v>
      </c>
      <c r="AL296" s="325">
        <f t="shared" si="93"/>
        <v>0</v>
      </c>
      <c r="AM296" s="325">
        <f t="shared" si="93"/>
        <v>0</v>
      </c>
      <c r="AN296" s="325">
        <f t="shared" si="93"/>
        <v>0</v>
      </c>
      <c r="AO296" s="325">
        <f t="shared" si="93"/>
        <v>0</v>
      </c>
      <c r="AP296" s="325">
        <f t="shared" ref="AP296:AV305" si="94">IF(ISNUMBER(SEARCH(AP$32,$H296)),1,0)</f>
        <v>0</v>
      </c>
      <c r="AQ296" s="325">
        <f t="shared" si="94"/>
        <v>0</v>
      </c>
      <c r="AR296" s="325">
        <f t="shared" si="94"/>
        <v>0</v>
      </c>
      <c r="AS296" s="325">
        <f t="shared" si="94"/>
        <v>0</v>
      </c>
      <c r="AT296" s="325">
        <f t="shared" si="94"/>
        <v>0</v>
      </c>
      <c r="AU296" s="325">
        <f t="shared" si="94"/>
        <v>0</v>
      </c>
      <c r="AV296" s="325">
        <f t="shared" si="94"/>
        <v>0</v>
      </c>
      <c r="AW296" s="244"/>
      <c r="AX296" s="244"/>
      <c r="AY296" s="244"/>
      <c r="AZ296" s="244"/>
      <c r="BA296" s="244"/>
      <c r="BB296" s="244"/>
    </row>
    <row r="297" spans="1:54" hidden="1">
      <c r="A297" s="326" t="s">
        <v>1529</v>
      </c>
      <c r="B297" s="295" t="str">
        <f t="shared" si="90"/>
        <v>Mut: 13 | Klugheit: 12 | Charisma: 15</v>
      </c>
      <c r="C297" s="308" t="b">
        <v>0</v>
      </c>
      <c r="D297" s="308" t="b">
        <v>0</v>
      </c>
      <c r="E297" s="308" t="b">
        <f t="shared" si="91"/>
        <v>0</v>
      </c>
      <c r="F297" s="324" t="s">
        <v>567</v>
      </c>
      <c r="G297" s="324" t="s">
        <v>113</v>
      </c>
      <c r="H297" s="324" t="s">
        <v>1530</v>
      </c>
      <c r="I297" s="324" t="s">
        <v>1524</v>
      </c>
      <c r="J297" s="295">
        <f>_xlfn.XLOOKUP(G297,Rechner!$A$17:$A$25,Rechner!$B$17:$B$25)</f>
        <v>5</v>
      </c>
      <c r="K297" s="295" t="str">
        <f>_xlfn.XLOOKUP(J297-SUMIF($V$31:$AV$31,TRUE,V297:AV297)-IF(D297=TRUE,1,0),Rechner!$B$17:$B$25,Rechner!$A$17:$A$25,"A+")</f>
        <v>D</v>
      </c>
      <c r="L297" s="295" t="str">
        <f>_xlfn.XLOOKUP(S297,Eigenschaften!$C$20:$C$27,Eigenschaften!$B$20:$B$27)</f>
        <v>Mut</v>
      </c>
      <c r="M297" s="295">
        <f>_xlfn.XLOOKUP(L297,Eigenschaften!$B$20:$B$27,Eigenschaften!$H$20:$H$27,"NaN",1)</f>
        <v>13</v>
      </c>
      <c r="N297" s="295" t="str">
        <f>_xlfn.XLOOKUP(T297,Eigenschaften!$C$20:$C$27,Eigenschaften!$B$20:$B$27)</f>
        <v>Klugheit</v>
      </c>
      <c r="O297" s="295">
        <f>_xlfn.XLOOKUP(N297,Eigenschaften!$B$20:$B$27,Eigenschaften!$H$20:$H$27,"NaN",1)</f>
        <v>12</v>
      </c>
      <c r="P297" s="295" t="str">
        <f>_xlfn.XLOOKUP(U297,Eigenschaften!$C$20:$C$27,Eigenschaften!$B$20:$B$27)</f>
        <v>Charisma</v>
      </c>
      <c r="Q297" s="295">
        <f>_xlfn.XLOOKUP(P297,Eigenschaften!$B$20:$B$27,Eigenschaften!$H$20:$H$27,"NaN",1)</f>
        <v>15</v>
      </c>
      <c r="R297" s="244"/>
      <c r="S297" s="244" t="str" cm="1">
        <f t="array" ref="S297:U297">_xlfn.TEXTSPLIT(F297,"/",,,,3)</f>
        <v>MU</v>
      </c>
      <c r="T297" s="244" t="str">
        <v>KL</v>
      </c>
      <c r="U297" s="244" t="str">
        <v>CH</v>
      </c>
      <c r="V297" s="325">
        <f t="shared" si="92"/>
        <v>0</v>
      </c>
      <c r="W297" s="325">
        <f t="shared" si="92"/>
        <v>0</v>
      </c>
      <c r="X297" s="325">
        <f t="shared" si="92"/>
        <v>0</v>
      </c>
      <c r="Y297" s="325">
        <f t="shared" si="92"/>
        <v>1</v>
      </c>
      <c r="Z297" s="325">
        <f t="shared" si="92"/>
        <v>0</v>
      </c>
      <c r="AA297" s="325">
        <f t="shared" si="92"/>
        <v>0</v>
      </c>
      <c r="AB297" s="325">
        <f t="shared" si="92"/>
        <v>0</v>
      </c>
      <c r="AC297" s="325">
        <f t="shared" si="92"/>
        <v>0</v>
      </c>
      <c r="AD297" s="325">
        <f t="shared" si="92"/>
        <v>1</v>
      </c>
      <c r="AE297" s="325">
        <f t="shared" si="92"/>
        <v>0</v>
      </c>
      <c r="AF297" s="325">
        <f t="shared" si="93"/>
        <v>0</v>
      </c>
      <c r="AG297" s="325">
        <f t="shared" si="93"/>
        <v>0</v>
      </c>
      <c r="AH297" s="325">
        <f t="shared" si="93"/>
        <v>0</v>
      </c>
      <c r="AI297" s="325">
        <f t="shared" si="93"/>
        <v>0</v>
      </c>
      <c r="AJ297" s="325">
        <f t="shared" si="93"/>
        <v>0</v>
      </c>
      <c r="AK297" s="325">
        <f t="shared" si="93"/>
        <v>0</v>
      </c>
      <c r="AL297" s="325">
        <f t="shared" si="93"/>
        <v>0</v>
      </c>
      <c r="AM297" s="325">
        <f t="shared" si="93"/>
        <v>0</v>
      </c>
      <c r="AN297" s="325">
        <f t="shared" si="93"/>
        <v>0</v>
      </c>
      <c r="AO297" s="325">
        <f t="shared" si="93"/>
        <v>0</v>
      </c>
      <c r="AP297" s="325">
        <f t="shared" si="94"/>
        <v>0</v>
      </c>
      <c r="AQ297" s="325">
        <f t="shared" si="94"/>
        <v>0</v>
      </c>
      <c r="AR297" s="325">
        <f t="shared" si="94"/>
        <v>0</v>
      </c>
      <c r="AS297" s="325">
        <f t="shared" si="94"/>
        <v>0</v>
      </c>
      <c r="AT297" s="325">
        <f t="shared" si="94"/>
        <v>0</v>
      </c>
      <c r="AU297" s="325">
        <f t="shared" si="94"/>
        <v>0</v>
      </c>
      <c r="AV297" s="325">
        <f t="shared" si="94"/>
        <v>0</v>
      </c>
      <c r="AW297" s="244"/>
      <c r="AX297" s="244"/>
      <c r="AY297" s="244"/>
      <c r="AZ297" s="244"/>
      <c r="BA297" s="244"/>
      <c r="BB297" s="244"/>
    </row>
    <row r="298" spans="1:54" hidden="1">
      <c r="A298" s="326" t="s">
        <v>1531</v>
      </c>
      <c r="B298" s="295" t="str">
        <f t="shared" si="90"/>
        <v>Mut: 13 | Klugheit: 12 | Charisma: 15</v>
      </c>
      <c r="C298" s="308" t="b">
        <v>0</v>
      </c>
      <c r="D298" s="308" t="b">
        <v>0</v>
      </c>
      <c r="E298" s="308" t="b">
        <f t="shared" si="91"/>
        <v>0</v>
      </c>
      <c r="F298" s="324" t="s">
        <v>567</v>
      </c>
      <c r="G298" s="324" t="s">
        <v>113</v>
      </c>
      <c r="H298" s="324" t="s">
        <v>1532</v>
      </c>
      <c r="I298" s="324" t="s">
        <v>1524</v>
      </c>
      <c r="J298" s="295">
        <f>_xlfn.XLOOKUP(G298,Rechner!$A$17:$A$25,Rechner!$B$17:$B$25)</f>
        <v>5</v>
      </c>
      <c r="K298" s="295" t="str">
        <f>_xlfn.XLOOKUP(J298-SUMIF($V$31:$AV$31,TRUE,V298:AV298)-IF(D298=TRUE,1,0),Rechner!$B$17:$B$25,Rechner!$A$17:$A$25,"A+")</f>
        <v>D</v>
      </c>
      <c r="L298" s="295" t="str">
        <f>_xlfn.XLOOKUP(S298,Eigenschaften!$C$20:$C$27,Eigenschaften!$B$20:$B$27)</f>
        <v>Mut</v>
      </c>
      <c r="M298" s="295">
        <f>_xlfn.XLOOKUP(L298,Eigenschaften!$B$20:$B$27,Eigenschaften!$H$20:$H$27,"NaN",1)</f>
        <v>13</v>
      </c>
      <c r="N298" s="295" t="str">
        <f>_xlfn.XLOOKUP(T298,Eigenschaften!$C$20:$C$27,Eigenschaften!$B$20:$B$27)</f>
        <v>Klugheit</v>
      </c>
      <c r="O298" s="295">
        <f>_xlfn.XLOOKUP(N298,Eigenschaften!$B$20:$B$27,Eigenschaften!$H$20:$H$27,"NaN",1)</f>
        <v>12</v>
      </c>
      <c r="P298" s="295" t="str">
        <f>_xlfn.XLOOKUP(U298,Eigenschaften!$C$20:$C$27,Eigenschaften!$B$20:$B$27)</f>
        <v>Charisma</v>
      </c>
      <c r="Q298" s="295">
        <f>_xlfn.XLOOKUP(P298,Eigenschaften!$B$20:$B$27,Eigenschaften!$H$20:$H$27,"NaN",1)</f>
        <v>15</v>
      </c>
      <c r="R298" s="244"/>
      <c r="S298" s="244" t="str" cm="1">
        <f t="array" ref="S298:U298">_xlfn.TEXTSPLIT(F298,"/",,,,3)</f>
        <v>MU</v>
      </c>
      <c r="T298" s="244" t="str">
        <v>KL</v>
      </c>
      <c r="U298" s="244" t="str">
        <v>CH</v>
      </c>
      <c r="V298" s="325">
        <f t="shared" si="92"/>
        <v>0</v>
      </c>
      <c r="W298" s="325">
        <f t="shared" si="92"/>
        <v>0</v>
      </c>
      <c r="X298" s="325">
        <f t="shared" si="92"/>
        <v>0</v>
      </c>
      <c r="Y298" s="325">
        <f t="shared" si="92"/>
        <v>1</v>
      </c>
      <c r="Z298" s="325">
        <f t="shared" si="92"/>
        <v>0</v>
      </c>
      <c r="AA298" s="325">
        <f t="shared" si="92"/>
        <v>0</v>
      </c>
      <c r="AB298" s="325">
        <f t="shared" si="92"/>
        <v>0</v>
      </c>
      <c r="AC298" s="325">
        <f t="shared" si="92"/>
        <v>0</v>
      </c>
      <c r="AD298" s="325">
        <f t="shared" si="92"/>
        <v>0</v>
      </c>
      <c r="AE298" s="325">
        <f t="shared" si="92"/>
        <v>1</v>
      </c>
      <c r="AF298" s="325">
        <f t="shared" si="93"/>
        <v>0</v>
      </c>
      <c r="AG298" s="325">
        <f t="shared" si="93"/>
        <v>0</v>
      </c>
      <c r="AH298" s="325">
        <f t="shared" si="93"/>
        <v>0</v>
      </c>
      <c r="AI298" s="325">
        <f t="shared" si="93"/>
        <v>0</v>
      </c>
      <c r="AJ298" s="325">
        <f t="shared" si="93"/>
        <v>0</v>
      </c>
      <c r="AK298" s="325">
        <f t="shared" si="93"/>
        <v>0</v>
      </c>
      <c r="AL298" s="325">
        <f t="shared" si="93"/>
        <v>0</v>
      </c>
      <c r="AM298" s="325">
        <f t="shared" si="93"/>
        <v>0</v>
      </c>
      <c r="AN298" s="325">
        <f t="shared" si="93"/>
        <v>0</v>
      </c>
      <c r="AO298" s="325">
        <f t="shared" si="93"/>
        <v>0</v>
      </c>
      <c r="AP298" s="325">
        <f t="shared" si="94"/>
        <v>0</v>
      </c>
      <c r="AQ298" s="325">
        <f t="shared" si="94"/>
        <v>0</v>
      </c>
      <c r="AR298" s="325">
        <f t="shared" si="94"/>
        <v>0</v>
      </c>
      <c r="AS298" s="325">
        <f t="shared" si="94"/>
        <v>0</v>
      </c>
      <c r="AT298" s="325">
        <f t="shared" si="94"/>
        <v>0</v>
      </c>
      <c r="AU298" s="325">
        <f t="shared" si="94"/>
        <v>0</v>
      </c>
      <c r="AV298" s="325">
        <f t="shared" si="94"/>
        <v>0</v>
      </c>
      <c r="AW298" s="244"/>
      <c r="AX298" s="244"/>
      <c r="AY298" s="244"/>
      <c r="AZ298" s="244"/>
      <c r="BA298" s="244"/>
      <c r="BB298" s="244"/>
    </row>
    <row r="299" spans="1:54" hidden="1">
      <c r="A299" s="326" t="s">
        <v>1533</v>
      </c>
      <c r="B299" s="295" t="str">
        <f t="shared" si="90"/>
        <v>Mut: 13 | Intuition: 15 | Intuition: 15</v>
      </c>
      <c r="C299" s="308" t="b">
        <v>0</v>
      </c>
      <c r="D299" s="308" t="b">
        <v>0</v>
      </c>
      <c r="E299" s="308" t="b">
        <f t="shared" si="91"/>
        <v>0</v>
      </c>
      <c r="F299" s="324" t="s">
        <v>1534</v>
      </c>
      <c r="G299" s="324" t="s">
        <v>125</v>
      </c>
      <c r="H299" s="324" t="s">
        <v>1535</v>
      </c>
      <c r="I299" s="324" t="s">
        <v>1536</v>
      </c>
      <c r="J299" s="295">
        <f>_xlfn.XLOOKUP(G299,Rechner!$A$17:$A$25,Rechner!$B$17:$B$25)</f>
        <v>3</v>
      </c>
      <c r="K299" s="295" t="str">
        <f>_xlfn.XLOOKUP(J299-SUMIF($V$31:$AV$31,TRUE,V299:AV299)-IF(D299=TRUE,1,0),Rechner!$B$17:$B$25,Rechner!$A$17:$A$25,"A+")</f>
        <v>A</v>
      </c>
      <c r="L299" s="295" t="str">
        <f>_xlfn.XLOOKUP(S299,Eigenschaften!$C$20:$C$27,Eigenschaften!$B$20:$B$27)</f>
        <v>Mut</v>
      </c>
      <c r="M299" s="295">
        <f>_xlfn.XLOOKUP(L299,Eigenschaften!$B$20:$B$27,Eigenschaften!$H$20:$H$27,"NaN",1)</f>
        <v>13</v>
      </c>
      <c r="N299" s="295" t="str">
        <f>_xlfn.XLOOKUP(T299,Eigenschaften!$C$20:$C$27,Eigenschaften!$B$20:$B$27)</f>
        <v>Intuition</v>
      </c>
      <c r="O299" s="295">
        <f>_xlfn.XLOOKUP(N299,Eigenschaften!$B$20:$B$27,Eigenschaften!$H$20:$H$27,"NaN",1)</f>
        <v>15</v>
      </c>
      <c r="P299" s="295" t="str">
        <f>_xlfn.XLOOKUP(U299,Eigenschaften!$C$20:$C$27,Eigenschaften!$B$20:$B$27)</f>
        <v>Intuition</v>
      </c>
      <c r="Q299" s="295">
        <f>_xlfn.XLOOKUP(P299,Eigenschaften!$B$20:$B$27,Eigenschaften!$H$20:$H$27,"NaN",1)</f>
        <v>15</v>
      </c>
      <c r="R299" s="244"/>
      <c r="S299" s="244" t="str" cm="1">
        <f t="array" ref="S299:U299">_xlfn.TEXTSPLIT(F299,"/",,,,3)</f>
        <v>MU</v>
      </c>
      <c r="T299" s="244" t="str">
        <v>IN</v>
      </c>
      <c r="U299" s="244" t="str">
        <v>IN</v>
      </c>
      <c r="V299" s="325">
        <f t="shared" si="92"/>
        <v>0</v>
      </c>
      <c r="W299" s="325">
        <f t="shared" si="92"/>
        <v>0</v>
      </c>
      <c r="X299" s="325">
        <f t="shared" si="92"/>
        <v>1</v>
      </c>
      <c r="Y299" s="325">
        <f t="shared" si="92"/>
        <v>1</v>
      </c>
      <c r="Z299" s="325">
        <f t="shared" si="92"/>
        <v>0</v>
      </c>
      <c r="AA299" s="325">
        <f t="shared" si="92"/>
        <v>1</v>
      </c>
      <c r="AB299" s="325">
        <f t="shared" si="92"/>
        <v>0</v>
      </c>
      <c r="AC299" s="325">
        <f t="shared" si="92"/>
        <v>0</v>
      </c>
      <c r="AD299" s="325">
        <f t="shared" si="92"/>
        <v>0</v>
      </c>
      <c r="AE299" s="325">
        <f t="shared" si="92"/>
        <v>0</v>
      </c>
      <c r="AF299" s="325">
        <f t="shared" si="93"/>
        <v>0</v>
      </c>
      <c r="AG299" s="325">
        <f t="shared" si="93"/>
        <v>0</v>
      </c>
      <c r="AH299" s="325">
        <f t="shared" si="93"/>
        <v>0</v>
      </c>
      <c r="AI299" s="325">
        <f t="shared" si="93"/>
        <v>0</v>
      </c>
      <c r="AJ299" s="325">
        <f t="shared" si="93"/>
        <v>1</v>
      </c>
      <c r="AK299" s="325">
        <f t="shared" si="93"/>
        <v>0</v>
      </c>
      <c r="AL299" s="325">
        <f t="shared" si="93"/>
        <v>0</v>
      </c>
      <c r="AM299" s="325">
        <f t="shared" si="93"/>
        <v>0</v>
      </c>
      <c r="AN299" s="325">
        <f t="shared" si="93"/>
        <v>0</v>
      </c>
      <c r="AO299" s="325">
        <f t="shared" si="93"/>
        <v>0</v>
      </c>
      <c r="AP299" s="325">
        <f t="shared" si="94"/>
        <v>0</v>
      </c>
      <c r="AQ299" s="325">
        <f t="shared" si="94"/>
        <v>0</v>
      </c>
      <c r="AR299" s="325">
        <f t="shared" si="94"/>
        <v>0</v>
      </c>
      <c r="AS299" s="325">
        <f t="shared" si="94"/>
        <v>0</v>
      </c>
      <c r="AT299" s="325">
        <f t="shared" si="94"/>
        <v>0</v>
      </c>
      <c r="AU299" s="325">
        <f t="shared" si="94"/>
        <v>0</v>
      </c>
      <c r="AV299" s="325">
        <f t="shared" si="94"/>
        <v>0</v>
      </c>
      <c r="AW299" s="244"/>
      <c r="AX299" s="244"/>
      <c r="AY299" s="244"/>
      <c r="AZ299" s="244"/>
      <c r="BA299" s="244"/>
      <c r="BB299" s="244"/>
    </row>
    <row r="300" spans="1:54" hidden="1">
      <c r="A300" s="326" t="s">
        <v>1537</v>
      </c>
      <c r="B300" s="295" t="str">
        <f t="shared" si="90"/>
        <v>Mut: 13 | Klugheit: 12 | Konstitution: 12</v>
      </c>
      <c r="C300" s="308" t="b">
        <v>0</v>
      </c>
      <c r="D300" s="308" t="b">
        <v>0</v>
      </c>
      <c r="E300" s="308" t="b">
        <f t="shared" si="91"/>
        <v>0</v>
      </c>
      <c r="F300" s="324" t="s">
        <v>516</v>
      </c>
      <c r="G300" s="324" t="s">
        <v>110</v>
      </c>
      <c r="H300" s="324" t="s">
        <v>369</v>
      </c>
      <c r="I300" s="324" t="s">
        <v>1538</v>
      </c>
      <c r="J300" s="295">
        <f>_xlfn.XLOOKUP(G300,Rechner!$A$17:$A$25,Rechner!$B$17:$B$25)</f>
        <v>4</v>
      </c>
      <c r="K300" s="295" t="str">
        <f>_xlfn.XLOOKUP(J300-SUMIF($V$31:$AV$31,TRUE,V300:AV300)-IF(D300=TRUE,1,0),Rechner!$B$17:$B$25,Rechner!$A$17:$A$25,"A+")</f>
        <v>C</v>
      </c>
      <c r="L300" s="295" t="str">
        <f>_xlfn.XLOOKUP(S300,Eigenschaften!$C$20:$C$27,Eigenschaften!$B$20:$B$27)</f>
        <v>Mut</v>
      </c>
      <c r="M300" s="295">
        <f>_xlfn.XLOOKUP(L300,Eigenschaften!$B$20:$B$27,Eigenschaften!$H$20:$H$27,"NaN",1)</f>
        <v>13</v>
      </c>
      <c r="N300" s="295" t="str">
        <f>_xlfn.XLOOKUP(T300,Eigenschaften!$C$20:$C$27,Eigenschaften!$B$20:$B$27)</f>
        <v>Klugheit</v>
      </c>
      <c r="O300" s="295">
        <f>_xlfn.XLOOKUP(N300,Eigenschaften!$B$20:$B$27,Eigenschaften!$H$20:$H$27,"NaN",1)</f>
        <v>12</v>
      </c>
      <c r="P300" s="295" t="str">
        <f>_xlfn.XLOOKUP(U300,Eigenschaften!$C$20:$C$27,Eigenschaften!$B$20:$B$27)</f>
        <v>Konstitution</v>
      </c>
      <c r="Q300" s="295">
        <f>_xlfn.XLOOKUP(P300,Eigenschaften!$B$20:$B$27,Eigenschaften!$H$20:$H$27,"NaN",1)</f>
        <v>12</v>
      </c>
      <c r="R300" s="244"/>
      <c r="S300" s="244" t="str" cm="1">
        <f t="array" ref="S300:U300">_xlfn.TEXTSPLIT(F300,"/",,,,3)</f>
        <v>MU</v>
      </c>
      <c r="T300" s="244" t="str">
        <v>KL</v>
      </c>
      <c r="U300" s="244" t="str">
        <v>KO</v>
      </c>
      <c r="V300" s="325">
        <f t="shared" si="92"/>
        <v>0</v>
      </c>
      <c r="W300" s="325">
        <f t="shared" si="92"/>
        <v>0</v>
      </c>
      <c r="X300" s="325">
        <f t="shared" si="92"/>
        <v>0</v>
      </c>
      <c r="Y300" s="325">
        <f t="shared" si="92"/>
        <v>0</v>
      </c>
      <c r="Z300" s="325">
        <f t="shared" si="92"/>
        <v>0</v>
      </c>
      <c r="AA300" s="325">
        <f t="shared" si="92"/>
        <v>0</v>
      </c>
      <c r="AB300" s="325">
        <f t="shared" si="92"/>
        <v>0</v>
      </c>
      <c r="AC300" s="325">
        <f t="shared" si="92"/>
        <v>0</v>
      </c>
      <c r="AD300" s="325">
        <f t="shared" si="92"/>
        <v>0</v>
      </c>
      <c r="AE300" s="325">
        <f t="shared" si="92"/>
        <v>0</v>
      </c>
      <c r="AF300" s="325">
        <f t="shared" si="93"/>
        <v>0</v>
      </c>
      <c r="AG300" s="325">
        <f t="shared" si="93"/>
        <v>1</v>
      </c>
      <c r="AH300" s="325">
        <f t="shared" si="93"/>
        <v>0</v>
      </c>
      <c r="AI300" s="325">
        <f t="shared" si="93"/>
        <v>0</v>
      </c>
      <c r="AJ300" s="325">
        <f t="shared" si="93"/>
        <v>0</v>
      </c>
      <c r="AK300" s="325">
        <f t="shared" si="93"/>
        <v>0</v>
      </c>
      <c r="AL300" s="325">
        <f t="shared" si="93"/>
        <v>0</v>
      </c>
      <c r="AM300" s="325">
        <f t="shared" si="93"/>
        <v>0</v>
      </c>
      <c r="AN300" s="325">
        <f t="shared" si="93"/>
        <v>0</v>
      </c>
      <c r="AO300" s="325">
        <f t="shared" si="93"/>
        <v>0</v>
      </c>
      <c r="AP300" s="325">
        <f t="shared" si="94"/>
        <v>0</v>
      </c>
      <c r="AQ300" s="325">
        <f t="shared" si="94"/>
        <v>0</v>
      </c>
      <c r="AR300" s="325">
        <f t="shared" si="94"/>
        <v>0</v>
      </c>
      <c r="AS300" s="325">
        <f t="shared" si="94"/>
        <v>0</v>
      </c>
      <c r="AT300" s="325">
        <f t="shared" si="94"/>
        <v>0</v>
      </c>
      <c r="AU300" s="325">
        <f t="shared" si="94"/>
        <v>0</v>
      </c>
      <c r="AV300" s="325">
        <f t="shared" si="94"/>
        <v>0</v>
      </c>
      <c r="AW300" s="244"/>
      <c r="AX300" s="244"/>
      <c r="AY300" s="244"/>
      <c r="AZ300" s="244"/>
      <c r="BA300" s="244"/>
      <c r="BB300" s="244"/>
    </row>
    <row r="301" spans="1:54" hidden="1">
      <c r="A301" s="326" t="s">
        <v>1539</v>
      </c>
      <c r="B301" s="295" t="str">
        <f t="shared" si="90"/>
        <v>Mut: 13 | Klugheit: 12 | Körperkraft: 12</v>
      </c>
      <c r="C301" s="308" t="b">
        <v>0</v>
      </c>
      <c r="D301" s="308" t="b">
        <v>0</v>
      </c>
      <c r="E301" s="308" t="b">
        <f t="shared" si="91"/>
        <v>0</v>
      </c>
      <c r="F301" s="324" t="s">
        <v>676</v>
      </c>
      <c r="G301" s="324" t="s">
        <v>110</v>
      </c>
      <c r="H301" s="324" t="s">
        <v>1540</v>
      </c>
      <c r="I301" s="324" t="s">
        <v>1584</v>
      </c>
      <c r="J301" s="295">
        <f>_xlfn.XLOOKUP(G301,Rechner!$A$17:$A$25,Rechner!$B$17:$B$25)</f>
        <v>4</v>
      </c>
      <c r="K301" s="295" t="str">
        <f>_xlfn.XLOOKUP(J301-SUMIF($V$31:$AV$31,TRUE,V301:AV301)-IF(D301=TRUE,1,0),Rechner!$B$17:$B$25,Rechner!$A$17:$A$25,"A+")</f>
        <v>C</v>
      </c>
      <c r="L301" s="295" t="str">
        <f>_xlfn.XLOOKUP(S301,Eigenschaften!$C$20:$C$27,Eigenschaften!$B$20:$B$27)</f>
        <v>Mut</v>
      </c>
      <c r="M301" s="295">
        <f>_xlfn.XLOOKUP(L301,Eigenschaften!$B$20:$B$27,Eigenschaften!$H$20:$H$27,"NaN",1)</f>
        <v>13</v>
      </c>
      <c r="N301" s="295" t="str">
        <f>_xlfn.XLOOKUP(T301,Eigenschaften!$C$20:$C$27,Eigenschaften!$B$20:$B$27)</f>
        <v>Klugheit</v>
      </c>
      <c r="O301" s="295">
        <f>_xlfn.XLOOKUP(N301,Eigenschaften!$B$20:$B$27,Eigenschaften!$H$20:$H$27,"NaN",1)</f>
        <v>12</v>
      </c>
      <c r="P301" s="295" t="str">
        <f>_xlfn.XLOOKUP(U301,Eigenschaften!$C$20:$C$27,Eigenschaften!$B$20:$B$27)</f>
        <v>Körperkraft</v>
      </c>
      <c r="Q301" s="295">
        <f>_xlfn.XLOOKUP(P301,Eigenschaften!$B$20:$B$27,Eigenschaften!$H$20:$H$27,"NaN",1)</f>
        <v>12</v>
      </c>
      <c r="R301" s="244"/>
      <c r="S301" s="244" t="str" cm="1">
        <f t="array" ref="S301:U301">_xlfn.TEXTSPLIT(F301,"/",,,,3)</f>
        <v>MU</v>
      </c>
      <c r="T301" s="244" t="str">
        <v>KL</v>
      </c>
      <c r="U301" s="244" t="str">
        <v>KK</v>
      </c>
      <c r="V301" s="325">
        <f t="shared" si="92"/>
        <v>0</v>
      </c>
      <c r="W301" s="325">
        <f t="shared" si="92"/>
        <v>0</v>
      </c>
      <c r="X301" s="325">
        <f t="shared" si="92"/>
        <v>0</v>
      </c>
      <c r="Y301" s="325">
        <f t="shared" si="92"/>
        <v>1</v>
      </c>
      <c r="Z301" s="325">
        <f t="shared" si="92"/>
        <v>0</v>
      </c>
      <c r="AA301" s="325">
        <f t="shared" si="92"/>
        <v>0</v>
      </c>
      <c r="AB301" s="325">
        <f t="shared" si="92"/>
        <v>1</v>
      </c>
      <c r="AC301" s="325">
        <f t="shared" si="92"/>
        <v>0</v>
      </c>
      <c r="AD301" s="325">
        <f t="shared" si="92"/>
        <v>0</v>
      </c>
      <c r="AE301" s="325">
        <f t="shared" si="92"/>
        <v>0</v>
      </c>
      <c r="AF301" s="325">
        <f t="shared" si="93"/>
        <v>0</v>
      </c>
      <c r="AG301" s="325">
        <f t="shared" si="93"/>
        <v>0</v>
      </c>
      <c r="AH301" s="325">
        <f t="shared" si="93"/>
        <v>0</v>
      </c>
      <c r="AI301" s="325">
        <f t="shared" si="93"/>
        <v>0</v>
      </c>
      <c r="AJ301" s="325">
        <f t="shared" si="93"/>
        <v>0</v>
      </c>
      <c r="AK301" s="325">
        <f t="shared" si="93"/>
        <v>0</v>
      </c>
      <c r="AL301" s="325">
        <f t="shared" si="93"/>
        <v>0</v>
      </c>
      <c r="AM301" s="325">
        <f t="shared" si="93"/>
        <v>0</v>
      </c>
      <c r="AN301" s="325">
        <f t="shared" si="93"/>
        <v>0</v>
      </c>
      <c r="AO301" s="325">
        <f t="shared" si="93"/>
        <v>0</v>
      </c>
      <c r="AP301" s="325">
        <f t="shared" si="94"/>
        <v>0</v>
      </c>
      <c r="AQ301" s="325">
        <f t="shared" si="94"/>
        <v>0</v>
      </c>
      <c r="AR301" s="325">
        <f t="shared" si="94"/>
        <v>0</v>
      </c>
      <c r="AS301" s="325">
        <f t="shared" si="94"/>
        <v>0</v>
      </c>
      <c r="AT301" s="325">
        <f t="shared" si="94"/>
        <v>0</v>
      </c>
      <c r="AU301" s="325">
        <f t="shared" si="94"/>
        <v>1</v>
      </c>
      <c r="AV301" s="325">
        <f t="shared" si="94"/>
        <v>0</v>
      </c>
      <c r="AW301" s="244"/>
      <c r="AX301" s="244"/>
      <c r="AY301" s="244"/>
      <c r="AZ301" s="244"/>
      <c r="BA301" s="244"/>
      <c r="BB301" s="244"/>
    </row>
    <row r="302" spans="1:54" hidden="1">
      <c r="A302" s="326" t="s">
        <v>1541</v>
      </c>
      <c r="B302" s="295" t="str">
        <f t="shared" si="90"/>
        <v>Intuition: 15 | Charisma: 15 | Fingerfertigkeit: 10</v>
      </c>
      <c r="C302" s="308" t="b">
        <v>0</v>
      </c>
      <c r="D302" s="308" t="b">
        <v>0</v>
      </c>
      <c r="E302" s="308" t="b">
        <f t="shared" si="91"/>
        <v>0</v>
      </c>
      <c r="F302" s="324" t="s">
        <v>314</v>
      </c>
      <c r="G302" s="324" t="s">
        <v>125</v>
      </c>
      <c r="H302" s="324" t="s">
        <v>375</v>
      </c>
      <c r="I302" s="324" t="s">
        <v>1542</v>
      </c>
      <c r="J302" s="295">
        <f>_xlfn.XLOOKUP(G302,Rechner!$A$17:$A$25,Rechner!$B$17:$B$25)</f>
        <v>3</v>
      </c>
      <c r="K302" s="295" t="str">
        <f>_xlfn.XLOOKUP(J302-SUMIF($V$31:$AV$31,TRUE,V302:AV302)-IF(D302=TRUE,1,0),Rechner!$B$17:$B$25,Rechner!$A$17:$A$25,"A+")</f>
        <v>B</v>
      </c>
      <c r="L302" s="295" t="str">
        <f>_xlfn.XLOOKUP(S302,Eigenschaften!$C$20:$C$27,Eigenschaften!$B$20:$B$27)</f>
        <v>Intuition</v>
      </c>
      <c r="M302" s="295">
        <f>_xlfn.XLOOKUP(L302,Eigenschaften!$B$20:$B$27,Eigenschaften!$H$20:$H$27,"NaN",1)</f>
        <v>15</v>
      </c>
      <c r="N302" s="295" t="str">
        <f>_xlfn.XLOOKUP(T302,Eigenschaften!$C$20:$C$27,Eigenschaften!$B$20:$B$27)</f>
        <v>Charisma</v>
      </c>
      <c r="O302" s="295">
        <f>_xlfn.XLOOKUP(N302,Eigenschaften!$B$20:$B$27,Eigenschaften!$H$20:$H$27,"NaN",1)</f>
        <v>15</v>
      </c>
      <c r="P302" s="295" t="str">
        <f>_xlfn.XLOOKUP(U302,Eigenschaften!$C$20:$C$27,Eigenschaften!$B$20:$B$27)</f>
        <v>Fingerfertigkeit</v>
      </c>
      <c r="Q302" s="295">
        <f>_xlfn.XLOOKUP(P302,Eigenschaften!$B$20:$B$27,Eigenschaften!$H$20:$H$27,"NaN",1)</f>
        <v>10</v>
      </c>
      <c r="R302" s="244"/>
      <c r="S302" s="244" t="str" cm="1">
        <f t="array" ref="S302:U302">_xlfn.TEXTSPLIT(F302,"/",,,,3)</f>
        <v>IN</v>
      </c>
      <c r="T302" s="244" t="str">
        <v>CH</v>
      </c>
      <c r="U302" s="244" t="str">
        <v>FF</v>
      </c>
      <c r="V302" s="325">
        <f t="shared" si="92"/>
        <v>0</v>
      </c>
      <c r="W302" s="325">
        <f t="shared" si="92"/>
        <v>0</v>
      </c>
      <c r="X302" s="325">
        <f t="shared" si="92"/>
        <v>0</v>
      </c>
      <c r="Y302" s="325">
        <f t="shared" si="92"/>
        <v>0</v>
      </c>
      <c r="Z302" s="325">
        <f t="shared" si="92"/>
        <v>0</v>
      </c>
      <c r="AA302" s="325">
        <f t="shared" si="92"/>
        <v>0</v>
      </c>
      <c r="AB302" s="325">
        <f t="shared" si="92"/>
        <v>0</v>
      </c>
      <c r="AC302" s="325">
        <f t="shared" si="92"/>
        <v>0</v>
      </c>
      <c r="AD302" s="325">
        <f t="shared" si="92"/>
        <v>0</v>
      </c>
      <c r="AE302" s="325">
        <f t="shared" si="92"/>
        <v>0</v>
      </c>
      <c r="AF302" s="325">
        <f t="shared" si="93"/>
        <v>0</v>
      </c>
      <c r="AG302" s="325">
        <f t="shared" si="93"/>
        <v>0</v>
      </c>
      <c r="AH302" s="325">
        <f t="shared" si="93"/>
        <v>0</v>
      </c>
      <c r="AI302" s="325">
        <f t="shared" si="93"/>
        <v>0</v>
      </c>
      <c r="AJ302" s="325">
        <f t="shared" si="93"/>
        <v>0</v>
      </c>
      <c r="AK302" s="325">
        <f t="shared" si="93"/>
        <v>0</v>
      </c>
      <c r="AL302" s="325">
        <f t="shared" si="93"/>
        <v>0</v>
      </c>
      <c r="AM302" s="325">
        <f t="shared" si="93"/>
        <v>1</v>
      </c>
      <c r="AN302" s="325">
        <f t="shared" si="93"/>
        <v>0</v>
      </c>
      <c r="AO302" s="325">
        <f t="shared" si="93"/>
        <v>0</v>
      </c>
      <c r="AP302" s="325">
        <f t="shared" si="94"/>
        <v>0</v>
      </c>
      <c r="AQ302" s="325">
        <f t="shared" si="94"/>
        <v>0</v>
      </c>
      <c r="AR302" s="325">
        <f t="shared" si="94"/>
        <v>0</v>
      </c>
      <c r="AS302" s="325">
        <f t="shared" si="94"/>
        <v>0</v>
      </c>
      <c r="AT302" s="325">
        <f t="shared" si="94"/>
        <v>0</v>
      </c>
      <c r="AU302" s="325">
        <f t="shared" si="94"/>
        <v>0</v>
      </c>
      <c r="AV302" s="325">
        <f t="shared" si="94"/>
        <v>0</v>
      </c>
      <c r="AW302" s="244"/>
      <c r="AX302" s="244"/>
      <c r="AY302" s="244"/>
      <c r="AZ302" s="244"/>
      <c r="BA302" s="244"/>
      <c r="BB302" s="244"/>
    </row>
    <row r="303" spans="1:54" hidden="1">
      <c r="A303" s="326" t="s">
        <v>1543</v>
      </c>
      <c r="B303" s="295" t="str">
        <f t="shared" si="90"/>
        <v>Mut: 13 | Intuition: 15 | Konstitution: 12</v>
      </c>
      <c r="C303" s="308" t="b">
        <v>0</v>
      </c>
      <c r="D303" s="308" t="b">
        <v>0</v>
      </c>
      <c r="E303" s="308" t="b">
        <f t="shared" si="91"/>
        <v>1</v>
      </c>
      <c r="F303" s="324" t="s">
        <v>310</v>
      </c>
      <c r="G303" s="324" t="s">
        <v>113</v>
      </c>
      <c r="H303" s="324" t="s">
        <v>714</v>
      </c>
      <c r="I303" s="324" t="s">
        <v>1544</v>
      </c>
      <c r="J303" s="295">
        <f>_xlfn.XLOOKUP(G303,Rechner!$A$17:$A$25,Rechner!$B$17:$B$25)</f>
        <v>5</v>
      </c>
      <c r="K303" s="295" t="str">
        <f>_xlfn.XLOOKUP(J303-SUMIF($V$31:$AV$31,TRUE,V303:AV303)-IF(D303=TRUE,1,0),Rechner!$B$17:$B$25,Rechner!$A$17:$A$25,"A+")</f>
        <v>D</v>
      </c>
      <c r="L303" s="295" t="str">
        <f>_xlfn.XLOOKUP(S303,Eigenschaften!$C$20:$C$27,Eigenschaften!$B$20:$B$27)</f>
        <v>Mut</v>
      </c>
      <c r="M303" s="295">
        <f>_xlfn.XLOOKUP(L303,Eigenschaften!$B$20:$B$27,Eigenschaften!$H$20:$H$27,"NaN",1)</f>
        <v>13</v>
      </c>
      <c r="N303" s="295" t="str">
        <f>_xlfn.XLOOKUP(T303,Eigenschaften!$C$20:$C$27,Eigenschaften!$B$20:$B$27)</f>
        <v>Intuition</v>
      </c>
      <c r="O303" s="295">
        <f>_xlfn.XLOOKUP(N303,Eigenschaften!$B$20:$B$27,Eigenschaften!$H$20:$H$27,"NaN",1)</f>
        <v>15</v>
      </c>
      <c r="P303" s="295" t="str">
        <f>_xlfn.XLOOKUP(U303,Eigenschaften!$C$20:$C$27,Eigenschaften!$B$20:$B$27)</f>
        <v>Konstitution</v>
      </c>
      <c r="Q303" s="295">
        <f>_xlfn.XLOOKUP(P303,Eigenschaften!$B$20:$B$27,Eigenschaften!$H$20:$H$27,"NaN",1)</f>
        <v>12</v>
      </c>
      <c r="R303" s="244"/>
      <c r="S303" s="244" t="str" cm="1">
        <f t="array" ref="S303:U303">_xlfn.TEXTSPLIT(F303,"/",,,,3)</f>
        <v>MU</v>
      </c>
      <c r="T303" s="244" t="str">
        <v>IN</v>
      </c>
      <c r="U303" s="244" t="str">
        <v>KO</v>
      </c>
      <c r="V303" s="325">
        <f t="shared" si="92"/>
        <v>0</v>
      </c>
      <c r="W303" s="325">
        <f t="shared" si="92"/>
        <v>0</v>
      </c>
      <c r="X303" s="325">
        <f t="shared" si="92"/>
        <v>0</v>
      </c>
      <c r="Y303" s="325">
        <f t="shared" si="92"/>
        <v>1</v>
      </c>
      <c r="Z303" s="325">
        <f t="shared" si="92"/>
        <v>1</v>
      </c>
      <c r="AA303" s="325">
        <f t="shared" si="92"/>
        <v>0</v>
      </c>
      <c r="AB303" s="325">
        <f t="shared" si="92"/>
        <v>0</v>
      </c>
      <c r="AC303" s="325">
        <f t="shared" si="92"/>
        <v>0</v>
      </c>
      <c r="AD303" s="325">
        <f t="shared" si="92"/>
        <v>0</v>
      </c>
      <c r="AE303" s="325">
        <f t="shared" si="92"/>
        <v>0</v>
      </c>
      <c r="AF303" s="325">
        <f t="shared" si="93"/>
        <v>0</v>
      </c>
      <c r="AG303" s="325">
        <f t="shared" si="93"/>
        <v>1</v>
      </c>
      <c r="AH303" s="325">
        <f t="shared" si="93"/>
        <v>0</v>
      </c>
      <c r="AI303" s="325">
        <f t="shared" si="93"/>
        <v>0</v>
      </c>
      <c r="AJ303" s="325">
        <f t="shared" si="93"/>
        <v>0</v>
      </c>
      <c r="AK303" s="325">
        <f t="shared" si="93"/>
        <v>0</v>
      </c>
      <c r="AL303" s="325">
        <f t="shared" si="93"/>
        <v>0</v>
      </c>
      <c r="AM303" s="325">
        <f t="shared" si="93"/>
        <v>0</v>
      </c>
      <c r="AN303" s="325">
        <f t="shared" si="93"/>
        <v>0</v>
      </c>
      <c r="AO303" s="325">
        <f t="shared" si="93"/>
        <v>0</v>
      </c>
      <c r="AP303" s="325">
        <f t="shared" si="94"/>
        <v>0</v>
      </c>
      <c r="AQ303" s="325">
        <f t="shared" si="94"/>
        <v>0</v>
      </c>
      <c r="AR303" s="325">
        <f t="shared" si="94"/>
        <v>0</v>
      </c>
      <c r="AS303" s="325">
        <f t="shared" si="94"/>
        <v>0</v>
      </c>
      <c r="AT303" s="325">
        <f t="shared" si="94"/>
        <v>0</v>
      </c>
      <c r="AU303" s="325">
        <f t="shared" si="94"/>
        <v>0</v>
      </c>
      <c r="AV303" s="325">
        <f t="shared" si="94"/>
        <v>0</v>
      </c>
      <c r="AW303" s="244"/>
      <c r="AX303" s="244"/>
      <c r="AY303" s="244"/>
      <c r="AZ303" s="244"/>
      <c r="BA303" s="244"/>
      <c r="BB303" s="244"/>
    </row>
    <row r="304" spans="1:54" hidden="1">
      <c r="A304" s="326" t="s">
        <v>1545</v>
      </c>
      <c r="B304" s="295" t="str">
        <f t="shared" si="90"/>
        <v>Klugheit: 12 | Intuition: 15 | Charisma: 15</v>
      </c>
      <c r="C304" s="308" t="b">
        <v>0</v>
      </c>
      <c r="D304" s="308" t="b">
        <v>0</v>
      </c>
      <c r="E304" s="308" t="b">
        <f t="shared" si="91"/>
        <v>0</v>
      </c>
      <c r="F304" s="324" t="s">
        <v>307</v>
      </c>
      <c r="G304" s="324" t="s">
        <v>113</v>
      </c>
      <c r="H304" s="324" t="s">
        <v>360</v>
      </c>
      <c r="I304" s="324" t="s">
        <v>1546</v>
      </c>
      <c r="J304" s="295">
        <f>_xlfn.XLOOKUP(G304,Rechner!$A$17:$A$25,Rechner!$B$17:$B$25)</f>
        <v>5</v>
      </c>
      <c r="K304" s="295" t="str">
        <f>_xlfn.XLOOKUP(J304-SUMIF($V$31:$AV$31,TRUE,V304:AV304)-IF(D304=TRUE,1,0),Rechner!$B$17:$B$25,Rechner!$A$17:$A$25,"A+")</f>
        <v>D</v>
      </c>
      <c r="L304" s="295" t="str">
        <f>_xlfn.XLOOKUP(S304,Eigenschaften!$C$20:$C$27,Eigenschaften!$B$20:$B$27)</f>
        <v>Klugheit</v>
      </c>
      <c r="M304" s="295">
        <f>_xlfn.XLOOKUP(L304,Eigenschaften!$B$20:$B$27,Eigenschaften!$H$20:$H$27,"NaN",1)</f>
        <v>12</v>
      </c>
      <c r="N304" s="295" t="str">
        <f>_xlfn.XLOOKUP(T304,Eigenschaften!$C$20:$C$27,Eigenschaften!$B$20:$B$27)</f>
        <v>Intuition</v>
      </c>
      <c r="O304" s="295">
        <f>_xlfn.XLOOKUP(N304,Eigenschaften!$B$20:$B$27,Eigenschaften!$H$20:$H$27,"NaN",1)</f>
        <v>15</v>
      </c>
      <c r="P304" s="295" t="str">
        <f>_xlfn.XLOOKUP(U304,Eigenschaften!$C$20:$C$27,Eigenschaften!$B$20:$B$27)</f>
        <v>Charisma</v>
      </c>
      <c r="Q304" s="295">
        <f>_xlfn.XLOOKUP(P304,Eigenschaften!$B$20:$B$27,Eigenschaften!$H$20:$H$27,"NaN",1)</f>
        <v>15</v>
      </c>
      <c r="R304" s="244"/>
      <c r="S304" s="244" t="str" cm="1">
        <f t="array" ref="S304:U304">_xlfn.TEXTSPLIT(F304,"/",,,,3)</f>
        <v>KL</v>
      </c>
      <c r="T304" s="244" t="str">
        <v>IN</v>
      </c>
      <c r="U304" s="244" t="str">
        <v>CH</v>
      </c>
      <c r="V304" s="325">
        <f t="shared" si="92"/>
        <v>0</v>
      </c>
      <c r="W304" s="325">
        <f t="shared" si="92"/>
        <v>1</v>
      </c>
      <c r="X304" s="325">
        <f t="shared" si="92"/>
        <v>0</v>
      </c>
      <c r="Y304" s="325">
        <f t="shared" si="92"/>
        <v>0</v>
      </c>
      <c r="Z304" s="325">
        <f t="shared" si="92"/>
        <v>0</v>
      </c>
      <c r="AA304" s="325">
        <f t="shared" si="92"/>
        <v>0</v>
      </c>
      <c r="AB304" s="325">
        <f t="shared" si="92"/>
        <v>0</v>
      </c>
      <c r="AC304" s="325">
        <f t="shared" si="92"/>
        <v>0</v>
      </c>
      <c r="AD304" s="325">
        <f t="shared" si="92"/>
        <v>0</v>
      </c>
      <c r="AE304" s="325">
        <f t="shared" si="92"/>
        <v>0</v>
      </c>
      <c r="AF304" s="325">
        <f t="shared" si="93"/>
        <v>0</v>
      </c>
      <c r="AG304" s="325">
        <f t="shared" si="93"/>
        <v>0</v>
      </c>
      <c r="AH304" s="325">
        <f t="shared" si="93"/>
        <v>0</v>
      </c>
      <c r="AI304" s="325">
        <f t="shared" si="93"/>
        <v>0</v>
      </c>
      <c r="AJ304" s="325">
        <f t="shared" si="93"/>
        <v>0</v>
      </c>
      <c r="AK304" s="325">
        <f t="shared" si="93"/>
        <v>0</v>
      </c>
      <c r="AL304" s="325">
        <f t="shared" si="93"/>
        <v>0</v>
      </c>
      <c r="AM304" s="325">
        <f t="shared" si="93"/>
        <v>0</v>
      </c>
      <c r="AN304" s="325">
        <f t="shared" si="93"/>
        <v>0</v>
      </c>
      <c r="AO304" s="325">
        <f t="shared" si="93"/>
        <v>0</v>
      </c>
      <c r="AP304" s="325">
        <f t="shared" si="94"/>
        <v>0</v>
      </c>
      <c r="AQ304" s="325">
        <f t="shared" si="94"/>
        <v>0</v>
      </c>
      <c r="AR304" s="325">
        <f t="shared" si="94"/>
        <v>0</v>
      </c>
      <c r="AS304" s="325">
        <f t="shared" si="94"/>
        <v>0</v>
      </c>
      <c r="AT304" s="325">
        <f t="shared" si="94"/>
        <v>0</v>
      </c>
      <c r="AU304" s="325">
        <f t="shared" si="94"/>
        <v>0</v>
      </c>
      <c r="AV304" s="325">
        <f t="shared" si="94"/>
        <v>0</v>
      </c>
      <c r="AW304" s="244"/>
      <c r="AX304" s="244"/>
      <c r="AY304" s="244"/>
      <c r="AZ304" s="244"/>
      <c r="BA304" s="244"/>
      <c r="BB304" s="244"/>
    </row>
    <row r="305" spans="1:54" hidden="1">
      <c r="A305" s="326" t="s">
        <v>1547</v>
      </c>
      <c r="B305" s="295" t="str">
        <f t="shared" si="90"/>
        <v>Mut: 13 | Gewandheit: 14 | Gewandheit: 14</v>
      </c>
      <c r="C305" s="308" t="b">
        <v>0</v>
      </c>
      <c r="D305" s="308" t="b">
        <v>0</v>
      </c>
      <c r="E305" s="308" t="b">
        <f t="shared" si="91"/>
        <v>0</v>
      </c>
      <c r="F305" s="324" t="s">
        <v>1548</v>
      </c>
      <c r="G305" s="324" t="s">
        <v>113</v>
      </c>
      <c r="H305" s="324" t="s">
        <v>1549</v>
      </c>
      <c r="I305" s="324" t="s">
        <v>1550</v>
      </c>
      <c r="J305" s="295">
        <f>_xlfn.XLOOKUP(G305,Rechner!$A$17:$A$25,Rechner!$B$17:$B$25)</f>
        <v>5</v>
      </c>
      <c r="K305" s="295" t="str">
        <f>_xlfn.XLOOKUP(J305-SUMIF($V$31:$AV$31,TRUE,V305:AV305)-IF(D305=TRUE,1,0),Rechner!$B$17:$B$25,Rechner!$A$17:$A$25,"A+")</f>
        <v>C</v>
      </c>
      <c r="L305" s="295" t="str">
        <f>_xlfn.XLOOKUP(S305,Eigenschaften!$C$20:$C$27,Eigenschaften!$B$20:$B$27)</f>
        <v>Mut</v>
      </c>
      <c r="M305" s="295">
        <f>_xlfn.XLOOKUP(L305,Eigenschaften!$B$20:$B$27,Eigenschaften!$H$20:$H$27,"NaN",1)</f>
        <v>13</v>
      </c>
      <c r="N305" s="295" t="str">
        <f>_xlfn.XLOOKUP(T305,Eigenschaften!$C$20:$C$27,Eigenschaften!$B$20:$B$27)</f>
        <v>Gewandheit</v>
      </c>
      <c r="O305" s="295">
        <f>_xlfn.XLOOKUP(N305,Eigenschaften!$B$20:$B$27,Eigenschaften!$H$20:$H$27,"NaN",1)</f>
        <v>14</v>
      </c>
      <c r="P305" s="295" t="str">
        <f>_xlfn.XLOOKUP(U305,Eigenschaften!$C$20:$C$27,Eigenschaften!$B$20:$B$27)</f>
        <v>Gewandheit</v>
      </c>
      <c r="Q305" s="295">
        <f>_xlfn.XLOOKUP(P305,Eigenschaften!$B$20:$B$27,Eigenschaften!$H$20:$H$27,"NaN",1)</f>
        <v>14</v>
      </c>
      <c r="R305" s="244"/>
      <c r="S305" s="244" t="str" cm="1">
        <f t="array" ref="S305:U305">_xlfn.TEXTSPLIT(F305,"/",,,,3)</f>
        <v>MU</v>
      </c>
      <c r="T305" s="244" t="str">
        <v>GE</v>
      </c>
      <c r="U305" s="244" t="str">
        <v>GE</v>
      </c>
      <c r="V305" s="325">
        <f t="shared" si="92"/>
        <v>0</v>
      </c>
      <c r="W305" s="325">
        <f t="shared" si="92"/>
        <v>0</v>
      </c>
      <c r="X305" s="325">
        <f t="shared" si="92"/>
        <v>1</v>
      </c>
      <c r="Y305" s="325">
        <f t="shared" si="92"/>
        <v>1</v>
      </c>
      <c r="Z305" s="325">
        <f t="shared" si="92"/>
        <v>0</v>
      </c>
      <c r="AA305" s="325">
        <f t="shared" si="92"/>
        <v>0</v>
      </c>
      <c r="AB305" s="325">
        <f t="shared" si="92"/>
        <v>0</v>
      </c>
      <c r="AC305" s="325">
        <f t="shared" si="92"/>
        <v>0</v>
      </c>
      <c r="AD305" s="325">
        <f t="shared" si="92"/>
        <v>0</v>
      </c>
      <c r="AE305" s="325">
        <f t="shared" si="92"/>
        <v>1</v>
      </c>
      <c r="AF305" s="325">
        <f t="shared" si="93"/>
        <v>0</v>
      </c>
      <c r="AG305" s="325">
        <f t="shared" si="93"/>
        <v>0</v>
      </c>
      <c r="AH305" s="325">
        <f t="shared" si="93"/>
        <v>0</v>
      </c>
      <c r="AI305" s="325">
        <f t="shared" si="93"/>
        <v>0</v>
      </c>
      <c r="AJ305" s="325">
        <f t="shared" si="93"/>
        <v>0</v>
      </c>
      <c r="AK305" s="325">
        <f t="shared" si="93"/>
        <v>0</v>
      </c>
      <c r="AL305" s="325">
        <f t="shared" si="93"/>
        <v>0</v>
      </c>
      <c r="AM305" s="325">
        <f t="shared" si="93"/>
        <v>0</v>
      </c>
      <c r="AN305" s="325">
        <f t="shared" si="93"/>
        <v>0</v>
      </c>
      <c r="AO305" s="325">
        <f t="shared" si="93"/>
        <v>0</v>
      </c>
      <c r="AP305" s="325">
        <f t="shared" si="94"/>
        <v>0</v>
      </c>
      <c r="AQ305" s="325">
        <f t="shared" si="94"/>
        <v>0</v>
      </c>
      <c r="AR305" s="325">
        <f t="shared" si="94"/>
        <v>0</v>
      </c>
      <c r="AS305" s="325">
        <f t="shared" si="94"/>
        <v>0</v>
      </c>
      <c r="AT305" s="325">
        <f t="shared" si="94"/>
        <v>0</v>
      </c>
      <c r="AU305" s="325">
        <f t="shared" si="94"/>
        <v>0</v>
      </c>
      <c r="AV305" s="325">
        <f t="shared" si="94"/>
        <v>0</v>
      </c>
      <c r="AW305" s="244"/>
      <c r="AX305" s="244"/>
      <c r="AY305" s="244"/>
      <c r="AZ305" s="244"/>
      <c r="BA305" s="244"/>
      <c r="BB305" s="244"/>
    </row>
    <row r="306" spans="1:54" hidden="1">
      <c r="A306" s="326" t="s">
        <v>1551</v>
      </c>
      <c r="B306" s="295" t="str">
        <f t="shared" si="90"/>
        <v>Mut: 13 | Charisma: 15 | Gewandheit: 14</v>
      </c>
      <c r="C306" s="308" t="b">
        <v>0</v>
      </c>
      <c r="D306" s="308" t="b">
        <v>0</v>
      </c>
      <c r="E306" s="308" t="b">
        <f t="shared" si="91"/>
        <v>1</v>
      </c>
      <c r="F306" s="324" t="s">
        <v>416</v>
      </c>
      <c r="G306" s="324" t="s">
        <v>429</v>
      </c>
      <c r="H306" s="324" t="s">
        <v>1552</v>
      </c>
      <c r="I306" s="324" t="s">
        <v>1553</v>
      </c>
      <c r="J306" s="295">
        <f>_xlfn.XLOOKUP(G306,Rechner!$A$17:$A$25,Rechner!$B$17:$B$25)</f>
        <v>6</v>
      </c>
      <c r="K306" s="295" t="str">
        <f>_xlfn.XLOOKUP(J306-SUMIF($V$31:$AV$31,TRUE,V306:AV306)-IF(D306=TRUE,1,0),Rechner!$B$17:$B$25,Rechner!$A$17:$A$25,"A+")</f>
        <v>E</v>
      </c>
      <c r="L306" s="295" t="str">
        <f>_xlfn.XLOOKUP(S306,Eigenschaften!$C$20:$C$27,Eigenschaften!$B$20:$B$27)</f>
        <v>Mut</v>
      </c>
      <c r="M306" s="295">
        <f>_xlfn.XLOOKUP(L306,Eigenschaften!$B$20:$B$27,Eigenschaften!$H$20:$H$27,"NaN",1)</f>
        <v>13</v>
      </c>
      <c r="N306" s="295" t="str">
        <f>_xlfn.XLOOKUP(T306,Eigenschaften!$C$20:$C$27,Eigenschaften!$B$20:$B$27)</f>
        <v>Charisma</v>
      </c>
      <c r="O306" s="295">
        <f>_xlfn.XLOOKUP(N306,Eigenschaften!$B$20:$B$27,Eigenschaften!$H$20:$H$27,"NaN",1)</f>
        <v>15</v>
      </c>
      <c r="P306" s="295" t="str">
        <f>_xlfn.XLOOKUP(U306,Eigenschaften!$C$20:$C$27,Eigenschaften!$B$20:$B$27)</f>
        <v>Gewandheit</v>
      </c>
      <c r="Q306" s="295">
        <f>_xlfn.XLOOKUP(P306,Eigenschaften!$B$20:$B$27,Eigenschaften!$H$20:$H$27,"NaN",1)</f>
        <v>14</v>
      </c>
      <c r="R306" s="244"/>
      <c r="S306" s="244" t="str" cm="1">
        <f t="array" ref="S306:U306">_xlfn.TEXTSPLIT(F306,"/",,,,3)</f>
        <v>MU</v>
      </c>
      <c r="T306" s="244" t="str">
        <v>CH</v>
      </c>
      <c r="U306" s="244" t="str">
        <v>GE</v>
      </c>
      <c r="V306" s="325">
        <f t="shared" ref="V306:AE317" si="95">IF(ISNUMBER(SEARCH(V$32,$H306)),1,0)</f>
        <v>0</v>
      </c>
      <c r="W306" s="325">
        <f t="shared" si="95"/>
        <v>0</v>
      </c>
      <c r="X306" s="325">
        <f t="shared" si="95"/>
        <v>0</v>
      </c>
      <c r="Y306" s="325">
        <f t="shared" si="95"/>
        <v>1</v>
      </c>
      <c r="Z306" s="325">
        <f t="shared" si="95"/>
        <v>0</v>
      </c>
      <c r="AA306" s="325">
        <f t="shared" si="95"/>
        <v>0</v>
      </c>
      <c r="AB306" s="325">
        <f t="shared" si="95"/>
        <v>0</v>
      </c>
      <c r="AC306" s="325">
        <f t="shared" si="95"/>
        <v>0</v>
      </c>
      <c r="AD306" s="325">
        <f t="shared" si="95"/>
        <v>1</v>
      </c>
      <c r="AE306" s="325">
        <f t="shared" si="95"/>
        <v>0</v>
      </c>
      <c r="AF306" s="325">
        <f t="shared" ref="AF306:AO317" si="96">IF(ISNUMBER(SEARCH(AF$32,$H306)),1,0)</f>
        <v>0</v>
      </c>
      <c r="AG306" s="325">
        <f t="shared" si="96"/>
        <v>0</v>
      </c>
      <c r="AH306" s="325">
        <f t="shared" si="96"/>
        <v>0</v>
      </c>
      <c r="AI306" s="325">
        <f t="shared" si="96"/>
        <v>0</v>
      </c>
      <c r="AJ306" s="325">
        <f t="shared" si="96"/>
        <v>0</v>
      </c>
      <c r="AK306" s="325">
        <f t="shared" si="96"/>
        <v>0</v>
      </c>
      <c r="AL306" s="325">
        <f t="shared" si="96"/>
        <v>0</v>
      </c>
      <c r="AM306" s="325">
        <f t="shared" si="96"/>
        <v>0</v>
      </c>
      <c r="AN306" s="325">
        <f t="shared" si="96"/>
        <v>0</v>
      </c>
      <c r="AO306" s="325">
        <f t="shared" si="96"/>
        <v>0</v>
      </c>
      <c r="AP306" s="325">
        <f t="shared" ref="AP306:AV317" si="97">IF(ISNUMBER(SEARCH(AP$32,$H306)),1,0)</f>
        <v>0</v>
      </c>
      <c r="AQ306" s="325">
        <f t="shared" si="97"/>
        <v>0</v>
      </c>
      <c r="AR306" s="325">
        <f t="shared" si="97"/>
        <v>0</v>
      </c>
      <c r="AS306" s="325">
        <f t="shared" si="97"/>
        <v>0</v>
      </c>
      <c r="AT306" s="325">
        <f t="shared" si="97"/>
        <v>0</v>
      </c>
      <c r="AU306" s="325">
        <f t="shared" si="97"/>
        <v>1</v>
      </c>
      <c r="AV306" s="325">
        <f t="shared" si="97"/>
        <v>0</v>
      </c>
      <c r="AW306" s="244"/>
      <c r="AX306" s="244"/>
      <c r="AY306" s="244"/>
      <c r="AZ306" s="244"/>
      <c r="BA306" s="244"/>
      <c r="BB306" s="244"/>
    </row>
    <row r="307" spans="1:54" hidden="1">
      <c r="A307" s="326" t="s">
        <v>1554</v>
      </c>
      <c r="B307" s="295" t="str">
        <f t="shared" si="90"/>
        <v>Mut: 13 | Intuition: 15 | Gewandheit: 14</v>
      </c>
      <c r="C307" s="308" t="b">
        <v>0</v>
      </c>
      <c r="D307" s="308" t="b">
        <v>0</v>
      </c>
      <c r="E307" s="308" t="b">
        <f t="shared" si="91"/>
        <v>0</v>
      </c>
      <c r="F307" s="324" t="s">
        <v>402</v>
      </c>
      <c r="G307" s="324" t="s">
        <v>113</v>
      </c>
      <c r="H307" s="324" t="s">
        <v>509</v>
      </c>
      <c r="I307" s="324" t="s">
        <v>722</v>
      </c>
      <c r="J307" s="295">
        <f>_xlfn.XLOOKUP(G307,Rechner!$A$17:$A$25,Rechner!$B$17:$B$25)</f>
        <v>5</v>
      </c>
      <c r="K307" s="295" t="str">
        <f>_xlfn.XLOOKUP(J307-SUMIF($V$31:$AV$31,TRUE,V307:AV307)-IF(D307=TRUE,1,0),Rechner!$B$17:$B$25,Rechner!$A$17:$A$25,"A+")</f>
        <v>C</v>
      </c>
      <c r="L307" s="295" t="str">
        <f>_xlfn.XLOOKUP(S307,Eigenschaften!$C$20:$C$27,Eigenschaften!$B$20:$B$27)</f>
        <v>Mut</v>
      </c>
      <c r="M307" s="295">
        <f>_xlfn.XLOOKUP(L307,Eigenschaften!$B$20:$B$27,Eigenschaften!$H$20:$H$27,"NaN",1)</f>
        <v>13</v>
      </c>
      <c r="N307" s="295" t="str">
        <f>_xlfn.XLOOKUP(T307,Eigenschaften!$C$20:$C$27,Eigenschaften!$B$20:$B$27)</f>
        <v>Intuition</v>
      </c>
      <c r="O307" s="295">
        <f>_xlfn.XLOOKUP(N307,Eigenschaften!$B$20:$B$27,Eigenschaften!$H$20:$H$27,"NaN",1)</f>
        <v>15</v>
      </c>
      <c r="P307" s="295" t="str">
        <f>_xlfn.XLOOKUP(U307,Eigenschaften!$C$20:$C$27,Eigenschaften!$B$20:$B$27)</f>
        <v>Gewandheit</v>
      </c>
      <c r="Q307" s="295">
        <f>_xlfn.XLOOKUP(P307,Eigenschaften!$B$20:$B$27,Eigenschaften!$H$20:$H$27,"NaN",1)</f>
        <v>14</v>
      </c>
      <c r="R307" s="244"/>
      <c r="S307" s="244" t="str" cm="1">
        <f t="array" ref="S307:U307">_xlfn.TEXTSPLIT(F307,"/",,,,3)</f>
        <v>MU</v>
      </c>
      <c r="T307" s="244" t="str">
        <v>IN</v>
      </c>
      <c r="U307" s="244" t="str">
        <v>GE</v>
      </c>
      <c r="V307" s="325">
        <f t="shared" si="95"/>
        <v>0</v>
      </c>
      <c r="W307" s="325">
        <f t="shared" si="95"/>
        <v>0</v>
      </c>
      <c r="X307" s="325">
        <f t="shared" si="95"/>
        <v>0</v>
      </c>
      <c r="Y307" s="325">
        <f t="shared" si="95"/>
        <v>0</v>
      </c>
      <c r="Z307" s="325">
        <f t="shared" si="95"/>
        <v>0</v>
      </c>
      <c r="AA307" s="325">
        <f t="shared" si="95"/>
        <v>0</v>
      </c>
      <c r="AB307" s="325">
        <f t="shared" si="95"/>
        <v>0</v>
      </c>
      <c r="AC307" s="325">
        <f t="shared" si="95"/>
        <v>0</v>
      </c>
      <c r="AD307" s="325">
        <f t="shared" si="95"/>
        <v>0</v>
      </c>
      <c r="AE307" s="325">
        <f t="shared" si="95"/>
        <v>0</v>
      </c>
      <c r="AF307" s="325">
        <f t="shared" si="96"/>
        <v>1</v>
      </c>
      <c r="AG307" s="325">
        <f t="shared" si="96"/>
        <v>0</v>
      </c>
      <c r="AH307" s="325">
        <f t="shared" si="96"/>
        <v>0</v>
      </c>
      <c r="AI307" s="325">
        <f t="shared" si="96"/>
        <v>0</v>
      </c>
      <c r="AJ307" s="325">
        <f t="shared" si="96"/>
        <v>0</v>
      </c>
      <c r="AK307" s="325">
        <f t="shared" si="96"/>
        <v>0</v>
      </c>
      <c r="AL307" s="325">
        <f t="shared" si="96"/>
        <v>0</v>
      </c>
      <c r="AM307" s="325">
        <f t="shared" si="96"/>
        <v>1</v>
      </c>
      <c r="AN307" s="325">
        <f t="shared" si="96"/>
        <v>0</v>
      </c>
      <c r="AO307" s="325">
        <f t="shared" si="96"/>
        <v>0</v>
      </c>
      <c r="AP307" s="325">
        <f t="shared" si="97"/>
        <v>0</v>
      </c>
      <c r="AQ307" s="325">
        <f t="shared" si="97"/>
        <v>0</v>
      </c>
      <c r="AR307" s="325">
        <f t="shared" si="97"/>
        <v>0</v>
      </c>
      <c r="AS307" s="325">
        <f t="shared" si="97"/>
        <v>0</v>
      </c>
      <c r="AT307" s="325">
        <f t="shared" si="97"/>
        <v>0</v>
      </c>
      <c r="AU307" s="325">
        <f t="shared" si="97"/>
        <v>0</v>
      </c>
      <c r="AV307" s="325">
        <f t="shared" si="97"/>
        <v>0</v>
      </c>
      <c r="AW307" s="244"/>
      <c r="AX307" s="244"/>
      <c r="AY307" s="244"/>
      <c r="AZ307" s="244"/>
      <c r="BA307" s="244"/>
      <c r="BB307" s="244"/>
    </row>
    <row r="308" spans="1:54" hidden="1">
      <c r="A308" s="326" t="s">
        <v>1555</v>
      </c>
      <c r="B308" s="295" t="str">
        <f t="shared" si="90"/>
        <v>Mut: 13 | Intuition: 15 | Körperkraft: 12</v>
      </c>
      <c r="C308" s="308" t="b">
        <v>0</v>
      </c>
      <c r="D308" s="308" t="b">
        <v>0</v>
      </c>
      <c r="E308" s="308" t="b">
        <f t="shared" si="91"/>
        <v>0</v>
      </c>
      <c r="F308" s="324" t="s">
        <v>809</v>
      </c>
      <c r="G308" s="324" t="s">
        <v>113</v>
      </c>
      <c r="H308" s="324" t="s">
        <v>1552</v>
      </c>
      <c r="I308" s="324" t="s">
        <v>1556</v>
      </c>
      <c r="J308" s="295">
        <f>_xlfn.XLOOKUP(G308,Rechner!$A$17:$A$25,Rechner!$B$17:$B$25)</f>
        <v>5</v>
      </c>
      <c r="K308" s="295" t="str">
        <f>_xlfn.XLOOKUP(J308-SUMIF($V$31:$AV$31,TRUE,V308:AV308)-IF(D308=TRUE,1,0),Rechner!$B$17:$B$25,Rechner!$A$17:$A$25,"A+")</f>
        <v>D</v>
      </c>
      <c r="L308" s="295" t="str">
        <f>_xlfn.XLOOKUP(S308,Eigenschaften!$C$20:$C$27,Eigenschaften!$B$20:$B$27)</f>
        <v>Mut</v>
      </c>
      <c r="M308" s="295">
        <f>_xlfn.XLOOKUP(L308,Eigenschaften!$B$20:$B$27,Eigenschaften!$H$20:$H$27,"NaN",1)</f>
        <v>13</v>
      </c>
      <c r="N308" s="295" t="str">
        <f>_xlfn.XLOOKUP(T308,Eigenschaften!$C$20:$C$27,Eigenschaften!$B$20:$B$27)</f>
        <v>Intuition</v>
      </c>
      <c r="O308" s="295">
        <f>_xlfn.XLOOKUP(N308,Eigenschaften!$B$20:$B$27,Eigenschaften!$H$20:$H$27,"NaN",1)</f>
        <v>15</v>
      </c>
      <c r="P308" s="295" t="str">
        <f>_xlfn.XLOOKUP(U308,Eigenschaften!$C$20:$C$27,Eigenschaften!$B$20:$B$27)</f>
        <v>Körperkraft</v>
      </c>
      <c r="Q308" s="295">
        <f>_xlfn.XLOOKUP(P308,Eigenschaften!$B$20:$B$27,Eigenschaften!$H$20:$H$27,"NaN",1)</f>
        <v>12</v>
      </c>
      <c r="R308" s="244"/>
      <c r="S308" s="244" t="str" cm="1">
        <f t="array" ref="S308:U308">_xlfn.TEXTSPLIT(F308,"/",,,,3)</f>
        <v>MU</v>
      </c>
      <c r="T308" s="244" t="str">
        <v>IN</v>
      </c>
      <c r="U308" s="244" t="str">
        <v>KK</v>
      </c>
      <c r="V308" s="325">
        <f t="shared" si="95"/>
        <v>0</v>
      </c>
      <c r="W308" s="325">
        <f t="shared" si="95"/>
        <v>0</v>
      </c>
      <c r="X308" s="325">
        <f t="shared" si="95"/>
        <v>0</v>
      </c>
      <c r="Y308" s="325">
        <f t="shared" si="95"/>
        <v>1</v>
      </c>
      <c r="Z308" s="325">
        <f t="shared" si="95"/>
        <v>0</v>
      </c>
      <c r="AA308" s="325">
        <f t="shared" si="95"/>
        <v>0</v>
      </c>
      <c r="AB308" s="325">
        <f t="shared" si="95"/>
        <v>0</v>
      </c>
      <c r="AC308" s="325">
        <f t="shared" si="95"/>
        <v>0</v>
      </c>
      <c r="AD308" s="325">
        <f t="shared" si="95"/>
        <v>1</v>
      </c>
      <c r="AE308" s="325">
        <f t="shared" si="95"/>
        <v>0</v>
      </c>
      <c r="AF308" s="325">
        <f t="shared" si="96"/>
        <v>0</v>
      </c>
      <c r="AG308" s="325">
        <f t="shared" si="96"/>
        <v>0</v>
      </c>
      <c r="AH308" s="325">
        <f t="shared" si="96"/>
        <v>0</v>
      </c>
      <c r="AI308" s="325">
        <f t="shared" si="96"/>
        <v>0</v>
      </c>
      <c r="AJ308" s="325">
        <f t="shared" si="96"/>
        <v>0</v>
      </c>
      <c r="AK308" s="325">
        <f t="shared" si="96"/>
        <v>0</v>
      </c>
      <c r="AL308" s="325">
        <f t="shared" si="96"/>
        <v>0</v>
      </c>
      <c r="AM308" s="325">
        <f t="shared" si="96"/>
        <v>0</v>
      </c>
      <c r="AN308" s="325">
        <f t="shared" si="96"/>
        <v>0</v>
      </c>
      <c r="AO308" s="325">
        <f t="shared" si="96"/>
        <v>0</v>
      </c>
      <c r="AP308" s="325">
        <f t="shared" si="97"/>
        <v>0</v>
      </c>
      <c r="AQ308" s="325">
        <f t="shared" si="97"/>
        <v>0</v>
      </c>
      <c r="AR308" s="325">
        <f t="shared" si="97"/>
        <v>0</v>
      </c>
      <c r="AS308" s="325">
        <f t="shared" si="97"/>
        <v>0</v>
      </c>
      <c r="AT308" s="325">
        <f t="shared" si="97"/>
        <v>0</v>
      </c>
      <c r="AU308" s="325">
        <f t="shared" si="97"/>
        <v>1</v>
      </c>
      <c r="AV308" s="325">
        <f t="shared" si="97"/>
        <v>0</v>
      </c>
      <c r="AW308" s="244"/>
      <c r="AX308" s="244"/>
      <c r="AY308" s="244"/>
      <c r="AZ308" s="244"/>
      <c r="BA308" s="244"/>
      <c r="BB308" s="244"/>
    </row>
    <row r="309" spans="1:54" hidden="1">
      <c r="A309" s="326" t="s">
        <v>1557</v>
      </c>
      <c r="B309" s="295" t="str">
        <f t="shared" si="90"/>
        <v>Klugheit: 12 | Charisma: 15 | Körperkraft: 12</v>
      </c>
      <c r="C309" s="308" t="b">
        <v>0</v>
      </c>
      <c r="D309" s="308" t="b">
        <v>0</v>
      </c>
      <c r="E309" s="308" t="b">
        <f t="shared" si="91"/>
        <v>0</v>
      </c>
      <c r="F309" s="324" t="s">
        <v>477</v>
      </c>
      <c r="G309" s="324" t="s">
        <v>110</v>
      </c>
      <c r="H309" s="324" t="s">
        <v>1552</v>
      </c>
      <c r="I309" s="324" t="s">
        <v>626</v>
      </c>
      <c r="J309" s="295">
        <f>_xlfn.XLOOKUP(G309,Rechner!$A$17:$A$25,Rechner!$B$17:$B$25)</f>
        <v>4</v>
      </c>
      <c r="K309" s="295" t="str">
        <f>_xlfn.XLOOKUP(J309-SUMIF($V$31:$AV$31,TRUE,V309:AV309)-IF(D309=TRUE,1,0),Rechner!$B$17:$B$25,Rechner!$A$17:$A$25,"A+")</f>
        <v>C</v>
      </c>
      <c r="L309" s="295" t="str">
        <f>_xlfn.XLOOKUP(S309,Eigenschaften!$C$20:$C$27,Eigenschaften!$B$20:$B$27)</f>
        <v>Klugheit</v>
      </c>
      <c r="M309" s="295">
        <f>_xlfn.XLOOKUP(L309,Eigenschaften!$B$20:$B$27,Eigenschaften!$H$20:$H$27,"NaN",1)</f>
        <v>12</v>
      </c>
      <c r="N309" s="295" t="str">
        <f>_xlfn.XLOOKUP(T309,Eigenschaften!$C$20:$C$27,Eigenschaften!$B$20:$B$27)</f>
        <v>Charisma</v>
      </c>
      <c r="O309" s="295">
        <f>_xlfn.XLOOKUP(N309,Eigenschaften!$B$20:$B$27,Eigenschaften!$H$20:$H$27,"NaN",1)</f>
        <v>15</v>
      </c>
      <c r="P309" s="295" t="str">
        <f>_xlfn.XLOOKUP(U309,Eigenschaften!$C$20:$C$27,Eigenschaften!$B$20:$B$27)</f>
        <v>Körperkraft</v>
      </c>
      <c r="Q309" s="295">
        <f>_xlfn.XLOOKUP(P309,Eigenschaften!$B$20:$B$27,Eigenschaften!$H$20:$H$27,"NaN",1)</f>
        <v>12</v>
      </c>
      <c r="R309" s="244"/>
      <c r="S309" s="244" t="str" cm="1">
        <f t="array" ref="S309:U309">_xlfn.TEXTSPLIT(F309,"/",,,,3)</f>
        <v>KL</v>
      </c>
      <c r="T309" s="244" t="str">
        <v>CH</v>
      </c>
      <c r="U309" s="244" t="str">
        <v>KK</v>
      </c>
      <c r="V309" s="325">
        <f t="shared" si="95"/>
        <v>0</v>
      </c>
      <c r="W309" s="325">
        <f t="shared" si="95"/>
        <v>0</v>
      </c>
      <c r="X309" s="325">
        <f t="shared" si="95"/>
        <v>0</v>
      </c>
      <c r="Y309" s="325">
        <f t="shared" si="95"/>
        <v>1</v>
      </c>
      <c r="Z309" s="325">
        <f t="shared" si="95"/>
        <v>0</v>
      </c>
      <c r="AA309" s="325">
        <f t="shared" si="95"/>
        <v>0</v>
      </c>
      <c r="AB309" s="325">
        <f t="shared" si="95"/>
        <v>0</v>
      </c>
      <c r="AC309" s="325">
        <f t="shared" si="95"/>
        <v>0</v>
      </c>
      <c r="AD309" s="325">
        <f t="shared" si="95"/>
        <v>1</v>
      </c>
      <c r="AE309" s="325">
        <f t="shared" si="95"/>
        <v>0</v>
      </c>
      <c r="AF309" s="325">
        <f t="shared" si="96"/>
        <v>0</v>
      </c>
      <c r="AG309" s="325">
        <f t="shared" si="96"/>
        <v>0</v>
      </c>
      <c r="AH309" s="325">
        <f t="shared" si="96"/>
        <v>0</v>
      </c>
      <c r="AI309" s="325">
        <f t="shared" si="96"/>
        <v>0</v>
      </c>
      <c r="AJ309" s="325">
        <f t="shared" si="96"/>
        <v>0</v>
      </c>
      <c r="AK309" s="325">
        <f t="shared" si="96"/>
        <v>0</v>
      </c>
      <c r="AL309" s="325">
        <f t="shared" si="96"/>
        <v>0</v>
      </c>
      <c r="AM309" s="325">
        <f t="shared" si="96"/>
        <v>0</v>
      </c>
      <c r="AN309" s="325">
        <f t="shared" si="96"/>
        <v>0</v>
      </c>
      <c r="AO309" s="325">
        <f t="shared" si="96"/>
        <v>0</v>
      </c>
      <c r="AP309" s="325">
        <f t="shared" si="97"/>
        <v>0</v>
      </c>
      <c r="AQ309" s="325">
        <f t="shared" si="97"/>
        <v>0</v>
      </c>
      <c r="AR309" s="325">
        <f t="shared" si="97"/>
        <v>0</v>
      </c>
      <c r="AS309" s="325">
        <f t="shared" si="97"/>
        <v>0</v>
      </c>
      <c r="AT309" s="325">
        <f t="shared" si="97"/>
        <v>0</v>
      </c>
      <c r="AU309" s="325">
        <f t="shared" si="97"/>
        <v>1</v>
      </c>
      <c r="AV309" s="325">
        <f t="shared" si="97"/>
        <v>0</v>
      </c>
      <c r="AW309" s="244"/>
      <c r="AX309" s="244"/>
      <c r="AY309" s="244"/>
      <c r="AZ309" s="244"/>
      <c r="BA309" s="244"/>
      <c r="BB309" s="244"/>
    </row>
    <row r="310" spans="1:54" hidden="1">
      <c r="A310" s="326" t="s">
        <v>1558</v>
      </c>
      <c r="B310" s="295" t="str">
        <f t="shared" si="90"/>
        <v>Mut: 13 | Intuition: 15 | Gewandheit: 14</v>
      </c>
      <c r="C310" s="308" t="b">
        <v>0</v>
      </c>
      <c r="D310" s="308" t="b">
        <v>0</v>
      </c>
      <c r="E310" s="308" t="b">
        <f t="shared" si="91"/>
        <v>0</v>
      </c>
      <c r="F310" s="324" t="s">
        <v>402</v>
      </c>
      <c r="G310" s="324" t="s">
        <v>113</v>
      </c>
      <c r="H310" s="324" t="s">
        <v>1559</v>
      </c>
      <c r="I310" s="324" t="s">
        <v>1560</v>
      </c>
      <c r="J310" s="295">
        <f>_xlfn.XLOOKUP(G310,Rechner!$A$17:$A$25,Rechner!$B$17:$B$25)</f>
        <v>5</v>
      </c>
      <c r="K310" s="295" t="str">
        <f>_xlfn.XLOOKUP(J310-SUMIF($V$31:$AV$31,TRUE,V310:AV310)-IF(D310=TRUE,1,0),Rechner!$B$17:$B$25,Rechner!$A$17:$A$25,"A+")</f>
        <v>C</v>
      </c>
      <c r="L310" s="295" t="str">
        <f>_xlfn.XLOOKUP(S310,Eigenschaften!$C$20:$C$27,Eigenschaften!$B$20:$B$27)</f>
        <v>Mut</v>
      </c>
      <c r="M310" s="295">
        <f>_xlfn.XLOOKUP(L310,Eigenschaften!$B$20:$B$27,Eigenschaften!$H$20:$H$27,"NaN",1)</f>
        <v>13</v>
      </c>
      <c r="N310" s="295" t="str">
        <f>_xlfn.XLOOKUP(T310,Eigenschaften!$C$20:$C$27,Eigenschaften!$B$20:$B$27)</f>
        <v>Intuition</v>
      </c>
      <c r="O310" s="295">
        <f>_xlfn.XLOOKUP(N310,Eigenschaften!$B$20:$B$27,Eigenschaften!$H$20:$H$27,"NaN",1)</f>
        <v>15</v>
      </c>
      <c r="P310" s="295" t="str">
        <f>_xlfn.XLOOKUP(U310,Eigenschaften!$C$20:$C$27,Eigenschaften!$B$20:$B$27)</f>
        <v>Gewandheit</v>
      </c>
      <c r="Q310" s="295">
        <f>_xlfn.XLOOKUP(P310,Eigenschaften!$B$20:$B$27,Eigenschaften!$H$20:$H$27,"NaN",1)</f>
        <v>14</v>
      </c>
      <c r="R310" s="244"/>
      <c r="S310" s="244" t="str" cm="1">
        <f t="array" ref="S310:U310">_xlfn.TEXTSPLIT(F310,"/",,,,3)</f>
        <v>MU</v>
      </c>
      <c r="T310" s="244" t="str">
        <v>IN</v>
      </c>
      <c r="U310" s="244" t="str">
        <v>GE</v>
      </c>
      <c r="V310" s="325">
        <f t="shared" si="95"/>
        <v>0</v>
      </c>
      <c r="W310" s="325">
        <f t="shared" si="95"/>
        <v>0</v>
      </c>
      <c r="X310" s="325">
        <f t="shared" si="95"/>
        <v>1</v>
      </c>
      <c r="Y310" s="325">
        <f t="shared" si="95"/>
        <v>1</v>
      </c>
      <c r="Z310" s="325">
        <f t="shared" si="95"/>
        <v>1</v>
      </c>
      <c r="AA310" s="325">
        <f t="shared" si="95"/>
        <v>0</v>
      </c>
      <c r="AB310" s="325">
        <f t="shared" si="95"/>
        <v>0</v>
      </c>
      <c r="AC310" s="325">
        <f t="shared" si="95"/>
        <v>0</v>
      </c>
      <c r="AD310" s="325">
        <f t="shared" si="95"/>
        <v>0</v>
      </c>
      <c r="AE310" s="325">
        <f t="shared" si="95"/>
        <v>0</v>
      </c>
      <c r="AF310" s="325">
        <f t="shared" si="96"/>
        <v>0</v>
      </c>
      <c r="AG310" s="325">
        <f t="shared" si="96"/>
        <v>0</v>
      </c>
      <c r="AH310" s="325">
        <f t="shared" si="96"/>
        <v>0</v>
      </c>
      <c r="AI310" s="325">
        <f t="shared" si="96"/>
        <v>0</v>
      </c>
      <c r="AJ310" s="325">
        <f t="shared" si="96"/>
        <v>0</v>
      </c>
      <c r="AK310" s="325">
        <f t="shared" si="96"/>
        <v>0</v>
      </c>
      <c r="AL310" s="325">
        <f t="shared" si="96"/>
        <v>0</v>
      </c>
      <c r="AM310" s="325">
        <f t="shared" si="96"/>
        <v>0</v>
      </c>
      <c r="AN310" s="325">
        <f t="shared" si="96"/>
        <v>0</v>
      </c>
      <c r="AO310" s="325">
        <f t="shared" si="96"/>
        <v>0</v>
      </c>
      <c r="AP310" s="325">
        <f t="shared" si="97"/>
        <v>0</v>
      </c>
      <c r="AQ310" s="325">
        <f t="shared" si="97"/>
        <v>0</v>
      </c>
      <c r="AR310" s="325">
        <f t="shared" si="97"/>
        <v>0</v>
      </c>
      <c r="AS310" s="325">
        <f t="shared" si="97"/>
        <v>0</v>
      </c>
      <c r="AT310" s="325">
        <f t="shared" si="97"/>
        <v>0</v>
      </c>
      <c r="AU310" s="325">
        <f t="shared" si="97"/>
        <v>0</v>
      </c>
      <c r="AV310" s="325">
        <f t="shared" si="97"/>
        <v>0</v>
      </c>
      <c r="AW310" s="244"/>
      <c r="AX310" s="244"/>
      <c r="AY310" s="244"/>
      <c r="AZ310" s="244"/>
      <c r="BA310" s="244"/>
      <c r="BB310" s="244"/>
    </row>
    <row r="311" spans="1:54" hidden="1">
      <c r="A311" s="326" t="s">
        <v>1561</v>
      </c>
      <c r="B311" s="295" t="str">
        <f t="shared" si="90"/>
        <v>Klugheit: 12 | Klugheit: 12 | Intuition: 15</v>
      </c>
      <c r="C311" s="308" t="b">
        <v>0</v>
      </c>
      <c r="D311" s="308" t="b">
        <v>0</v>
      </c>
      <c r="E311" s="308" t="b">
        <f t="shared" si="91"/>
        <v>0</v>
      </c>
      <c r="F311" s="324" t="s">
        <v>421</v>
      </c>
      <c r="G311" s="324" t="s">
        <v>429</v>
      </c>
      <c r="H311" s="324" t="s">
        <v>372</v>
      </c>
      <c r="I311" s="324" t="s">
        <v>413</v>
      </c>
      <c r="J311" s="295">
        <f>_xlfn.XLOOKUP(G311,Rechner!$A$17:$A$25,Rechner!$B$17:$B$25)</f>
        <v>6</v>
      </c>
      <c r="K311" s="295" t="str">
        <f>_xlfn.XLOOKUP(J311-SUMIF($V$31:$AV$31,TRUE,V311:AV311)-IF(D311=TRUE,1,0),Rechner!$B$17:$B$25,Rechner!$A$17:$A$25,"A+")</f>
        <v>E</v>
      </c>
      <c r="L311" s="295" t="str">
        <f>_xlfn.XLOOKUP(S311,Eigenschaften!$C$20:$C$27,Eigenschaften!$B$20:$B$27)</f>
        <v>Klugheit</v>
      </c>
      <c r="M311" s="295">
        <f>_xlfn.XLOOKUP(L311,Eigenschaften!$B$20:$B$27,Eigenschaften!$H$20:$H$27,"NaN",1)</f>
        <v>12</v>
      </c>
      <c r="N311" s="295" t="str">
        <f>_xlfn.XLOOKUP(T311,Eigenschaften!$C$20:$C$27,Eigenschaften!$B$20:$B$27)</f>
        <v>Klugheit</v>
      </c>
      <c r="O311" s="295">
        <f>_xlfn.XLOOKUP(N311,Eigenschaften!$B$20:$B$27,Eigenschaften!$H$20:$H$27,"NaN",1)</f>
        <v>12</v>
      </c>
      <c r="P311" s="295" t="str">
        <f>_xlfn.XLOOKUP(U311,Eigenschaften!$C$20:$C$27,Eigenschaften!$B$20:$B$27)</f>
        <v>Intuition</v>
      </c>
      <c r="Q311" s="295">
        <f>_xlfn.XLOOKUP(P311,Eigenschaften!$B$20:$B$27,Eigenschaften!$H$20:$H$27,"NaN",1)</f>
        <v>15</v>
      </c>
      <c r="R311" s="244"/>
      <c r="S311" s="244" t="str" cm="1">
        <f t="array" ref="S311:U311">_xlfn.TEXTSPLIT(F311,"/",,,,3)</f>
        <v>KL</v>
      </c>
      <c r="T311" s="244" t="str">
        <v>KL</v>
      </c>
      <c r="U311" s="244" t="str">
        <v>IN</v>
      </c>
      <c r="V311" s="325">
        <f t="shared" si="95"/>
        <v>0</v>
      </c>
      <c r="W311" s="325">
        <f t="shared" si="95"/>
        <v>0</v>
      </c>
      <c r="X311" s="325">
        <f t="shared" si="95"/>
        <v>0</v>
      </c>
      <c r="Y311" s="325">
        <f t="shared" si="95"/>
        <v>0</v>
      </c>
      <c r="Z311" s="325">
        <f t="shared" si="95"/>
        <v>0</v>
      </c>
      <c r="AA311" s="325">
        <f t="shared" si="95"/>
        <v>0</v>
      </c>
      <c r="AB311" s="325">
        <f t="shared" si="95"/>
        <v>0</v>
      </c>
      <c r="AC311" s="325">
        <f t="shared" si="95"/>
        <v>0</v>
      </c>
      <c r="AD311" s="325">
        <f t="shared" si="95"/>
        <v>0</v>
      </c>
      <c r="AE311" s="325">
        <f t="shared" si="95"/>
        <v>0</v>
      </c>
      <c r="AF311" s="325">
        <f t="shared" si="96"/>
        <v>0</v>
      </c>
      <c r="AG311" s="325">
        <f t="shared" si="96"/>
        <v>0</v>
      </c>
      <c r="AH311" s="325">
        <f t="shared" si="96"/>
        <v>0</v>
      </c>
      <c r="AI311" s="325">
        <f t="shared" si="96"/>
        <v>0</v>
      </c>
      <c r="AJ311" s="325">
        <f t="shared" si="96"/>
        <v>1</v>
      </c>
      <c r="AK311" s="325">
        <f t="shared" si="96"/>
        <v>0</v>
      </c>
      <c r="AL311" s="325">
        <f t="shared" si="96"/>
        <v>0</v>
      </c>
      <c r="AM311" s="325">
        <f t="shared" si="96"/>
        <v>0</v>
      </c>
      <c r="AN311" s="325">
        <f t="shared" si="96"/>
        <v>0</v>
      </c>
      <c r="AO311" s="325">
        <f t="shared" si="96"/>
        <v>0</v>
      </c>
      <c r="AP311" s="325">
        <f t="shared" si="97"/>
        <v>0</v>
      </c>
      <c r="AQ311" s="325">
        <f t="shared" si="97"/>
        <v>0</v>
      </c>
      <c r="AR311" s="325">
        <f t="shared" si="97"/>
        <v>0</v>
      </c>
      <c r="AS311" s="325">
        <f t="shared" si="97"/>
        <v>0</v>
      </c>
      <c r="AT311" s="325">
        <f t="shared" si="97"/>
        <v>0</v>
      </c>
      <c r="AU311" s="325">
        <f t="shared" si="97"/>
        <v>0</v>
      </c>
      <c r="AV311" s="325">
        <f t="shared" si="97"/>
        <v>0</v>
      </c>
      <c r="AW311" s="244"/>
      <c r="AX311" s="244"/>
      <c r="AY311" s="244"/>
      <c r="AZ311" s="244"/>
      <c r="BA311" s="244"/>
      <c r="BB311" s="244"/>
    </row>
    <row r="312" spans="1:54" hidden="1">
      <c r="A312" s="326" t="s">
        <v>1562</v>
      </c>
      <c r="B312" s="295" t="str">
        <f t="shared" si="90"/>
        <v>Intuition: 15 | Charisma: 15 | Fingerfertigkeit: 10</v>
      </c>
      <c r="C312" s="308" t="b">
        <v>0</v>
      </c>
      <c r="D312" s="308" t="b">
        <v>0</v>
      </c>
      <c r="E312" s="308" t="b">
        <f t="shared" si="91"/>
        <v>0</v>
      </c>
      <c r="F312" s="324" t="s">
        <v>314</v>
      </c>
      <c r="G312" s="324" t="s">
        <v>110</v>
      </c>
      <c r="H312" s="324" t="s">
        <v>1563</v>
      </c>
      <c r="I312" s="324" t="s">
        <v>1564</v>
      </c>
      <c r="J312" s="295">
        <f>_xlfn.XLOOKUP(G312,Rechner!$A$17:$A$25,Rechner!$B$17:$B$25)</f>
        <v>4</v>
      </c>
      <c r="K312" s="295" t="str">
        <f>_xlfn.XLOOKUP(J312-SUMIF($V$31:$AV$31,TRUE,V312:AV312)-IF(D312=TRUE,1,0),Rechner!$B$17:$B$25,Rechner!$A$17:$A$25,"A+")</f>
        <v>C</v>
      </c>
      <c r="L312" s="295" t="str">
        <f>_xlfn.XLOOKUP(S312,Eigenschaften!$C$20:$C$27,Eigenschaften!$B$20:$B$27)</f>
        <v>Intuition</v>
      </c>
      <c r="M312" s="295">
        <f>_xlfn.XLOOKUP(L312,Eigenschaften!$B$20:$B$27,Eigenschaften!$H$20:$H$27,"NaN",1)</f>
        <v>15</v>
      </c>
      <c r="N312" s="295" t="str">
        <f>_xlfn.XLOOKUP(T312,Eigenschaften!$C$20:$C$27,Eigenschaften!$B$20:$B$27)</f>
        <v>Charisma</v>
      </c>
      <c r="O312" s="295">
        <f>_xlfn.XLOOKUP(N312,Eigenschaften!$B$20:$B$27,Eigenschaften!$H$20:$H$27,"NaN",1)</f>
        <v>15</v>
      </c>
      <c r="P312" s="295" t="str">
        <f>_xlfn.XLOOKUP(U312,Eigenschaften!$C$20:$C$27,Eigenschaften!$B$20:$B$27)</f>
        <v>Fingerfertigkeit</v>
      </c>
      <c r="Q312" s="295">
        <f>_xlfn.XLOOKUP(P312,Eigenschaften!$B$20:$B$27,Eigenschaften!$H$20:$H$27,"NaN",1)</f>
        <v>10</v>
      </c>
      <c r="R312" s="244"/>
      <c r="S312" s="244" t="str" cm="1">
        <f t="array" ref="S312:U312">_xlfn.TEXTSPLIT(F312,"/",,,,3)</f>
        <v>IN</v>
      </c>
      <c r="T312" s="244" t="str">
        <v>CH</v>
      </c>
      <c r="U312" s="244" t="str">
        <v>FF</v>
      </c>
      <c r="V312" s="325">
        <f t="shared" si="95"/>
        <v>0</v>
      </c>
      <c r="W312" s="325">
        <f t="shared" si="95"/>
        <v>0</v>
      </c>
      <c r="X312" s="325">
        <f t="shared" si="95"/>
        <v>0</v>
      </c>
      <c r="Y312" s="325">
        <f t="shared" si="95"/>
        <v>1</v>
      </c>
      <c r="Z312" s="325">
        <f t="shared" si="95"/>
        <v>0</v>
      </c>
      <c r="AA312" s="325">
        <f t="shared" si="95"/>
        <v>0</v>
      </c>
      <c r="AB312" s="325">
        <f t="shared" si="95"/>
        <v>1</v>
      </c>
      <c r="AC312" s="325">
        <f t="shared" si="95"/>
        <v>0</v>
      </c>
      <c r="AD312" s="325">
        <f t="shared" si="95"/>
        <v>0</v>
      </c>
      <c r="AE312" s="325">
        <f t="shared" si="95"/>
        <v>0</v>
      </c>
      <c r="AF312" s="325">
        <f t="shared" si="96"/>
        <v>0</v>
      </c>
      <c r="AG312" s="325">
        <f t="shared" si="96"/>
        <v>0</v>
      </c>
      <c r="AH312" s="325">
        <f t="shared" si="96"/>
        <v>0</v>
      </c>
      <c r="AI312" s="325">
        <f t="shared" si="96"/>
        <v>0</v>
      </c>
      <c r="AJ312" s="325">
        <f t="shared" si="96"/>
        <v>0</v>
      </c>
      <c r="AK312" s="325">
        <f t="shared" si="96"/>
        <v>0</v>
      </c>
      <c r="AL312" s="325">
        <f t="shared" si="96"/>
        <v>0</v>
      </c>
      <c r="AM312" s="325">
        <f t="shared" si="96"/>
        <v>0</v>
      </c>
      <c r="AN312" s="325">
        <f t="shared" si="96"/>
        <v>0</v>
      </c>
      <c r="AO312" s="325">
        <f t="shared" si="96"/>
        <v>0</v>
      </c>
      <c r="AP312" s="325">
        <f t="shared" si="97"/>
        <v>0</v>
      </c>
      <c r="AQ312" s="325">
        <f t="shared" si="97"/>
        <v>1</v>
      </c>
      <c r="AR312" s="325">
        <f t="shared" si="97"/>
        <v>0</v>
      </c>
      <c r="AS312" s="325">
        <f t="shared" si="97"/>
        <v>0</v>
      </c>
      <c r="AT312" s="325">
        <f t="shared" si="97"/>
        <v>0</v>
      </c>
      <c r="AU312" s="325">
        <f t="shared" si="97"/>
        <v>0</v>
      </c>
      <c r="AV312" s="325">
        <f t="shared" si="97"/>
        <v>0</v>
      </c>
      <c r="AW312" s="244"/>
      <c r="AX312" s="244"/>
      <c r="AY312" s="244"/>
      <c r="AZ312" s="244"/>
      <c r="BA312" s="244"/>
      <c r="BB312" s="244"/>
    </row>
    <row r="313" spans="1:54" hidden="1">
      <c r="A313" s="326" t="s">
        <v>1565</v>
      </c>
      <c r="B313" s="295" t="str">
        <f t="shared" si="90"/>
        <v>Intuition: 15 | Intuition: 15 | Fingerfertigkeit: 10</v>
      </c>
      <c r="C313" s="308" t="b">
        <v>0</v>
      </c>
      <c r="D313" s="308" t="b">
        <v>0</v>
      </c>
      <c r="E313" s="308" t="b">
        <f t="shared" si="91"/>
        <v>0</v>
      </c>
      <c r="F313" s="324" t="s">
        <v>707</v>
      </c>
      <c r="G313" s="324" t="s">
        <v>110</v>
      </c>
      <c r="H313" s="324" t="s">
        <v>1507</v>
      </c>
      <c r="I313" s="324" t="s">
        <v>565</v>
      </c>
      <c r="J313" s="295">
        <f>_xlfn.XLOOKUP(G313,Rechner!$A$17:$A$25,Rechner!$B$17:$B$25)</f>
        <v>4</v>
      </c>
      <c r="K313" s="295" t="str">
        <f>_xlfn.XLOOKUP(J313-SUMIF($V$31:$AV$31,TRUE,V313:AV313)-IF(D313=TRUE,1,0),Rechner!$B$17:$B$25,Rechner!$A$17:$A$25,"A+")</f>
        <v>C</v>
      </c>
      <c r="L313" s="295" t="str">
        <f>_xlfn.XLOOKUP(S313,Eigenschaften!$C$20:$C$27,Eigenschaften!$B$20:$B$27)</f>
        <v>Intuition</v>
      </c>
      <c r="M313" s="295">
        <f>_xlfn.XLOOKUP(L313,Eigenschaften!$B$20:$B$27,Eigenschaften!$H$20:$H$27,"NaN",1)</f>
        <v>15</v>
      </c>
      <c r="N313" s="295" t="str">
        <f>_xlfn.XLOOKUP(T313,Eigenschaften!$C$20:$C$27,Eigenschaften!$B$20:$B$27)</f>
        <v>Intuition</v>
      </c>
      <c r="O313" s="295">
        <f>_xlfn.XLOOKUP(N313,Eigenschaften!$B$20:$B$27,Eigenschaften!$H$20:$H$27,"NaN",1)</f>
        <v>15</v>
      </c>
      <c r="P313" s="295" t="str">
        <f>_xlfn.XLOOKUP(U313,Eigenschaften!$C$20:$C$27,Eigenschaften!$B$20:$B$27)</f>
        <v>Fingerfertigkeit</v>
      </c>
      <c r="Q313" s="295">
        <f>_xlfn.XLOOKUP(P313,Eigenschaften!$B$20:$B$27,Eigenschaften!$H$20:$H$27,"NaN",1)</f>
        <v>10</v>
      </c>
      <c r="R313" s="244"/>
      <c r="S313" s="244" t="str" cm="1">
        <f t="array" ref="S313:U313">_xlfn.TEXTSPLIT(F313,"/",,,,3)</f>
        <v>IN</v>
      </c>
      <c r="T313" s="244" t="str">
        <v>IN</v>
      </c>
      <c r="U313" s="244" t="str">
        <v>FF</v>
      </c>
      <c r="V313" s="325">
        <f t="shared" si="95"/>
        <v>1</v>
      </c>
      <c r="W313" s="325">
        <f t="shared" si="95"/>
        <v>0</v>
      </c>
      <c r="X313" s="325">
        <f t="shared" si="95"/>
        <v>0</v>
      </c>
      <c r="Y313" s="325">
        <f t="shared" si="95"/>
        <v>0</v>
      </c>
      <c r="Z313" s="325">
        <f t="shared" si="95"/>
        <v>0</v>
      </c>
      <c r="AA313" s="325">
        <f t="shared" si="95"/>
        <v>0</v>
      </c>
      <c r="AB313" s="325">
        <f t="shared" si="95"/>
        <v>0</v>
      </c>
      <c r="AC313" s="325">
        <f t="shared" si="95"/>
        <v>0</v>
      </c>
      <c r="AD313" s="325">
        <f t="shared" si="95"/>
        <v>0</v>
      </c>
      <c r="AE313" s="325">
        <f t="shared" si="95"/>
        <v>0</v>
      </c>
      <c r="AF313" s="325">
        <f t="shared" si="96"/>
        <v>0</v>
      </c>
      <c r="AG313" s="325">
        <f t="shared" si="96"/>
        <v>0</v>
      </c>
      <c r="AH313" s="325">
        <f t="shared" si="96"/>
        <v>0</v>
      </c>
      <c r="AI313" s="325">
        <f t="shared" si="96"/>
        <v>0</v>
      </c>
      <c r="AJ313" s="325">
        <f t="shared" si="96"/>
        <v>0</v>
      </c>
      <c r="AK313" s="325">
        <f t="shared" si="96"/>
        <v>0</v>
      </c>
      <c r="AL313" s="325">
        <f t="shared" si="96"/>
        <v>0</v>
      </c>
      <c r="AM313" s="325">
        <f t="shared" si="96"/>
        <v>0</v>
      </c>
      <c r="AN313" s="325">
        <f t="shared" si="96"/>
        <v>0</v>
      </c>
      <c r="AO313" s="325">
        <f t="shared" si="96"/>
        <v>0</v>
      </c>
      <c r="AP313" s="325">
        <f t="shared" si="97"/>
        <v>0</v>
      </c>
      <c r="AQ313" s="325">
        <f t="shared" si="97"/>
        <v>0</v>
      </c>
      <c r="AR313" s="325">
        <f t="shared" si="97"/>
        <v>0</v>
      </c>
      <c r="AS313" s="325">
        <f t="shared" si="97"/>
        <v>0</v>
      </c>
      <c r="AT313" s="325">
        <f t="shared" si="97"/>
        <v>0</v>
      </c>
      <c r="AU313" s="325">
        <f t="shared" si="97"/>
        <v>1</v>
      </c>
      <c r="AV313" s="325">
        <f t="shared" si="97"/>
        <v>0</v>
      </c>
      <c r="AW313" s="244"/>
      <c r="AX313" s="244"/>
      <c r="AY313" s="244"/>
      <c r="AZ313" s="244"/>
      <c r="BA313" s="244"/>
      <c r="BB313" s="244"/>
    </row>
    <row r="314" spans="1:54" hidden="1">
      <c r="A314" s="326" t="s">
        <v>1566</v>
      </c>
      <c r="B314" s="295" t="str">
        <f t="shared" si="90"/>
        <v>Klugheit: 12 | Fingerfertigkeit: 10 | Konstitution: 12</v>
      </c>
      <c r="C314" s="308" t="b">
        <v>0</v>
      </c>
      <c r="D314" s="308" t="b">
        <v>0</v>
      </c>
      <c r="E314" s="308" t="b">
        <f t="shared" si="91"/>
        <v>1</v>
      </c>
      <c r="F314" s="324" t="s">
        <v>295</v>
      </c>
      <c r="G314" s="324" t="s">
        <v>113</v>
      </c>
      <c r="H314" s="324" t="s">
        <v>1567</v>
      </c>
      <c r="I314" s="324" t="s">
        <v>1568</v>
      </c>
      <c r="J314" s="295">
        <f>_xlfn.XLOOKUP(G314,Rechner!$A$17:$A$25,Rechner!$B$17:$B$25)</f>
        <v>5</v>
      </c>
      <c r="K314" s="295" t="str">
        <f>_xlfn.XLOOKUP(J314-SUMIF($V$31:$AV$31,TRUE,V314:AV314)-IF(D314=TRUE,1,0),Rechner!$B$17:$B$25,Rechner!$A$17:$A$25,"A+")</f>
        <v>D</v>
      </c>
      <c r="L314" s="295" t="str">
        <f>_xlfn.XLOOKUP(S314,Eigenschaften!$C$20:$C$27,Eigenschaften!$B$20:$B$27)</f>
        <v>Klugheit</v>
      </c>
      <c r="M314" s="295">
        <f>_xlfn.XLOOKUP(L314,Eigenschaften!$B$20:$B$27,Eigenschaften!$H$20:$H$27,"NaN",1)</f>
        <v>12</v>
      </c>
      <c r="N314" s="295" t="str">
        <f>_xlfn.XLOOKUP(T314,Eigenschaften!$C$20:$C$27,Eigenschaften!$B$20:$B$27)</f>
        <v>Fingerfertigkeit</v>
      </c>
      <c r="O314" s="295">
        <f>_xlfn.XLOOKUP(N314,Eigenschaften!$B$20:$B$27,Eigenschaften!$H$20:$H$27,"NaN",1)</f>
        <v>10</v>
      </c>
      <c r="P314" s="295" t="str">
        <f>_xlfn.XLOOKUP(U314,Eigenschaften!$C$20:$C$27,Eigenschaften!$B$20:$B$27)</f>
        <v>Konstitution</v>
      </c>
      <c r="Q314" s="295">
        <f>_xlfn.XLOOKUP(P314,Eigenschaften!$B$20:$B$27,Eigenschaften!$H$20:$H$27,"NaN",1)</f>
        <v>12</v>
      </c>
      <c r="R314" s="244"/>
      <c r="S314" s="244" t="str" cm="1">
        <f t="array" ref="S314:U314">_xlfn.TEXTSPLIT(F314,"/",,,,3)</f>
        <v>KL</v>
      </c>
      <c r="T314" s="244" t="str">
        <v>FF</v>
      </c>
      <c r="U314" s="244" t="str">
        <v>KO</v>
      </c>
      <c r="V314" s="325">
        <f t="shared" si="95"/>
        <v>0</v>
      </c>
      <c r="W314" s="325">
        <f t="shared" si="95"/>
        <v>0</v>
      </c>
      <c r="X314" s="325">
        <f t="shared" si="95"/>
        <v>0</v>
      </c>
      <c r="Y314" s="325">
        <f t="shared" si="95"/>
        <v>0</v>
      </c>
      <c r="Z314" s="325">
        <f t="shared" si="95"/>
        <v>0</v>
      </c>
      <c r="AA314" s="325">
        <f t="shared" si="95"/>
        <v>0</v>
      </c>
      <c r="AB314" s="325">
        <f t="shared" si="95"/>
        <v>0</v>
      </c>
      <c r="AC314" s="325">
        <f t="shared" si="95"/>
        <v>0</v>
      </c>
      <c r="AD314" s="325">
        <f t="shared" si="95"/>
        <v>0</v>
      </c>
      <c r="AE314" s="325">
        <f t="shared" si="95"/>
        <v>0</v>
      </c>
      <c r="AF314" s="325">
        <f t="shared" si="96"/>
        <v>0</v>
      </c>
      <c r="AG314" s="325">
        <f t="shared" si="96"/>
        <v>0</v>
      </c>
      <c r="AH314" s="325">
        <f t="shared" si="96"/>
        <v>0</v>
      </c>
      <c r="AI314" s="325">
        <f t="shared" si="96"/>
        <v>0</v>
      </c>
      <c r="AJ314" s="325">
        <f t="shared" si="96"/>
        <v>0</v>
      </c>
      <c r="AK314" s="325">
        <f t="shared" si="96"/>
        <v>0</v>
      </c>
      <c r="AL314" s="325">
        <f t="shared" si="96"/>
        <v>0</v>
      </c>
      <c r="AM314" s="325">
        <f t="shared" si="96"/>
        <v>0</v>
      </c>
      <c r="AN314" s="325">
        <f t="shared" si="96"/>
        <v>1</v>
      </c>
      <c r="AO314" s="325">
        <f t="shared" si="96"/>
        <v>0</v>
      </c>
      <c r="AP314" s="325">
        <f t="shared" si="97"/>
        <v>0</v>
      </c>
      <c r="AQ314" s="325">
        <f t="shared" si="97"/>
        <v>1</v>
      </c>
      <c r="AR314" s="325">
        <f t="shared" si="97"/>
        <v>0</v>
      </c>
      <c r="AS314" s="325">
        <f t="shared" si="97"/>
        <v>0</v>
      </c>
      <c r="AT314" s="325">
        <f t="shared" si="97"/>
        <v>0</v>
      </c>
      <c r="AU314" s="325">
        <f t="shared" si="97"/>
        <v>0</v>
      </c>
      <c r="AV314" s="325">
        <f t="shared" si="97"/>
        <v>0</v>
      </c>
      <c r="AW314" s="244"/>
      <c r="AX314" s="244"/>
      <c r="AY314" s="244"/>
      <c r="AZ314" s="244"/>
      <c r="BA314" s="244"/>
      <c r="BB314" s="244"/>
    </row>
    <row r="315" spans="1:54" hidden="1">
      <c r="A315" s="326" t="s">
        <v>1569</v>
      </c>
      <c r="B315" s="295" t="str">
        <f t="shared" si="90"/>
        <v>Mut: 13 | Mut: 13 | Konstitution: 12</v>
      </c>
      <c r="C315" s="308" t="b">
        <v>0</v>
      </c>
      <c r="D315" s="308" t="b">
        <v>0</v>
      </c>
      <c r="E315" s="308" t="b">
        <f t="shared" si="91"/>
        <v>0</v>
      </c>
      <c r="F315" s="324" t="s">
        <v>894</v>
      </c>
      <c r="G315" s="324" t="s">
        <v>110</v>
      </c>
      <c r="H315" s="324" t="s">
        <v>1570</v>
      </c>
      <c r="I315" s="324" t="s">
        <v>882</v>
      </c>
      <c r="J315" s="295">
        <f>_xlfn.XLOOKUP(G315,Rechner!$A$17:$A$25,Rechner!$B$17:$B$25)</f>
        <v>4</v>
      </c>
      <c r="K315" s="295" t="str">
        <f>_xlfn.XLOOKUP(J315-SUMIF($V$31:$AV$31,TRUE,V315:AV315)-IF(D315=TRUE,1,0),Rechner!$B$17:$B$25,Rechner!$A$17:$A$25,"A+")</f>
        <v>A</v>
      </c>
      <c r="L315" s="295" t="str">
        <f>_xlfn.XLOOKUP(S315,Eigenschaften!$C$20:$C$27,Eigenschaften!$B$20:$B$27)</f>
        <v>Mut</v>
      </c>
      <c r="M315" s="295">
        <f>_xlfn.XLOOKUP(L315,Eigenschaften!$B$20:$B$27,Eigenschaften!$H$20:$H$27,"NaN",1)</f>
        <v>13</v>
      </c>
      <c r="N315" s="295" t="str">
        <f>_xlfn.XLOOKUP(T315,Eigenschaften!$C$20:$C$27,Eigenschaften!$B$20:$B$27)</f>
        <v>Mut</v>
      </c>
      <c r="O315" s="295">
        <f>_xlfn.XLOOKUP(N315,Eigenschaften!$B$20:$B$27,Eigenschaften!$H$20:$H$27,"NaN",1)</f>
        <v>13</v>
      </c>
      <c r="P315" s="295" t="str">
        <f>_xlfn.XLOOKUP(U315,Eigenschaften!$C$20:$C$27,Eigenschaften!$B$20:$B$27)</f>
        <v>Konstitution</v>
      </c>
      <c r="Q315" s="295">
        <f>_xlfn.XLOOKUP(P315,Eigenschaften!$B$20:$B$27,Eigenschaften!$H$20:$H$27,"NaN",1)</f>
        <v>12</v>
      </c>
      <c r="R315" s="244"/>
      <c r="S315" s="244" t="str" cm="1">
        <f t="array" ref="S315:U315">_xlfn.TEXTSPLIT(F315,"/",,,,3)</f>
        <v>MU</v>
      </c>
      <c r="T315" s="244" t="str">
        <v>MU</v>
      </c>
      <c r="U315" s="244" t="str">
        <v>KO</v>
      </c>
      <c r="V315" s="325">
        <f t="shared" si="95"/>
        <v>0</v>
      </c>
      <c r="W315" s="325">
        <f t="shared" si="95"/>
        <v>0</v>
      </c>
      <c r="X315" s="325">
        <f t="shared" si="95"/>
        <v>1</v>
      </c>
      <c r="Y315" s="325">
        <f t="shared" si="95"/>
        <v>0</v>
      </c>
      <c r="Z315" s="325">
        <f t="shared" si="95"/>
        <v>0</v>
      </c>
      <c r="AA315" s="325">
        <f t="shared" si="95"/>
        <v>0</v>
      </c>
      <c r="AB315" s="325">
        <f t="shared" si="95"/>
        <v>0</v>
      </c>
      <c r="AC315" s="325">
        <f t="shared" si="95"/>
        <v>0</v>
      </c>
      <c r="AD315" s="325">
        <f t="shared" si="95"/>
        <v>0</v>
      </c>
      <c r="AE315" s="325">
        <f t="shared" si="95"/>
        <v>0</v>
      </c>
      <c r="AF315" s="325">
        <f t="shared" si="96"/>
        <v>1</v>
      </c>
      <c r="AG315" s="325">
        <f t="shared" si="96"/>
        <v>0</v>
      </c>
      <c r="AH315" s="325">
        <f t="shared" si="96"/>
        <v>0</v>
      </c>
      <c r="AI315" s="325">
        <f t="shared" si="96"/>
        <v>0</v>
      </c>
      <c r="AJ315" s="325">
        <f t="shared" si="96"/>
        <v>0</v>
      </c>
      <c r="AK315" s="325">
        <f t="shared" si="96"/>
        <v>0</v>
      </c>
      <c r="AL315" s="325">
        <f t="shared" si="96"/>
        <v>0</v>
      </c>
      <c r="AM315" s="325">
        <f t="shared" si="96"/>
        <v>0</v>
      </c>
      <c r="AN315" s="325">
        <f t="shared" si="96"/>
        <v>0</v>
      </c>
      <c r="AO315" s="325">
        <f t="shared" si="96"/>
        <v>0</v>
      </c>
      <c r="AP315" s="325">
        <f t="shared" si="97"/>
        <v>0</v>
      </c>
      <c r="AQ315" s="325">
        <f t="shared" si="97"/>
        <v>0</v>
      </c>
      <c r="AR315" s="325">
        <f t="shared" si="97"/>
        <v>0</v>
      </c>
      <c r="AS315" s="325">
        <f t="shared" si="97"/>
        <v>0</v>
      </c>
      <c r="AT315" s="325">
        <f t="shared" si="97"/>
        <v>0</v>
      </c>
      <c r="AU315" s="325">
        <f t="shared" si="97"/>
        <v>0</v>
      </c>
      <c r="AV315" s="325">
        <f t="shared" si="97"/>
        <v>0</v>
      </c>
      <c r="AW315" s="244"/>
      <c r="AX315" s="244"/>
      <c r="AY315" s="244"/>
      <c r="AZ315" s="244"/>
      <c r="BA315" s="244"/>
      <c r="BB315" s="244"/>
    </row>
    <row r="316" spans="1:54" hidden="1">
      <c r="A316" s="326" t="s">
        <v>1571</v>
      </c>
      <c r="B316" s="295" t="str">
        <f t="shared" si="90"/>
        <v>Mut: 13 | Intuition: 15 | Charisma: 15</v>
      </c>
      <c r="C316" s="308" t="b">
        <v>0</v>
      </c>
      <c r="D316" s="308" t="b">
        <v>0</v>
      </c>
      <c r="E316" s="308" t="b">
        <f t="shared" si="91"/>
        <v>1</v>
      </c>
      <c r="F316" s="324" t="s">
        <v>336</v>
      </c>
      <c r="G316" s="324" t="s">
        <v>125</v>
      </c>
      <c r="H316" s="324" t="s">
        <v>1572</v>
      </c>
      <c r="I316" s="324" t="s">
        <v>1573</v>
      </c>
      <c r="J316" s="295">
        <f>_xlfn.XLOOKUP(G316,Rechner!$A$17:$A$25,Rechner!$B$17:$B$25)</f>
        <v>3</v>
      </c>
      <c r="K316" s="295" t="str">
        <f>_xlfn.XLOOKUP(J316-SUMIF($V$31:$AV$31,TRUE,V316:AV316)-IF(D316=TRUE,1,0),Rechner!$B$17:$B$25,Rechner!$A$17:$A$25,"A+")</f>
        <v>B</v>
      </c>
      <c r="L316" s="295" t="str">
        <f>_xlfn.XLOOKUP(S316,Eigenschaften!$C$20:$C$27,Eigenschaften!$B$20:$B$27)</f>
        <v>Mut</v>
      </c>
      <c r="M316" s="295">
        <f>_xlfn.XLOOKUP(L316,Eigenschaften!$B$20:$B$27,Eigenschaften!$H$20:$H$27,"NaN",1)</f>
        <v>13</v>
      </c>
      <c r="N316" s="295" t="str">
        <f>_xlfn.XLOOKUP(T316,Eigenschaften!$C$20:$C$27,Eigenschaften!$B$20:$B$27)</f>
        <v>Intuition</v>
      </c>
      <c r="O316" s="295">
        <f>_xlfn.XLOOKUP(N316,Eigenschaften!$B$20:$B$27,Eigenschaften!$H$20:$H$27,"NaN",1)</f>
        <v>15</v>
      </c>
      <c r="P316" s="295" t="str">
        <f>_xlfn.XLOOKUP(U316,Eigenschaften!$C$20:$C$27,Eigenschaften!$B$20:$B$27)</f>
        <v>Charisma</v>
      </c>
      <c r="Q316" s="295">
        <f>_xlfn.XLOOKUP(P316,Eigenschaften!$B$20:$B$27,Eigenschaften!$H$20:$H$27,"NaN",1)</f>
        <v>15</v>
      </c>
      <c r="R316" s="244"/>
      <c r="S316" s="244" t="str" cm="1">
        <f t="array" ref="S316:U316">_xlfn.TEXTSPLIT(F316,"/",,,,3)</f>
        <v>MU</v>
      </c>
      <c r="T316" s="244" t="str">
        <v>IN</v>
      </c>
      <c r="U316" s="244" t="str">
        <v>CH</v>
      </c>
      <c r="V316" s="325">
        <f t="shared" si="95"/>
        <v>0</v>
      </c>
      <c r="W316" s="325">
        <f t="shared" si="95"/>
        <v>0</v>
      </c>
      <c r="X316" s="325">
        <f t="shared" si="95"/>
        <v>0</v>
      </c>
      <c r="Y316" s="325">
        <f t="shared" si="95"/>
        <v>0</v>
      </c>
      <c r="Z316" s="325">
        <f t="shared" si="95"/>
        <v>0</v>
      </c>
      <c r="AA316" s="325">
        <f t="shared" si="95"/>
        <v>0</v>
      </c>
      <c r="AB316" s="325">
        <f t="shared" si="95"/>
        <v>0</v>
      </c>
      <c r="AC316" s="325">
        <f t="shared" si="95"/>
        <v>0</v>
      </c>
      <c r="AD316" s="325">
        <f t="shared" si="95"/>
        <v>0</v>
      </c>
      <c r="AE316" s="325">
        <f t="shared" si="95"/>
        <v>0</v>
      </c>
      <c r="AF316" s="325">
        <f t="shared" si="96"/>
        <v>0</v>
      </c>
      <c r="AG316" s="325">
        <f t="shared" si="96"/>
        <v>0</v>
      </c>
      <c r="AH316" s="325">
        <f t="shared" si="96"/>
        <v>0</v>
      </c>
      <c r="AI316" s="325">
        <f t="shared" si="96"/>
        <v>0</v>
      </c>
      <c r="AJ316" s="325">
        <f t="shared" si="96"/>
        <v>0</v>
      </c>
      <c r="AK316" s="325">
        <f t="shared" si="96"/>
        <v>1</v>
      </c>
      <c r="AL316" s="325">
        <f t="shared" si="96"/>
        <v>0</v>
      </c>
      <c r="AM316" s="325">
        <f t="shared" si="96"/>
        <v>0</v>
      </c>
      <c r="AN316" s="325">
        <f t="shared" si="96"/>
        <v>0</v>
      </c>
      <c r="AO316" s="325">
        <f t="shared" si="96"/>
        <v>0</v>
      </c>
      <c r="AP316" s="325">
        <f t="shared" si="97"/>
        <v>0</v>
      </c>
      <c r="AQ316" s="325">
        <f t="shared" si="97"/>
        <v>0</v>
      </c>
      <c r="AR316" s="325">
        <f t="shared" si="97"/>
        <v>0</v>
      </c>
      <c r="AS316" s="325">
        <f t="shared" si="97"/>
        <v>0</v>
      </c>
      <c r="AT316" s="325">
        <f t="shared" si="97"/>
        <v>0</v>
      </c>
      <c r="AU316" s="325">
        <f t="shared" si="97"/>
        <v>0</v>
      </c>
      <c r="AV316" s="325">
        <f t="shared" si="97"/>
        <v>1</v>
      </c>
      <c r="AW316" s="244"/>
      <c r="AX316" s="244"/>
      <c r="AY316" s="244"/>
      <c r="AZ316" s="244"/>
      <c r="BA316" s="244"/>
      <c r="BB316" s="244"/>
    </row>
    <row r="317" spans="1:54" ht="15">
      <c r="A317" s="331" t="s">
        <v>326</v>
      </c>
      <c r="B317" s="295" t="str">
        <f t="shared" si="90"/>
        <v>Intuition: 15 | Charisma: 15 | Charisma: 15</v>
      </c>
      <c r="C317" s="308" t="b">
        <v>1</v>
      </c>
      <c r="D317" s="308" t="b">
        <v>0</v>
      </c>
      <c r="E317" s="308" t="b">
        <f t="shared" si="91"/>
        <v>1</v>
      </c>
      <c r="F317" t="s">
        <v>481</v>
      </c>
      <c r="G317" t="s">
        <v>113</v>
      </c>
      <c r="H317" t="s">
        <v>595</v>
      </c>
      <c r="I317" t="s">
        <v>797</v>
      </c>
      <c r="J317" s="295">
        <f>_xlfn.XLOOKUP(G317,Rechner!$A$17:$A$25,Rechner!$B$17:$B$25)</f>
        <v>5</v>
      </c>
      <c r="K317" s="338" t="str">
        <f>_xlfn.XLOOKUP(J317-SUMIF($V$31:$AV$31,TRUE,V317:AV317)-IF(D317=TRUE,1,0),Rechner!$B$17:$B$25,Rechner!$A$17:$A$25,"A+")</f>
        <v>C</v>
      </c>
      <c r="L317" s="295" t="str">
        <f>_xlfn.XLOOKUP(S317,Eigenschaften!$C$20:$C$27,Eigenschaften!$B$20:$B$27)</f>
        <v>Intuition</v>
      </c>
      <c r="M317" s="295">
        <f>_xlfn.XLOOKUP(L317,Eigenschaften!$B$20:$B$27,Eigenschaften!$H$20:$H$27,"NaN",1)</f>
        <v>15</v>
      </c>
      <c r="N317" s="295" t="str">
        <f>_xlfn.XLOOKUP(T317,Eigenschaften!$C$20:$C$27,Eigenschaften!$B$20:$B$27)</f>
        <v>Charisma</v>
      </c>
      <c r="O317" s="295">
        <f>_xlfn.XLOOKUP(N317,Eigenschaften!$B$20:$B$27,Eigenschaften!$H$20:$H$27,"NaN",1)</f>
        <v>15</v>
      </c>
      <c r="P317" s="295" t="str">
        <f>_xlfn.XLOOKUP(U317,Eigenschaften!$C$20:$C$27,Eigenschaften!$B$20:$B$27)</f>
        <v>Charisma</v>
      </c>
      <c r="Q317" s="295">
        <f>_xlfn.XLOOKUP(P317,Eigenschaften!$B$20:$B$27,Eigenschaften!$H$20:$H$27,"NaN",1)</f>
        <v>15</v>
      </c>
      <c r="R317" s="244"/>
      <c r="S317" s="244" t="str" cm="1">
        <f t="array" ref="S317:U317">_xlfn.TEXTSPLIT(F317,"/",,,,3)</f>
        <v>IN</v>
      </c>
      <c r="T317" s="244" t="str">
        <v>CH</v>
      </c>
      <c r="U317" s="244" t="str">
        <v>CH</v>
      </c>
      <c r="V317" s="344">
        <f t="shared" si="95"/>
        <v>0</v>
      </c>
      <c r="W317" s="344">
        <f t="shared" si="95"/>
        <v>0</v>
      </c>
      <c r="X317" s="344">
        <f t="shared" si="95"/>
        <v>0</v>
      </c>
      <c r="Y317" s="344">
        <f t="shared" si="95"/>
        <v>0</v>
      </c>
      <c r="Z317" s="344">
        <f t="shared" si="95"/>
        <v>0</v>
      </c>
      <c r="AA317" s="344">
        <f t="shared" si="95"/>
        <v>0</v>
      </c>
      <c r="AB317" s="344">
        <f t="shared" si="95"/>
        <v>0</v>
      </c>
      <c r="AC317" s="344">
        <f t="shared" si="95"/>
        <v>0</v>
      </c>
      <c r="AD317" s="344">
        <f t="shared" si="95"/>
        <v>0</v>
      </c>
      <c r="AE317" s="344">
        <f t="shared" si="95"/>
        <v>0</v>
      </c>
      <c r="AF317" s="344">
        <f t="shared" si="96"/>
        <v>1</v>
      </c>
      <c r="AG317" s="344">
        <f t="shared" si="96"/>
        <v>0</v>
      </c>
      <c r="AH317" s="344">
        <f t="shared" si="96"/>
        <v>0</v>
      </c>
      <c r="AI317" s="344">
        <f t="shared" si="96"/>
        <v>0</v>
      </c>
      <c r="AJ317" s="344">
        <f t="shared" si="96"/>
        <v>0</v>
      </c>
      <c r="AK317" s="344">
        <f t="shared" si="96"/>
        <v>0</v>
      </c>
      <c r="AL317" s="344">
        <f t="shared" si="96"/>
        <v>0</v>
      </c>
      <c r="AM317" s="344">
        <f t="shared" si="96"/>
        <v>0</v>
      </c>
      <c r="AN317" s="344">
        <f t="shared" si="96"/>
        <v>0</v>
      </c>
      <c r="AO317" s="344">
        <f t="shared" si="96"/>
        <v>0</v>
      </c>
      <c r="AP317" s="344">
        <f t="shared" si="97"/>
        <v>0</v>
      </c>
      <c r="AQ317" s="344">
        <f t="shared" si="97"/>
        <v>0</v>
      </c>
      <c r="AR317" s="344">
        <f t="shared" si="97"/>
        <v>0</v>
      </c>
      <c r="AS317" s="344">
        <f t="shared" si="97"/>
        <v>0</v>
      </c>
      <c r="AT317" s="344">
        <f t="shared" si="97"/>
        <v>0</v>
      </c>
      <c r="AU317" s="344">
        <f t="shared" si="97"/>
        <v>0</v>
      </c>
      <c r="AV317" s="344">
        <f t="shared" si="97"/>
        <v>1</v>
      </c>
      <c r="AW317" s="244">
        <v>1</v>
      </c>
      <c r="AX317" s="244" t="s">
        <v>1609</v>
      </c>
      <c r="AY317" s="244" t="s">
        <v>1620</v>
      </c>
      <c r="AZ317" s="244" t="s">
        <v>283</v>
      </c>
      <c r="BA317" s="244" t="s">
        <v>1648</v>
      </c>
      <c r="BB317" s="244"/>
    </row>
    <row r="318" spans="1:54" hidden="1">
      <c r="A318" s="326" t="s">
        <v>1576</v>
      </c>
      <c r="B318" s="295" t="str">
        <f t="shared" ref="B318:B320" si="98">L318&amp;": "&amp;M318&amp;" | "&amp;N318&amp;": "&amp;O318&amp;" | "&amp;P318&amp;": "&amp;Q318</f>
        <v>Mut: 13 | Charisma: 15 | Konstitution: 12</v>
      </c>
      <c r="C318" s="308" t="b">
        <v>0</v>
      </c>
      <c r="D318" s="308" t="b">
        <v>0</v>
      </c>
      <c r="E318" s="308" t="b">
        <f t="shared" ref="E318:E320" si="99">ISNUMBER(FIND($B$1,I318))</f>
        <v>0</v>
      </c>
      <c r="F318" s="324" t="s">
        <v>340</v>
      </c>
      <c r="G318" s="324" t="s">
        <v>110</v>
      </c>
      <c r="H318" s="324" t="s">
        <v>1577</v>
      </c>
      <c r="I318" s="324" t="s">
        <v>1578</v>
      </c>
      <c r="J318" s="295">
        <f>_xlfn.XLOOKUP(G318,Rechner!$A$17:$A$25,Rechner!$B$17:$B$25)</f>
        <v>4</v>
      </c>
      <c r="K318" s="295" t="str">
        <f>_xlfn.XLOOKUP(J318-SUMIF($V$31:$AV$31,TRUE,V318:AV318)-IF(D318=TRUE,1,0),Rechner!$B$17:$B$25,Rechner!$A$17:$A$25,"A+")</f>
        <v>C</v>
      </c>
      <c r="L318" s="295" t="str">
        <f>_xlfn.XLOOKUP(S318,Eigenschaften!$C$20:$C$27,Eigenschaften!$B$20:$B$27)</f>
        <v>Mut</v>
      </c>
      <c r="M318" s="295">
        <f>_xlfn.XLOOKUP(L318,Eigenschaften!$B$20:$B$27,Eigenschaften!$H$20:$H$27,"NaN",1)</f>
        <v>13</v>
      </c>
      <c r="N318" s="295" t="str">
        <f>_xlfn.XLOOKUP(T318,Eigenschaften!$C$20:$C$27,Eigenschaften!$B$20:$B$27)</f>
        <v>Charisma</v>
      </c>
      <c r="O318" s="295">
        <f>_xlfn.XLOOKUP(N318,Eigenschaften!$B$20:$B$27,Eigenschaften!$H$20:$H$27,"NaN",1)</f>
        <v>15</v>
      </c>
      <c r="P318" s="295" t="str">
        <f>_xlfn.XLOOKUP(U318,Eigenschaften!$C$20:$C$27,Eigenschaften!$B$20:$B$27)</f>
        <v>Konstitution</v>
      </c>
      <c r="Q318" s="295">
        <f>_xlfn.XLOOKUP(P318,Eigenschaften!$B$20:$B$27,Eigenschaften!$H$20:$H$27,"NaN",1)</f>
        <v>12</v>
      </c>
      <c r="S318" s="109" t="str" cm="1">
        <f t="array" ref="S318:U318">_xlfn.TEXTSPLIT(F318,"/",,,,3)</f>
        <v>MU</v>
      </c>
      <c r="T318" s="244" t="str">
        <v>CH</v>
      </c>
      <c r="U318" s="244" t="str">
        <v>KO</v>
      </c>
      <c r="V318" s="325">
        <f t="shared" ref="V318:AE320" si="100">IF(ISNUMBER(SEARCH(V$32,$H318)),1,0)</f>
        <v>0</v>
      </c>
      <c r="W318" s="325">
        <f t="shared" si="100"/>
        <v>0</v>
      </c>
      <c r="X318" s="325">
        <f t="shared" si="100"/>
        <v>0</v>
      </c>
      <c r="Y318" s="325">
        <f t="shared" si="100"/>
        <v>1</v>
      </c>
      <c r="Z318" s="325">
        <f t="shared" si="100"/>
        <v>0</v>
      </c>
      <c r="AA318" s="325">
        <f t="shared" si="100"/>
        <v>0</v>
      </c>
      <c r="AB318" s="325">
        <f t="shared" si="100"/>
        <v>0</v>
      </c>
      <c r="AC318" s="325">
        <f t="shared" si="100"/>
        <v>0</v>
      </c>
      <c r="AD318" s="325">
        <f t="shared" si="100"/>
        <v>0</v>
      </c>
      <c r="AE318" s="325">
        <f t="shared" si="100"/>
        <v>0</v>
      </c>
      <c r="AF318" s="325">
        <f t="shared" ref="AF318:AO320" si="101">IF(ISNUMBER(SEARCH(AF$32,$H318)),1,0)</f>
        <v>0</v>
      </c>
      <c r="AG318" s="325">
        <f t="shared" si="101"/>
        <v>0</v>
      </c>
      <c r="AH318" s="325">
        <f t="shared" si="101"/>
        <v>0</v>
      </c>
      <c r="AI318" s="325">
        <f t="shared" si="101"/>
        <v>0</v>
      </c>
      <c r="AJ318" s="325">
        <f t="shared" si="101"/>
        <v>0</v>
      </c>
      <c r="AK318" s="325">
        <f t="shared" si="101"/>
        <v>0</v>
      </c>
      <c r="AL318" s="325">
        <f t="shared" si="101"/>
        <v>0</v>
      </c>
      <c r="AM318" s="325">
        <f t="shared" si="101"/>
        <v>0</v>
      </c>
      <c r="AN318" s="325">
        <f t="shared" si="101"/>
        <v>0</v>
      </c>
      <c r="AO318" s="325">
        <f t="shared" si="101"/>
        <v>0</v>
      </c>
      <c r="AP318" s="325">
        <f t="shared" ref="AP318:AV320" si="102">IF(ISNUMBER(SEARCH(AP$32,$H318)),1,0)</f>
        <v>0</v>
      </c>
      <c r="AQ318" s="325">
        <f t="shared" si="102"/>
        <v>0</v>
      </c>
      <c r="AR318" s="325">
        <f t="shared" si="102"/>
        <v>1</v>
      </c>
      <c r="AS318" s="325">
        <f t="shared" si="102"/>
        <v>0</v>
      </c>
      <c r="AT318" s="325">
        <f t="shared" si="102"/>
        <v>0</v>
      </c>
      <c r="AU318" s="325">
        <f t="shared" si="102"/>
        <v>0</v>
      </c>
      <c r="AV318" s="325">
        <f t="shared" si="102"/>
        <v>0</v>
      </c>
      <c r="AW318" s="244"/>
    </row>
    <row r="319" spans="1:54" hidden="1">
      <c r="A319" s="326" t="s">
        <v>1579</v>
      </c>
      <c r="B319" s="295" t="str">
        <f t="shared" si="98"/>
        <v>Mut: 13 | Charisma: 15 | Fingerfertigkeit: 10</v>
      </c>
      <c r="C319" s="308" t="b">
        <v>0</v>
      </c>
      <c r="D319" s="308" t="b">
        <v>0</v>
      </c>
      <c r="E319" s="308" t="b">
        <f t="shared" si="99"/>
        <v>1</v>
      </c>
      <c r="F319" s="324" t="s">
        <v>1580</v>
      </c>
      <c r="G319" s="324" t="s">
        <v>125</v>
      </c>
      <c r="H319" s="324" t="s">
        <v>235</v>
      </c>
      <c r="I319" s="324" t="s">
        <v>1581</v>
      </c>
      <c r="J319" s="295">
        <f>_xlfn.XLOOKUP(G319,Rechner!$A$17:$A$25,Rechner!$B$17:$B$25)</f>
        <v>3</v>
      </c>
      <c r="K319" s="295" t="str">
        <f>_xlfn.XLOOKUP(J319-SUMIF($V$31:$AV$31,TRUE,V319:AV319)-IF(D319=TRUE,1,0),Rechner!$B$17:$B$25,Rechner!$A$17:$A$25,"A+")</f>
        <v>A</v>
      </c>
      <c r="L319" s="295" t="str">
        <f>_xlfn.XLOOKUP(S319,Eigenschaften!$C$20:$C$27,Eigenschaften!$B$20:$B$27)</f>
        <v>Mut</v>
      </c>
      <c r="M319" s="295">
        <f>_xlfn.XLOOKUP(L319,Eigenschaften!$B$20:$B$27,Eigenschaften!$H$20:$H$27,"NaN",1)</f>
        <v>13</v>
      </c>
      <c r="N319" s="295" t="str">
        <f>_xlfn.XLOOKUP(T319,Eigenschaften!$C$20:$C$27,Eigenschaften!$B$20:$B$27)</f>
        <v>Charisma</v>
      </c>
      <c r="O319" s="295">
        <f>_xlfn.XLOOKUP(N319,Eigenschaften!$B$20:$B$27,Eigenschaften!$H$20:$H$27,"NaN",1)</f>
        <v>15</v>
      </c>
      <c r="P319" s="295" t="str">
        <f>_xlfn.XLOOKUP(U319,Eigenschaften!$C$20:$C$27,Eigenschaften!$B$20:$B$27)</f>
        <v>Fingerfertigkeit</v>
      </c>
      <c r="Q319" s="295">
        <f>_xlfn.XLOOKUP(P319,Eigenschaften!$B$20:$B$27,Eigenschaften!$H$20:$H$27,"NaN",1)</f>
        <v>10</v>
      </c>
      <c r="S319" s="109" t="str" cm="1">
        <f t="array" ref="S319:U319">_xlfn.TEXTSPLIT(F319,"/",,,,3)</f>
        <v>MU</v>
      </c>
      <c r="T319" s="244" t="str">
        <v>CH</v>
      </c>
      <c r="U319" s="244" t="str">
        <v>FF</v>
      </c>
      <c r="V319" s="325">
        <f t="shared" si="100"/>
        <v>0</v>
      </c>
      <c r="W319" s="325">
        <f t="shared" si="100"/>
        <v>0</v>
      </c>
      <c r="X319" s="325">
        <f t="shared" si="100"/>
        <v>1</v>
      </c>
      <c r="Y319" s="325">
        <f t="shared" si="100"/>
        <v>0</v>
      </c>
      <c r="Z319" s="325">
        <f t="shared" si="100"/>
        <v>0</v>
      </c>
      <c r="AA319" s="325">
        <f t="shared" si="100"/>
        <v>0</v>
      </c>
      <c r="AB319" s="325">
        <f t="shared" si="100"/>
        <v>0</v>
      </c>
      <c r="AC319" s="325">
        <f t="shared" si="100"/>
        <v>0</v>
      </c>
      <c r="AD319" s="325">
        <f t="shared" si="100"/>
        <v>0</v>
      </c>
      <c r="AE319" s="325">
        <f t="shared" si="100"/>
        <v>0</v>
      </c>
      <c r="AF319" s="325">
        <f t="shared" si="101"/>
        <v>0</v>
      </c>
      <c r="AG319" s="325">
        <f t="shared" si="101"/>
        <v>0</v>
      </c>
      <c r="AH319" s="325">
        <f t="shared" si="101"/>
        <v>0</v>
      </c>
      <c r="AI319" s="325">
        <f t="shared" si="101"/>
        <v>0</v>
      </c>
      <c r="AJ319" s="325">
        <f t="shared" si="101"/>
        <v>0</v>
      </c>
      <c r="AK319" s="325">
        <f t="shared" si="101"/>
        <v>0</v>
      </c>
      <c r="AL319" s="325">
        <f t="shared" si="101"/>
        <v>0</v>
      </c>
      <c r="AM319" s="325">
        <f t="shared" si="101"/>
        <v>0</v>
      </c>
      <c r="AN319" s="325">
        <f t="shared" si="101"/>
        <v>0</v>
      </c>
      <c r="AO319" s="325">
        <f t="shared" si="101"/>
        <v>0</v>
      </c>
      <c r="AP319" s="325">
        <f t="shared" si="102"/>
        <v>0</v>
      </c>
      <c r="AQ319" s="325">
        <f t="shared" si="102"/>
        <v>0</v>
      </c>
      <c r="AR319" s="325">
        <f t="shared" si="102"/>
        <v>0</v>
      </c>
      <c r="AS319" s="325">
        <f t="shared" si="102"/>
        <v>0</v>
      </c>
      <c r="AT319" s="325">
        <f t="shared" si="102"/>
        <v>0</v>
      </c>
      <c r="AU319" s="325">
        <f t="shared" si="102"/>
        <v>0</v>
      </c>
      <c r="AV319" s="325">
        <f t="shared" si="102"/>
        <v>0</v>
      </c>
      <c r="AW319" s="244"/>
    </row>
    <row r="320" spans="1:54" hidden="1">
      <c r="A320" s="326" t="s">
        <v>1582</v>
      </c>
      <c r="B320" s="295" t="str">
        <f t="shared" si="98"/>
        <v>Mut: 13 | Klugheit: 12 | Charisma: 15</v>
      </c>
      <c r="C320" s="308" t="b">
        <v>0</v>
      </c>
      <c r="D320" s="308" t="b">
        <v>0</v>
      </c>
      <c r="E320" s="308" t="b">
        <f t="shared" si="99"/>
        <v>0</v>
      </c>
      <c r="F320" s="324" t="s">
        <v>567</v>
      </c>
      <c r="G320" s="324" t="s">
        <v>113</v>
      </c>
      <c r="H320" s="324" t="s">
        <v>374</v>
      </c>
      <c r="I320" s="324" t="s">
        <v>1583</v>
      </c>
      <c r="J320" s="295">
        <f>_xlfn.XLOOKUP(G320,Rechner!$A$17:$A$25,Rechner!$B$17:$B$25)</f>
        <v>5</v>
      </c>
      <c r="K320" s="295" t="str">
        <f>_xlfn.XLOOKUP(J320-SUMIF($V$31:$AV$31,TRUE,V320:AV320)-IF(D320=TRUE,1,0),Rechner!$B$17:$B$25,Rechner!$A$17:$A$25,"A+")</f>
        <v>D</v>
      </c>
      <c r="L320" s="295" t="str">
        <f>_xlfn.XLOOKUP(S320,Eigenschaften!$C$20:$C$27,Eigenschaften!$B$20:$B$27)</f>
        <v>Mut</v>
      </c>
      <c r="M320" s="295">
        <f>_xlfn.XLOOKUP(L320,Eigenschaften!$B$20:$B$27,Eigenschaften!$H$20:$H$27,"NaN",1)</f>
        <v>13</v>
      </c>
      <c r="N320" s="295" t="str">
        <f>_xlfn.XLOOKUP(T320,Eigenschaften!$C$20:$C$27,Eigenschaften!$B$20:$B$27)</f>
        <v>Klugheit</v>
      </c>
      <c r="O320" s="295">
        <f>_xlfn.XLOOKUP(N320,Eigenschaften!$B$20:$B$27,Eigenschaften!$H$20:$H$27,"NaN",1)</f>
        <v>12</v>
      </c>
      <c r="P320" s="295" t="str">
        <f>_xlfn.XLOOKUP(U320,Eigenschaften!$C$20:$C$27,Eigenschaften!$B$20:$B$27)</f>
        <v>Charisma</v>
      </c>
      <c r="Q320" s="295">
        <f>_xlfn.XLOOKUP(P320,Eigenschaften!$B$20:$B$27,Eigenschaften!$H$20:$H$27,"NaN",1)</f>
        <v>15</v>
      </c>
      <c r="S320" s="109" t="str" cm="1">
        <f t="array" ref="S320:U320">_xlfn.TEXTSPLIT(F320,"/",,,,3)</f>
        <v>MU</v>
      </c>
      <c r="T320" s="244" t="str">
        <v>KL</v>
      </c>
      <c r="U320" s="244" t="str">
        <v>CH</v>
      </c>
      <c r="V320" s="325">
        <f t="shared" si="100"/>
        <v>0</v>
      </c>
      <c r="W320" s="325">
        <f t="shared" si="100"/>
        <v>0</v>
      </c>
      <c r="X320" s="325">
        <f t="shared" si="100"/>
        <v>0</v>
      </c>
      <c r="Y320" s="325">
        <f t="shared" si="100"/>
        <v>0</v>
      </c>
      <c r="Z320" s="325">
        <f t="shared" si="100"/>
        <v>0</v>
      </c>
      <c r="AA320" s="325">
        <f t="shared" si="100"/>
        <v>0</v>
      </c>
      <c r="AB320" s="325">
        <f t="shared" si="100"/>
        <v>0</v>
      </c>
      <c r="AC320" s="325">
        <f t="shared" si="100"/>
        <v>0</v>
      </c>
      <c r="AD320" s="325">
        <f t="shared" si="100"/>
        <v>0</v>
      </c>
      <c r="AE320" s="325">
        <f t="shared" si="100"/>
        <v>0</v>
      </c>
      <c r="AF320" s="325">
        <f t="shared" si="101"/>
        <v>0</v>
      </c>
      <c r="AG320" s="325">
        <f t="shared" si="101"/>
        <v>0</v>
      </c>
      <c r="AH320" s="325">
        <f t="shared" si="101"/>
        <v>0</v>
      </c>
      <c r="AI320" s="325">
        <f t="shared" si="101"/>
        <v>0</v>
      </c>
      <c r="AJ320" s="325">
        <f t="shared" si="101"/>
        <v>0</v>
      </c>
      <c r="AK320" s="325">
        <f t="shared" si="101"/>
        <v>0</v>
      </c>
      <c r="AL320" s="325">
        <f t="shared" si="101"/>
        <v>1</v>
      </c>
      <c r="AM320" s="325">
        <f t="shared" si="101"/>
        <v>0</v>
      </c>
      <c r="AN320" s="325">
        <f t="shared" si="101"/>
        <v>0</v>
      </c>
      <c r="AO320" s="325">
        <f t="shared" si="101"/>
        <v>0</v>
      </c>
      <c r="AP320" s="325">
        <f t="shared" si="102"/>
        <v>0</v>
      </c>
      <c r="AQ320" s="325">
        <f t="shared" si="102"/>
        <v>0</v>
      </c>
      <c r="AR320" s="325">
        <f t="shared" si="102"/>
        <v>0</v>
      </c>
      <c r="AS320" s="325">
        <f t="shared" si="102"/>
        <v>0</v>
      </c>
      <c r="AT320" s="325">
        <f t="shared" si="102"/>
        <v>0</v>
      </c>
      <c r="AU320" s="325">
        <f t="shared" si="102"/>
        <v>0</v>
      </c>
      <c r="AV320" s="325">
        <f t="shared" si="102"/>
        <v>0</v>
      </c>
    </row>
  </sheetData>
  <autoFilter ref="A32:BB320" xr:uid="{46DAF561-6D23-4997-9193-B2D79BB11F81}">
    <filterColumn colId="2">
      <filters>
        <filter val="WAHR"/>
      </filters>
    </filterColumn>
    <sortState xmlns:xlrd2="http://schemas.microsoft.com/office/spreadsheetml/2017/richdata2" ref="A36:BB317">
      <sortCondition descending="1" ref="AW32:AW320"/>
    </sortState>
  </autoFilter>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DF1D-CF4A-4A0D-A58F-0B56511FD114}">
  <dimension ref="A1:J9"/>
  <sheetViews>
    <sheetView workbookViewId="0">
      <selection activeCell="A6" sqref="A6"/>
    </sheetView>
  </sheetViews>
  <sheetFormatPr baseColWidth="10" defaultRowHeight="15"/>
  <cols>
    <col min="1" max="1" width="23.33203125" customWidth="1"/>
    <col min="10" max="10" width="63.6640625" customWidth="1"/>
  </cols>
  <sheetData>
    <row r="1" spans="1:10">
      <c r="A1" t="s">
        <v>1593</v>
      </c>
      <c r="B1">
        <v>3</v>
      </c>
    </row>
    <row r="3" spans="1:10">
      <c r="A3" t="s">
        <v>1594</v>
      </c>
      <c r="B3" t="s">
        <v>1598</v>
      </c>
      <c r="C3" t="s">
        <v>240</v>
      </c>
      <c r="D3" t="s">
        <v>1604</v>
      </c>
      <c r="E3" t="s">
        <v>1599</v>
      </c>
      <c r="F3" t="s">
        <v>273</v>
      </c>
      <c r="G3" t="s">
        <v>1600</v>
      </c>
      <c r="H3" t="s">
        <v>274</v>
      </c>
      <c r="I3" t="s">
        <v>1601</v>
      </c>
      <c r="J3" t="s">
        <v>1606</v>
      </c>
    </row>
    <row r="4" spans="1:10">
      <c r="A4" t="s">
        <v>1595</v>
      </c>
      <c r="B4" t="s">
        <v>614</v>
      </c>
      <c r="C4">
        <v>0</v>
      </c>
      <c r="E4" t="s">
        <v>1596</v>
      </c>
      <c r="F4" t="s">
        <v>1597</v>
      </c>
      <c r="G4" t="s">
        <v>1602</v>
      </c>
      <c r="H4" t="s">
        <v>283</v>
      </c>
      <c r="I4" t="s">
        <v>1603</v>
      </c>
    </row>
    <row r="5" spans="1:10" ht="30">
      <c r="A5" t="s">
        <v>263</v>
      </c>
      <c r="B5" t="s">
        <v>868</v>
      </c>
      <c r="C5">
        <v>3</v>
      </c>
      <c r="D5" s="335" t="s">
        <v>63</v>
      </c>
      <c r="F5" t="s">
        <v>1605</v>
      </c>
      <c r="J5" s="16" t="s">
        <v>1607</v>
      </c>
    </row>
    <row r="6" spans="1:10">
      <c r="A6" t="s">
        <v>1608</v>
      </c>
      <c r="B6" t="s">
        <v>614</v>
      </c>
      <c r="C6">
        <v>0</v>
      </c>
      <c r="E6" t="s">
        <v>1609</v>
      </c>
      <c r="F6" t="s">
        <v>1610</v>
      </c>
      <c r="G6" t="s">
        <v>1611</v>
      </c>
      <c r="H6" t="s">
        <v>1612</v>
      </c>
      <c r="I6" t="s">
        <v>1613</v>
      </c>
    </row>
    <row r="7" spans="1:10">
      <c r="A7" t="s">
        <v>1614</v>
      </c>
      <c r="B7" t="s">
        <v>614</v>
      </c>
      <c r="C7">
        <v>0</v>
      </c>
      <c r="E7" t="s">
        <v>1615</v>
      </c>
      <c r="F7" t="s">
        <v>1597</v>
      </c>
      <c r="G7" t="s">
        <v>1602</v>
      </c>
      <c r="H7" t="s">
        <v>1612</v>
      </c>
      <c r="I7" t="s">
        <v>1613</v>
      </c>
    </row>
    <row r="8" spans="1:10">
      <c r="A8" t="s">
        <v>1616</v>
      </c>
      <c r="B8" t="s">
        <v>614</v>
      </c>
      <c r="C8">
        <v>0</v>
      </c>
      <c r="E8" t="s">
        <v>1615</v>
      </c>
      <c r="F8" t="s">
        <v>1617</v>
      </c>
      <c r="G8" t="s">
        <v>1602</v>
      </c>
      <c r="H8" t="s">
        <v>283</v>
      </c>
      <c r="I8" t="s">
        <v>1618</v>
      </c>
    </row>
    <row r="9" spans="1:10">
      <c r="A9" t="s">
        <v>1619</v>
      </c>
      <c r="B9" t="s">
        <v>298</v>
      </c>
      <c r="E9" t="s">
        <v>1615</v>
      </c>
      <c r="F9" t="s">
        <v>1620</v>
      </c>
      <c r="G9" t="s">
        <v>1602</v>
      </c>
      <c r="H9" t="s">
        <v>1612</v>
      </c>
      <c r="I9" t="s">
        <v>1621</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EE34-6FFB-4441-AFCA-82BF56C9EE84}">
  <dimension ref="A1:E1"/>
  <sheetViews>
    <sheetView zoomScaleNormal="150" zoomScaleSheetLayoutView="100" workbookViewId="0">
      <selection activeCell="D15" sqref="D15"/>
    </sheetView>
  </sheetViews>
  <sheetFormatPr baseColWidth="10" defaultColWidth="8.88671875" defaultRowHeight="15"/>
  <cols>
    <col min="4" max="4" width="18.44140625" bestFit="1" customWidth="1"/>
  </cols>
  <sheetData>
    <row r="1" spans="1:5">
      <c r="A1" t="s">
        <v>1</v>
      </c>
      <c r="B1" t="s">
        <v>264</v>
      </c>
      <c r="C1" t="s">
        <v>16</v>
      </c>
      <c r="D1" t="s">
        <v>265</v>
      </c>
      <c r="E1" t="s">
        <v>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DAC3-CBE4-8A48-B470-44075A7B3C74}">
  <dimension ref="A1:L10"/>
  <sheetViews>
    <sheetView zoomScaleNormal="150" zoomScaleSheetLayoutView="100" workbookViewId="0">
      <selection activeCell="B18" sqref="B18"/>
    </sheetView>
  </sheetViews>
  <sheetFormatPr baseColWidth="10" defaultColWidth="8.77734375" defaultRowHeight="15"/>
  <cols>
    <col min="1" max="1" width="30" customWidth="1"/>
    <col min="2" max="2" width="9.44140625" customWidth="1"/>
    <col min="4" max="4" width="19.21875" bestFit="1" customWidth="1"/>
    <col min="5" max="5" width="14" customWidth="1"/>
    <col min="9" max="9" width="11.6640625" customWidth="1"/>
    <col min="12" max="12" width="12.77734375" customWidth="1"/>
  </cols>
  <sheetData>
    <row r="1" spans="1:12">
      <c r="A1" t="s">
        <v>907</v>
      </c>
      <c r="B1">
        <v>38.96</v>
      </c>
    </row>
    <row r="2" spans="1:12" s="231" customFormat="1" ht="15.75">
      <c r="A2" s="247" t="s">
        <v>908</v>
      </c>
      <c r="B2" s="246" t="s">
        <v>909</v>
      </c>
      <c r="C2" s="246" t="s">
        <v>91</v>
      </c>
      <c r="D2" s="246" t="s">
        <v>910</v>
      </c>
      <c r="E2" s="246" t="s">
        <v>17</v>
      </c>
      <c r="F2" s="246" t="s">
        <v>912</v>
      </c>
      <c r="G2" s="246" t="s">
        <v>913</v>
      </c>
      <c r="H2" s="246" t="s">
        <v>914</v>
      </c>
      <c r="I2" s="246" t="s">
        <v>915</v>
      </c>
      <c r="J2" s="246" t="s">
        <v>916</v>
      </c>
      <c r="K2" t="s">
        <v>917</v>
      </c>
      <c r="L2" s="246" t="s">
        <v>911</v>
      </c>
    </row>
    <row r="3" spans="1:12">
      <c r="A3" t="s">
        <v>918</v>
      </c>
      <c r="B3" t="s">
        <v>919</v>
      </c>
      <c r="C3" t="s">
        <v>913</v>
      </c>
      <c r="D3" t="s">
        <v>1405</v>
      </c>
      <c r="H3">
        <v>1</v>
      </c>
      <c r="I3" t="s">
        <v>294</v>
      </c>
      <c r="L3" t="s">
        <v>920</v>
      </c>
    </row>
    <row r="4" spans="1:12">
      <c r="A4" t="s">
        <v>1404</v>
      </c>
      <c r="B4" t="s">
        <v>917</v>
      </c>
      <c r="C4" t="s">
        <v>913</v>
      </c>
      <c r="D4" t="s">
        <v>1660</v>
      </c>
      <c r="H4">
        <v>1</v>
      </c>
      <c r="I4" t="s">
        <v>1243</v>
      </c>
      <c r="J4" t="s">
        <v>917</v>
      </c>
      <c r="L4" t="s">
        <v>1406</v>
      </c>
    </row>
    <row r="5" spans="1:12">
      <c r="A5" t="s">
        <v>1587</v>
      </c>
      <c r="B5" t="s">
        <v>919</v>
      </c>
      <c r="C5" t="s">
        <v>913</v>
      </c>
      <c r="D5" t="s">
        <v>1660</v>
      </c>
    </row>
    <row r="6" spans="1:12">
      <c r="A6" t="s">
        <v>1638</v>
      </c>
      <c r="B6" t="s">
        <v>919</v>
      </c>
      <c r="C6" t="s">
        <v>1661</v>
      </c>
      <c r="D6" t="s">
        <v>1405</v>
      </c>
      <c r="E6" t="s">
        <v>1677</v>
      </c>
    </row>
    <row r="7" spans="1:12">
      <c r="A7" t="s">
        <v>1657</v>
      </c>
      <c r="B7" t="s">
        <v>919</v>
      </c>
      <c r="C7" t="s">
        <v>913</v>
      </c>
      <c r="D7" t="s">
        <v>1658</v>
      </c>
      <c r="G7" t="s">
        <v>294</v>
      </c>
      <c r="H7">
        <v>1</v>
      </c>
      <c r="L7" t="s">
        <v>1659</v>
      </c>
    </row>
    <row r="8" spans="1:12">
      <c r="A8" t="s">
        <v>1675</v>
      </c>
      <c r="B8" t="s">
        <v>919</v>
      </c>
      <c r="C8" t="s">
        <v>1661</v>
      </c>
      <c r="D8" t="s">
        <v>1658</v>
      </c>
      <c r="E8" t="s">
        <v>1676</v>
      </c>
    </row>
    <row r="9" spans="1:12">
      <c r="A9" t="s">
        <v>1678</v>
      </c>
      <c r="B9" t="s">
        <v>919</v>
      </c>
      <c r="C9" t="s">
        <v>187</v>
      </c>
      <c r="D9" t="s">
        <v>1658</v>
      </c>
      <c r="H9">
        <v>2</v>
      </c>
    </row>
    <row r="10" spans="1:12">
      <c r="A10" t="s">
        <v>1679</v>
      </c>
      <c r="B10" t="s">
        <v>919</v>
      </c>
      <c r="C10" t="s">
        <v>187</v>
      </c>
      <c r="D10" t="s">
        <v>1658</v>
      </c>
      <c r="E10" t="s">
        <v>1680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78BA-7D96-426A-9FCE-3780A02012C2}">
  <sheetPr codeName="Tabelle6"/>
  <dimension ref="A3:BW209"/>
  <sheetViews>
    <sheetView zoomScale="85" zoomScaleNormal="85" workbookViewId="0">
      <selection activeCell="C192" sqref="C192"/>
    </sheetView>
  </sheetViews>
  <sheetFormatPr baseColWidth="10" defaultColWidth="11.44140625" defaultRowHeight="15"/>
  <cols>
    <col min="2" max="2" width="55.44140625" customWidth="1"/>
    <col min="3" max="3" width="20.6640625" customWidth="1"/>
    <col min="4" max="4" width="78.6640625" customWidth="1"/>
    <col min="5" max="5" width="78" customWidth="1"/>
    <col min="6" max="6" width="86.77734375" customWidth="1"/>
    <col min="7" max="8" width="21.109375" customWidth="1"/>
    <col min="9" max="9" width="29.33203125" customWidth="1"/>
    <col min="10" max="10" width="29.88671875" customWidth="1"/>
    <col min="11" max="11" width="41.109375" customWidth="1"/>
    <col min="12" max="12" width="18.88671875" customWidth="1"/>
    <col min="13" max="13" width="25.77734375" customWidth="1"/>
    <col min="14" max="14" width="48.77734375" customWidth="1"/>
    <col min="15" max="15" width="44" customWidth="1"/>
    <col min="16" max="16" width="15.33203125" hidden="1" customWidth="1"/>
    <col min="17" max="17" width="16.44140625" hidden="1" customWidth="1"/>
    <col min="18" max="18" width="45.77734375" customWidth="1"/>
    <col min="19" max="19" width="9.88671875" bestFit="1" customWidth="1"/>
    <col min="20" max="20" width="23.44140625" bestFit="1" customWidth="1"/>
    <col min="21" max="21" width="16.109375" bestFit="1" customWidth="1"/>
    <col min="22" max="22" width="41.33203125" bestFit="1" customWidth="1"/>
    <col min="23" max="23" width="13.33203125" customWidth="1"/>
    <col min="24" max="24" width="8.21875" bestFit="1" customWidth="1"/>
    <col min="25" max="25" width="8.21875" customWidth="1"/>
    <col min="26" max="26" width="13.109375" bestFit="1" customWidth="1"/>
    <col min="27" max="27" width="22" bestFit="1" customWidth="1"/>
    <col min="28" max="28" width="15.33203125" bestFit="1" customWidth="1"/>
    <col min="29" max="29" width="17.77734375" bestFit="1" customWidth="1"/>
    <col min="30" max="30" width="15.33203125" bestFit="1" customWidth="1"/>
    <col min="31" max="31" width="17.33203125" bestFit="1" customWidth="1"/>
    <col min="32" max="32" width="16.109375" bestFit="1" customWidth="1"/>
    <col min="33" max="33" width="15.5546875" bestFit="1" customWidth="1"/>
    <col min="34" max="34" width="17.109375" bestFit="1" customWidth="1"/>
    <col min="35" max="35" width="16.44140625" bestFit="1" customWidth="1"/>
    <col min="36" max="36" width="16.109375" bestFit="1" customWidth="1"/>
    <col min="37" max="37" width="19.33203125" bestFit="1" customWidth="1"/>
    <col min="38" max="40" width="19.33203125" customWidth="1"/>
    <col min="41" max="41" width="15.44140625" bestFit="1" customWidth="1"/>
    <col min="42" max="42" width="13.109375" bestFit="1" customWidth="1"/>
    <col min="43" max="43" width="12.5546875" bestFit="1" customWidth="1"/>
    <col min="44" max="44" width="13.88671875" bestFit="1" customWidth="1"/>
    <col min="45" max="45" width="15.33203125" bestFit="1" customWidth="1"/>
  </cols>
  <sheetData>
    <row r="3" spans="1:75" s="155" customFormat="1">
      <c r="A3" s="155" t="s">
        <v>91</v>
      </c>
      <c r="B3" s="155" t="s">
        <v>921</v>
      </c>
      <c r="C3" s="155" t="s">
        <v>231</v>
      </c>
      <c r="D3" s="155" t="s">
        <v>922</v>
      </c>
      <c r="E3" s="155" t="s">
        <v>923</v>
      </c>
      <c r="F3" s="155" t="s">
        <v>924</v>
      </c>
      <c r="G3" s="155" t="s">
        <v>95</v>
      </c>
      <c r="H3" s="155" t="s">
        <v>925</v>
      </c>
      <c r="I3" s="155" t="s">
        <v>926</v>
      </c>
      <c r="J3" s="155" t="s">
        <v>927</v>
      </c>
      <c r="K3" s="155" t="s">
        <v>928</v>
      </c>
      <c r="L3" s="155" t="s">
        <v>929</v>
      </c>
      <c r="M3" s="155" t="s">
        <v>930</v>
      </c>
      <c r="N3" s="155" t="s">
        <v>931</v>
      </c>
      <c r="O3" s="155" t="s">
        <v>932</v>
      </c>
      <c r="P3" s="155" t="s">
        <v>933</v>
      </c>
      <c r="Q3" s="155" t="s">
        <v>934</v>
      </c>
      <c r="R3" s="155" t="s">
        <v>935</v>
      </c>
      <c r="S3" s="155" t="s">
        <v>936</v>
      </c>
      <c r="T3" s="155" t="s">
        <v>937</v>
      </c>
      <c r="U3" s="155" t="s">
        <v>938</v>
      </c>
      <c r="V3" s="155" t="s">
        <v>939</v>
      </c>
      <c r="W3" s="155" t="s">
        <v>940</v>
      </c>
      <c r="X3" s="155" t="s">
        <v>941</v>
      </c>
      <c r="Y3" s="155" t="s">
        <v>942</v>
      </c>
      <c r="Z3" s="155" t="s">
        <v>943</v>
      </c>
      <c r="AA3" s="155" t="s">
        <v>944</v>
      </c>
      <c r="AB3" s="155" t="s">
        <v>945</v>
      </c>
      <c r="AC3" s="155" t="s">
        <v>946</v>
      </c>
      <c r="AD3" s="155" t="s">
        <v>947</v>
      </c>
      <c r="AE3" s="155" t="s">
        <v>948</v>
      </c>
      <c r="AF3" s="155" t="s">
        <v>949</v>
      </c>
      <c r="AG3" s="155" t="s">
        <v>950</v>
      </c>
      <c r="AH3" s="155" t="s">
        <v>951</v>
      </c>
      <c r="AI3" s="155" t="s">
        <v>952</v>
      </c>
      <c r="AJ3" s="155" t="s">
        <v>953</v>
      </c>
      <c r="AK3" s="155" t="s">
        <v>954</v>
      </c>
      <c r="AL3" s="155" t="s">
        <v>955</v>
      </c>
      <c r="AM3" s="155" t="s">
        <v>956</v>
      </c>
      <c r="AN3" s="155" t="s">
        <v>957</v>
      </c>
      <c r="AO3" s="155" t="s">
        <v>958</v>
      </c>
      <c r="AP3" s="155" t="s">
        <v>959</v>
      </c>
      <c r="AQ3" s="155" t="s">
        <v>960</v>
      </c>
      <c r="AR3" s="155" t="s">
        <v>961</v>
      </c>
      <c r="AS3" s="155" t="s">
        <v>962</v>
      </c>
      <c r="AT3" s="155" t="s">
        <v>963</v>
      </c>
      <c r="AU3" s="155" t="s">
        <v>964</v>
      </c>
      <c r="AV3" s="155" t="s">
        <v>965</v>
      </c>
      <c r="AW3" s="155" t="s">
        <v>966</v>
      </c>
      <c r="AX3" s="155" t="s">
        <v>967</v>
      </c>
      <c r="AY3" s="155" t="s">
        <v>968</v>
      </c>
      <c r="AZ3" s="155" t="s">
        <v>969</v>
      </c>
      <c r="BA3" s="155" t="s">
        <v>970</v>
      </c>
      <c r="BB3" s="155" t="s">
        <v>971</v>
      </c>
      <c r="BC3" s="155" t="s">
        <v>972</v>
      </c>
      <c r="BD3" s="155" t="s">
        <v>973</v>
      </c>
      <c r="BE3" s="155" t="s">
        <v>974</v>
      </c>
      <c r="BF3" s="155" t="s">
        <v>975</v>
      </c>
      <c r="BG3" s="155" t="s">
        <v>976</v>
      </c>
      <c r="BH3" s="155" t="s">
        <v>977</v>
      </c>
      <c r="BI3" s="155" t="s">
        <v>978</v>
      </c>
      <c r="BJ3" s="155" t="s">
        <v>979</v>
      </c>
      <c r="BK3" s="155" t="s">
        <v>980</v>
      </c>
      <c r="BL3" s="155" t="s">
        <v>981</v>
      </c>
      <c r="BM3" s="155" t="s">
        <v>982</v>
      </c>
      <c r="BN3" s="155" t="s">
        <v>983</v>
      </c>
      <c r="BO3" s="155" t="s">
        <v>984</v>
      </c>
      <c r="BP3" s="155" t="s">
        <v>985</v>
      </c>
      <c r="BQ3" s="155" t="s">
        <v>986</v>
      </c>
      <c r="BR3" s="155" t="s">
        <v>987</v>
      </c>
      <c r="BS3" s="155" t="s">
        <v>988</v>
      </c>
      <c r="BT3" s="155" t="s">
        <v>989</v>
      </c>
      <c r="BU3" s="155" t="s">
        <v>990</v>
      </c>
      <c r="BV3" s="155" t="s">
        <v>991</v>
      </c>
      <c r="BW3" s="155" t="s">
        <v>992</v>
      </c>
    </row>
    <row r="4" spans="1:75" ht="75" hidden="1">
      <c r="A4" s="165" t="s">
        <v>993</v>
      </c>
      <c r="B4" s="165" t="s">
        <v>994</v>
      </c>
      <c r="C4" s="165" t="s">
        <v>994</v>
      </c>
      <c r="D4" s="168" t="s">
        <v>995</v>
      </c>
      <c r="E4"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v>
      </c>
      <c r="F4" s="168" t="str">
        <f>_xlfn.TEXTJOIN("; ",TRUE,Nahkampfwaffen[[#This Row],[Ausfall]:[Wuchtschlag]])</f>
        <v>Finte</v>
      </c>
      <c r="G4" s="255" t="s">
        <v>429</v>
      </c>
      <c r="H4" s="167"/>
      <c r="I4" s="167"/>
      <c r="J4" s="167"/>
      <c r="K4" s="167"/>
      <c r="L4" s="167">
        <f>IF(Nahkampfwaffen[[#This Row],[Waffenmeister: TP/KK / INI/GE]]="TP/KK",1,0)</f>
        <v>0</v>
      </c>
      <c r="M4" s="167">
        <f>IF(Nahkampfwaffen[[#This Row],[Waffenmeister: TP/KK / INI/GE]]="INI/GE",1,0)</f>
        <v>0</v>
      </c>
      <c r="N4" s="167"/>
      <c r="O4" s="167"/>
      <c r="P4" s="16"/>
      <c r="Q4" s="16">
        <f>15-5*(Nahkampfwaffen[[#This Row],[Waffenmeister: AT]]+Nahkampfwaffen[[#This Row],[Waffenmeister: PA]])-3*(Nahkampfwaffen[[#This Row],[Waffenmeister: INI]])-IF(Nahkampfwaffen[[#This Row],[Waffenmeister: TP/KK / INI/GE]]="TP/KK",2,0)</f>
        <v>15</v>
      </c>
      <c r="R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 s="16"/>
      <c r="AX4" s="16"/>
      <c r="AY4" s="16"/>
      <c r="AZ4" s="16"/>
      <c r="BA4" s="16"/>
      <c r="BB4" s="16"/>
      <c r="BC4" s="16"/>
      <c r="BD4" s="16"/>
      <c r="BE4" s="16"/>
      <c r="BF4" s="16"/>
      <c r="BG4" s="16"/>
      <c r="BH4" s="16"/>
      <c r="BI4" s="16"/>
      <c r="BJ4" s="16"/>
      <c r="BK4" s="16"/>
      <c r="BL4" s="16"/>
      <c r="BM4" s="16"/>
      <c r="BN4" s="16"/>
      <c r="BO4" s="16"/>
      <c r="BP4" s="16"/>
      <c r="BQ4" s="16"/>
      <c r="BR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 s="16"/>
      <c r="BT4" s="16"/>
      <c r="BU4" s="16"/>
      <c r="BV4" s="16"/>
      <c r="BW4" s="16"/>
    </row>
    <row r="5" spans="1:75" ht="75" hidden="1">
      <c r="A5" s="165" t="s">
        <v>993</v>
      </c>
      <c r="B5" s="165" t="s">
        <v>996</v>
      </c>
      <c r="C5" s="165" t="s">
        <v>994</v>
      </c>
      <c r="D5" s="168" t="s">
        <v>995</v>
      </c>
      <c r="E5"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v>
      </c>
      <c r="F5" s="168" t="str">
        <f>_xlfn.TEXTJOIN("; ",TRUE,Nahkampfwaffen[[#This Row],[Ausfall]:[Wuchtschlag]])</f>
        <v>Finte</v>
      </c>
      <c r="G5" s="255" t="s">
        <v>429</v>
      </c>
      <c r="H5" s="167"/>
      <c r="I5" s="167"/>
      <c r="J5" s="167"/>
      <c r="K5" s="167"/>
      <c r="L5" s="167">
        <f>IF(Nahkampfwaffen[[#This Row],[Waffenmeister: TP/KK / INI/GE]]="TP/KK",1,0)</f>
        <v>0</v>
      </c>
      <c r="M5" s="167">
        <f>IF(Nahkampfwaffen[[#This Row],[Waffenmeister: TP/KK / INI/GE]]="INI/GE",1,0)</f>
        <v>0</v>
      </c>
      <c r="N5" s="167"/>
      <c r="O5" s="167"/>
      <c r="P5" s="16"/>
      <c r="Q5" s="16">
        <f>15-5*(Nahkampfwaffen[[#This Row],[Waffenmeister: AT]]+Nahkampfwaffen[[#This Row],[Waffenmeister: PA]])-3*(Nahkampfwaffen[[#This Row],[Waffenmeister: INI]])-IF(Nahkampfwaffen[[#This Row],[Waffenmeister: TP/KK / INI/GE]]="TP/KK",2,0)</f>
        <v>15</v>
      </c>
      <c r="R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 s="16"/>
      <c r="AX5" s="16"/>
      <c r="AY5" s="16"/>
      <c r="AZ5" s="16"/>
      <c r="BA5" s="16"/>
      <c r="BB5" s="16"/>
      <c r="BC5" s="16"/>
      <c r="BD5" s="16"/>
      <c r="BE5" s="16"/>
      <c r="BF5" s="16"/>
      <c r="BG5" s="16"/>
      <c r="BH5" s="16"/>
      <c r="BI5" s="16"/>
      <c r="BJ5" s="16"/>
      <c r="BK5" s="16"/>
      <c r="BL5" s="16"/>
      <c r="BM5" s="16"/>
      <c r="BN5" s="16"/>
      <c r="BO5" s="16"/>
      <c r="BP5" s="16"/>
      <c r="BQ5" s="16"/>
      <c r="BR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 s="16"/>
      <c r="BT5" s="16"/>
      <c r="BU5" s="16"/>
      <c r="BV5" s="16"/>
      <c r="BW5" s="16"/>
    </row>
    <row r="6" spans="1:75" ht="75" hidden="1">
      <c r="A6" s="165" t="s">
        <v>993</v>
      </c>
      <c r="B6" s="165" t="s">
        <v>997</v>
      </c>
      <c r="C6" s="165" t="s">
        <v>994</v>
      </c>
      <c r="D6" s="168" t="s">
        <v>995</v>
      </c>
      <c r="E6"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v>
      </c>
      <c r="F6" s="168" t="str">
        <f>_xlfn.TEXTJOIN("; ",TRUE,Nahkampfwaffen[[#This Row],[Ausfall]:[Wuchtschlag]])</f>
        <v>Finte</v>
      </c>
      <c r="G6" s="255" t="s">
        <v>429</v>
      </c>
      <c r="H6" s="167"/>
      <c r="I6" s="167"/>
      <c r="J6" s="167"/>
      <c r="K6" s="167"/>
      <c r="L6" s="167">
        <f>IF(Nahkampfwaffen[[#This Row],[Waffenmeister: TP/KK / INI/GE]]="TP/KK",1,0)</f>
        <v>0</v>
      </c>
      <c r="M6" s="167">
        <f>IF(Nahkampfwaffen[[#This Row],[Waffenmeister: TP/KK / INI/GE]]="INI/GE",1,0)</f>
        <v>0</v>
      </c>
      <c r="N6" s="167"/>
      <c r="O6" s="167"/>
      <c r="P6" s="16"/>
      <c r="Q6" s="16">
        <f>15-5*(Nahkampfwaffen[[#This Row],[Waffenmeister: AT]]+Nahkampfwaffen[[#This Row],[Waffenmeister: PA]])-3*(Nahkampfwaffen[[#This Row],[Waffenmeister: INI]])-IF(Nahkampfwaffen[[#This Row],[Waffenmeister: TP/KK / INI/GE]]="TP/KK",2,0)</f>
        <v>15</v>
      </c>
      <c r="R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 s="16"/>
      <c r="AX6" s="16"/>
      <c r="AY6" s="16"/>
      <c r="AZ6" s="16"/>
      <c r="BA6" s="16"/>
      <c r="BB6" s="16"/>
      <c r="BC6" s="16"/>
      <c r="BD6" s="16"/>
      <c r="BE6" s="16"/>
      <c r="BF6" s="16"/>
      <c r="BG6" s="16"/>
      <c r="BH6" s="16"/>
      <c r="BI6" s="16"/>
      <c r="BJ6" s="16"/>
      <c r="BK6" s="16"/>
      <c r="BL6" s="16"/>
      <c r="BM6" s="16"/>
      <c r="BN6" s="16"/>
      <c r="BO6" s="16"/>
      <c r="BP6" s="16"/>
      <c r="BQ6" s="16"/>
      <c r="BR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 s="16"/>
      <c r="BT6" s="16"/>
      <c r="BU6" s="16"/>
      <c r="BV6" s="16"/>
      <c r="BW6" s="16"/>
    </row>
    <row r="7" spans="1:75" ht="75" hidden="1">
      <c r="A7" s="165" t="s">
        <v>993</v>
      </c>
      <c r="B7" s="165" t="s">
        <v>998</v>
      </c>
      <c r="C7" s="165" t="s">
        <v>994</v>
      </c>
      <c r="D7" s="168" t="s">
        <v>999</v>
      </c>
      <c r="E7"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Gezielter Stich (nur bei Kenntnis von halbschwert), Halbschwert, Klingensturm, Klingenwand, Meisterparade, Niederwerfen, Stumpfer Schlag, Sturmangriff, Windmühle, Wuchtschlag,</v>
      </c>
      <c r="F7" s="168" t="str">
        <f>_xlfn.TEXTJOIN("; ",TRUE,Nahkampfwaffen[[#This Row],[Ausfall]:[Wuchtschlag]])</f>
        <v>Finte</v>
      </c>
      <c r="G7" s="255" t="s">
        <v>429</v>
      </c>
      <c r="H7" s="167"/>
      <c r="I7" s="167"/>
      <c r="J7" s="167"/>
      <c r="K7" s="167"/>
      <c r="L7" s="167">
        <f>IF(Nahkampfwaffen[[#This Row],[Waffenmeister: TP/KK / INI/GE]]="TP/KK",1,0)</f>
        <v>0</v>
      </c>
      <c r="M7" s="167">
        <f>IF(Nahkampfwaffen[[#This Row],[Waffenmeister: TP/KK / INI/GE]]="INI/GE",1,0)</f>
        <v>0</v>
      </c>
      <c r="N7" s="167"/>
      <c r="O7" s="167"/>
      <c r="P7" s="16"/>
      <c r="Q7" s="16">
        <f>15-5*(Nahkampfwaffen[[#This Row],[Waffenmeister: AT]]+Nahkampfwaffen[[#This Row],[Waffenmeister: PA]])-3*(Nahkampfwaffen[[#This Row],[Waffenmeister: INI]])-IF(Nahkampfwaffen[[#This Row],[Waffenmeister: TP/KK / INI/GE]]="TP/KK",2,0)</f>
        <v>15</v>
      </c>
      <c r="R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 s="16"/>
      <c r="AX7" s="16"/>
      <c r="AY7" s="16"/>
      <c r="AZ7" s="16"/>
      <c r="BA7" s="16"/>
      <c r="BB7" s="16"/>
      <c r="BC7" s="16"/>
      <c r="BD7" s="16"/>
      <c r="BE7" s="16"/>
      <c r="BF7" s="16"/>
      <c r="BG7" s="16"/>
      <c r="BH7" s="16"/>
      <c r="BI7" s="16"/>
      <c r="BJ7" s="16"/>
      <c r="BK7" s="16"/>
      <c r="BL7" s="16"/>
      <c r="BM7" s="16"/>
      <c r="BN7" s="16"/>
      <c r="BO7" s="16"/>
      <c r="BP7" s="16"/>
      <c r="BQ7" s="16"/>
      <c r="BR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 s="16"/>
      <c r="BT7" s="16"/>
      <c r="BU7" s="16"/>
      <c r="BV7" s="16"/>
      <c r="BW7" s="16"/>
    </row>
    <row r="8" spans="1:75" ht="75" hidden="1">
      <c r="A8" s="165" t="s">
        <v>993</v>
      </c>
      <c r="B8" s="165" t="s">
        <v>1000</v>
      </c>
      <c r="C8" s="165" t="s">
        <v>994</v>
      </c>
      <c r="D8" s="168" t="s">
        <v>995</v>
      </c>
      <c r="E8"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v>
      </c>
      <c r="F8" s="168" t="str">
        <f>_xlfn.TEXTJOIN("; ",TRUE,Nahkampfwaffen[[#This Row],[Ausfall]:[Wuchtschlag]])</f>
        <v>Finte</v>
      </c>
      <c r="G8" s="255" t="s">
        <v>429</v>
      </c>
      <c r="H8" s="167"/>
      <c r="I8" s="167"/>
      <c r="J8" s="167"/>
      <c r="K8" s="167"/>
      <c r="L8" s="167">
        <f>IF(Nahkampfwaffen[[#This Row],[Waffenmeister: TP/KK / INI/GE]]="TP/KK",1,0)</f>
        <v>0</v>
      </c>
      <c r="M8" s="167">
        <f>IF(Nahkampfwaffen[[#This Row],[Waffenmeister: TP/KK / INI/GE]]="INI/GE",1,0)</f>
        <v>0</v>
      </c>
      <c r="N8" s="167"/>
      <c r="O8" s="167"/>
      <c r="P8" s="16"/>
      <c r="Q8" s="16">
        <f>15-5*(Nahkampfwaffen[[#This Row],[Waffenmeister: AT]]+Nahkampfwaffen[[#This Row],[Waffenmeister: PA]])-3*(Nahkampfwaffen[[#This Row],[Waffenmeister: INI]])-IF(Nahkampfwaffen[[#This Row],[Waffenmeister: TP/KK / INI/GE]]="TP/KK",2,0)</f>
        <v>15</v>
      </c>
      <c r="R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 s="16"/>
      <c r="AX8" s="16"/>
      <c r="AY8" s="16"/>
      <c r="AZ8" s="16"/>
      <c r="BA8" s="16"/>
      <c r="BB8" s="16"/>
      <c r="BC8" s="16"/>
      <c r="BD8" s="16"/>
      <c r="BE8" s="16"/>
      <c r="BF8" s="16"/>
      <c r="BG8" s="16"/>
      <c r="BH8" s="16"/>
      <c r="BI8" s="16"/>
      <c r="BJ8" s="16"/>
      <c r="BK8" s="16"/>
      <c r="BL8" s="16"/>
      <c r="BM8" s="16"/>
      <c r="BN8" s="16"/>
      <c r="BO8" s="16"/>
      <c r="BP8" s="16"/>
      <c r="BQ8" s="16"/>
      <c r="BR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 s="16"/>
      <c r="BT8" s="16"/>
      <c r="BU8" s="16"/>
      <c r="BV8" s="16"/>
      <c r="BW8" s="16"/>
    </row>
    <row r="9" spans="1:75" ht="45" hidden="1">
      <c r="A9" s="165" t="s">
        <v>993</v>
      </c>
      <c r="B9" s="165" t="s">
        <v>1001</v>
      </c>
      <c r="C9" s="165" t="s">
        <v>1002</v>
      </c>
      <c r="D9" s="168" t="s">
        <v>1003</v>
      </c>
      <c r="E9"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9" s="168" t="str">
        <f>_xlfn.TEXTJOIN("; ",TRUE,Nahkampfwaffen[[#This Row],[Ausfall]:[Wuchtschlag]])</f>
        <v>Finte</v>
      </c>
      <c r="G9" s="255" t="s">
        <v>113</v>
      </c>
      <c r="H9" s="167"/>
      <c r="I9" s="167"/>
      <c r="J9" s="167"/>
      <c r="K9" s="167"/>
      <c r="L9" s="167">
        <f>IF(Nahkampfwaffen[[#This Row],[Waffenmeister: TP/KK / INI/GE]]="TP/KK",1,0)</f>
        <v>0</v>
      </c>
      <c r="M9" s="167">
        <f>IF(Nahkampfwaffen[[#This Row],[Waffenmeister: TP/KK / INI/GE]]="INI/GE",1,0)</f>
        <v>0</v>
      </c>
      <c r="N9" s="167"/>
      <c r="O9" s="167"/>
      <c r="P9" s="16"/>
      <c r="Q9" s="16">
        <f>15-5*(Nahkampfwaffen[[#This Row],[Waffenmeister: AT]]+Nahkampfwaffen[[#This Row],[Waffenmeister: PA]])-3*(Nahkampfwaffen[[#This Row],[Waffenmeister: INI]])-IF(Nahkampfwaffen[[#This Row],[Waffenmeister: TP/KK / INI/GE]]="TP/KK",2,0)</f>
        <v>15</v>
      </c>
      <c r="R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9"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9"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9"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9"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9"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9"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9"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9"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9"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9"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9"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9"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9"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9"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9"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9"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9"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9"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9"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9"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9"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9"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9"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9"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9"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9"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9"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0" spans="1:75" ht="45" hidden="1">
      <c r="A10" s="165" t="s">
        <v>993</v>
      </c>
      <c r="B10" s="165" t="s">
        <v>1004</v>
      </c>
      <c r="C10" s="165" t="s">
        <v>1002</v>
      </c>
      <c r="D10" s="168" t="s">
        <v>1003</v>
      </c>
      <c r="E10"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0" s="168" t="str">
        <f>_xlfn.TEXTJOIN("; ",TRUE,Nahkampfwaffen[[#This Row],[Ausfall]:[Wuchtschlag]])</f>
        <v>Finte</v>
      </c>
      <c r="G10" s="255" t="s">
        <v>113</v>
      </c>
      <c r="H10" s="167"/>
      <c r="I10" s="167"/>
      <c r="J10" s="167"/>
      <c r="K10" s="167"/>
      <c r="L10" s="167">
        <f>IF(Nahkampfwaffen[[#This Row],[Waffenmeister: TP/KK / INI/GE]]="TP/KK",1,0)</f>
        <v>0</v>
      </c>
      <c r="M10" s="167">
        <f>IF(Nahkampfwaffen[[#This Row],[Waffenmeister: TP/KK / INI/GE]]="INI/GE",1,0)</f>
        <v>0</v>
      </c>
      <c r="N10" s="167"/>
      <c r="O10" s="167"/>
      <c r="P10" s="16"/>
      <c r="Q10" s="16">
        <f>15-5*(Nahkampfwaffen[[#This Row],[Waffenmeister: AT]]+Nahkampfwaffen[[#This Row],[Waffenmeister: PA]])-3*(Nahkampfwaffen[[#This Row],[Waffenmeister: INI]])-IF(Nahkampfwaffen[[#This Row],[Waffenmeister: TP/KK / INI/GE]]="TP/KK",2,0)</f>
        <v>15</v>
      </c>
      <c r="R1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0"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0"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0"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0"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0"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0"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0"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0"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0"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0"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0"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0"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0"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0"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0"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0"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0"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0"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0"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0"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0"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0"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0"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0"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0"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0"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0"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1" spans="1:75" ht="45" hidden="1">
      <c r="A11" s="165" t="s">
        <v>993</v>
      </c>
      <c r="B11" s="165" t="s">
        <v>1005</v>
      </c>
      <c r="C11" s="165" t="s">
        <v>1002</v>
      </c>
      <c r="D11" s="168" t="s">
        <v>1003</v>
      </c>
      <c r="E11"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1" s="168" t="str">
        <f>_xlfn.TEXTJOIN("; ",TRUE,Nahkampfwaffen[[#This Row],[Ausfall]:[Wuchtschlag]])</f>
        <v>Finte</v>
      </c>
      <c r="G11" s="255" t="s">
        <v>113</v>
      </c>
      <c r="H11" s="167"/>
      <c r="I11" s="167"/>
      <c r="J11" s="167"/>
      <c r="K11" s="167"/>
      <c r="L11" s="167">
        <f>IF(Nahkampfwaffen[[#This Row],[Waffenmeister: TP/KK / INI/GE]]="TP/KK",1,0)</f>
        <v>0</v>
      </c>
      <c r="M11" s="167">
        <f>IF(Nahkampfwaffen[[#This Row],[Waffenmeister: TP/KK / INI/GE]]="INI/GE",1,0)</f>
        <v>0</v>
      </c>
      <c r="N11" s="167"/>
      <c r="O11" s="167"/>
      <c r="P11" s="16"/>
      <c r="Q11" s="16">
        <f>15-5*(Nahkampfwaffen[[#This Row],[Waffenmeister: AT]]+Nahkampfwaffen[[#This Row],[Waffenmeister: PA]])-3*(Nahkampfwaffen[[#This Row],[Waffenmeister: INI]])-IF(Nahkampfwaffen[[#This Row],[Waffenmeister: TP/KK / INI/GE]]="TP/KK",2,0)</f>
        <v>15</v>
      </c>
      <c r="R1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1"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1"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1"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1"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1"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1"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1"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1"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1"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1"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1"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1"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1"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1"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1"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1"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1"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1"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1"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1"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1"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1"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1"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1"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1"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1"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1"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2" spans="1:75" ht="45" hidden="1">
      <c r="A12" s="165" t="s">
        <v>993</v>
      </c>
      <c r="B12" s="165" t="s">
        <v>1006</v>
      </c>
      <c r="C12" s="165" t="s">
        <v>1002</v>
      </c>
      <c r="D12" s="168" t="s">
        <v>1003</v>
      </c>
      <c r="E12"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2" s="168" t="str">
        <f>_xlfn.TEXTJOIN("; ",TRUE,Nahkampfwaffen[[#This Row],[Ausfall]:[Wuchtschlag]])</f>
        <v>Finte</v>
      </c>
      <c r="G12" s="255" t="s">
        <v>113</v>
      </c>
      <c r="H12" s="167"/>
      <c r="I12" s="167"/>
      <c r="J12" s="167"/>
      <c r="K12" s="167"/>
      <c r="L12" s="167">
        <f>IF(Nahkampfwaffen[[#This Row],[Waffenmeister: TP/KK / INI/GE]]="TP/KK",1,0)</f>
        <v>0</v>
      </c>
      <c r="M12" s="167">
        <f>IF(Nahkampfwaffen[[#This Row],[Waffenmeister: TP/KK / INI/GE]]="INI/GE",1,0)</f>
        <v>0</v>
      </c>
      <c r="N12" s="167"/>
      <c r="O12" s="167"/>
      <c r="P12" s="16"/>
      <c r="Q12" s="16">
        <f>15-5*(Nahkampfwaffen[[#This Row],[Waffenmeister: AT]]+Nahkampfwaffen[[#This Row],[Waffenmeister: PA]])-3*(Nahkampfwaffen[[#This Row],[Waffenmeister: INI]])-IF(Nahkampfwaffen[[#This Row],[Waffenmeister: TP/KK / INI/GE]]="TP/KK",2,0)</f>
        <v>15</v>
      </c>
      <c r="R1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2"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2"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2"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2"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2"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2"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2"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2"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2"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2"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2"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2"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2"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2"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2"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2"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2"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2"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2"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2"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2"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2"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2"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2"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2"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2"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2"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3" spans="1:75" ht="45" hidden="1">
      <c r="A13" s="165" t="s">
        <v>993</v>
      </c>
      <c r="B13" s="165" t="s">
        <v>1007</v>
      </c>
      <c r="C13" s="165" t="s">
        <v>1002</v>
      </c>
      <c r="D13" s="168" t="s">
        <v>1003</v>
      </c>
      <c r="E13"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3" s="168" t="str">
        <f>_xlfn.TEXTJOIN("; ",TRUE,Nahkampfwaffen[[#This Row],[Ausfall]:[Wuchtschlag]])</f>
        <v>Finte</v>
      </c>
      <c r="G13" s="255" t="s">
        <v>113</v>
      </c>
      <c r="H13" s="167"/>
      <c r="I13" s="167"/>
      <c r="J13" s="167"/>
      <c r="K13" s="167"/>
      <c r="L13" s="167">
        <f>IF(Nahkampfwaffen[[#This Row],[Waffenmeister: TP/KK / INI/GE]]="TP/KK",1,0)</f>
        <v>0</v>
      </c>
      <c r="M13" s="167">
        <f>IF(Nahkampfwaffen[[#This Row],[Waffenmeister: TP/KK / INI/GE]]="INI/GE",1,0)</f>
        <v>0</v>
      </c>
      <c r="N13" s="167"/>
      <c r="O13" s="167"/>
      <c r="P13" s="16"/>
      <c r="Q13" s="16">
        <f>15-5*(Nahkampfwaffen[[#This Row],[Waffenmeister: AT]]+Nahkampfwaffen[[#This Row],[Waffenmeister: PA]])-3*(Nahkampfwaffen[[#This Row],[Waffenmeister: INI]])-IF(Nahkampfwaffen[[#This Row],[Waffenmeister: TP/KK / INI/GE]]="TP/KK",2,0)</f>
        <v>15</v>
      </c>
      <c r="R1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3"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3"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3"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3"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3"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3"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3"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3"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3"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3"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3"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3"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3"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3"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3"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3"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3"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3"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3"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3"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3"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3"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3"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3"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3"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3"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3"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4" spans="1:75" ht="45" hidden="1">
      <c r="A14" s="165" t="s">
        <v>993</v>
      </c>
      <c r="B14" s="165" t="s">
        <v>1008</v>
      </c>
      <c r="C14" s="165" t="s">
        <v>1002</v>
      </c>
      <c r="D14" s="168" t="s">
        <v>1003</v>
      </c>
      <c r="E14"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4" s="168" t="str">
        <f>_xlfn.TEXTJOIN("; ",TRUE,Nahkampfwaffen[[#This Row],[Ausfall]:[Wuchtschlag]])</f>
        <v>Finte</v>
      </c>
      <c r="G14" s="255" t="s">
        <v>113</v>
      </c>
      <c r="H14" s="167"/>
      <c r="I14" s="167"/>
      <c r="J14" s="167"/>
      <c r="K14" s="167"/>
      <c r="L14" s="167">
        <f>IF(Nahkampfwaffen[[#This Row],[Waffenmeister: TP/KK / INI/GE]]="TP/KK",1,0)</f>
        <v>0</v>
      </c>
      <c r="M14" s="167">
        <f>IF(Nahkampfwaffen[[#This Row],[Waffenmeister: TP/KK / INI/GE]]="INI/GE",1,0)</f>
        <v>0</v>
      </c>
      <c r="N14" s="167"/>
      <c r="O14" s="167"/>
      <c r="P14" s="16"/>
      <c r="Q14" s="16">
        <f>15-5*(Nahkampfwaffen[[#This Row],[Waffenmeister: AT]]+Nahkampfwaffen[[#This Row],[Waffenmeister: PA]])-3*(Nahkampfwaffen[[#This Row],[Waffenmeister: INI]])-IF(Nahkampfwaffen[[#This Row],[Waffenmeister: TP/KK / INI/GE]]="TP/KK",2,0)</f>
        <v>15</v>
      </c>
      <c r="R1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4"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4"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4"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4"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4"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4"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4"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4"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4"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4"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4"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4"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4"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4"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4"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4"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4"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4"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4"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4"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4"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4"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4"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4"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4"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4"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4"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5" spans="1:75" ht="45" hidden="1">
      <c r="A15" s="165" t="s">
        <v>993</v>
      </c>
      <c r="B15" s="165" t="s">
        <v>1009</v>
      </c>
      <c r="C15" s="165" t="s">
        <v>1002</v>
      </c>
      <c r="D15" s="168" t="s">
        <v>1003</v>
      </c>
      <c r="E15"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5" s="168" t="str">
        <f>_xlfn.TEXTJOIN("; ",TRUE,Nahkampfwaffen[[#This Row],[Ausfall]:[Wuchtschlag]])</f>
        <v>Finte</v>
      </c>
      <c r="G15" s="255" t="s">
        <v>113</v>
      </c>
      <c r="H15" s="167"/>
      <c r="I15" s="167"/>
      <c r="J15" s="167"/>
      <c r="K15" s="167"/>
      <c r="L15" s="167">
        <f>IF(Nahkampfwaffen[[#This Row],[Waffenmeister: TP/KK / INI/GE]]="TP/KK",1,0)</f>
        <v>0</v>
      </c>
      <c r="M15" s="167">
        <f>IF(Nahkampfwaffen[[#This Row],[Waffenmeister: TP/KK / INI/GE]]="INI/GE",1,0)</f>
        <v>0</v>
      </c>
      <c r="N15" s="167"/>
      <c r="O15" s="167"/>
      <c r="P15" s="16"/>
      <c r="Q15" s="16">
        <f>15-5*(Nahkampfwaffen[[#This Row],[Waffenmeister: AT]]+Nahkampfwaffen[[#This Row],[Waffenmeister: PA]])-3*(Nahkampfwaffen[[#This Row],[Waffenmeister: INI]])-IF(Nahkampfwaffen[[#This Row],[Waffenmeister: TP/KK / INI/GE]]="TP/KK",2,0)</f>
        <v>15</v>
      </c>
      <c r="R1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5"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5"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5"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5"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5"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5"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5"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5"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5"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5"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5"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5"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5"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5"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5"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5"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5"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5"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5"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5"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5"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5"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5"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5"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5"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5"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5"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6" spans="1:75" ht="45" hidden="1">
      <c r="A16" s="165" t="s">
        <v>993</v>
      </c>
      <c r="B16" s="165" t="s">
        <v>1010</v>
      </c>
      <c r="C16" s="165" t="s">
        <v>1002</v>
      </c>
      <c r="D16" s="168" t="s">
        <v>1003</v>
      </c>
      <c r="E16"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6" s="168" t="str">
        <f>_xlfn.TEXTJOIN("; ",TRUE,Nahkampfwaffen[[#This Row],[Ausfall]:[Wuchtschlag]])</f>
        <v>Finte</v>
      </c>
      <c r="G16" s="255" t="s">
        <v>113</v>
      </c>
      <c r="H16" s="167"/>
      <c r="I16" s="167"/>
      <c r="J16" s="167"/>
      <c r="K16" s="167"/>
      <c r="L16" s="167">
        <f>IF(Nahkampfwaffen[[#This Row],[Waffenmeister: TP/KK / INI/GE]]="TP/KK",1,0)</f>
        <v>0</v>
      </c>
      <c r="M16" s="167">
        <f>IF(Nahkampfwaffen[[#This Row],[Waffenmeister: TP/KK / INI/GE]]="INI/GE",1,0)</f>
        <v>0</v>
      </c>
      <c r="N16" s="167"/>
      <c r="O16" s="167"/>
      <c r="P16" s="16"/>
      <c r="Q16" s="16">
        <f>15-5*(Nahkampfwaffen[[#This Row],[Waffenmeister: AT]]+Nahkampfwaffen[[#This Row],[Waffenmeister: PA]])-3*(Nahkampfwaffen[[#This Row],[Waffenmeister: INI]])-IF(Nahkampfwaffen[[#This Row],[Waffenmeister: TP/KK / INI/GE]]="TP/KK",2,0)</f>
        <v>15</v>
      </c>
      <c r="R1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6"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6"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6"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6"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6"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6"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6"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6"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6"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6"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6"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6"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6"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6"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6"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6"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6"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6"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6"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6"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6"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6"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6"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6"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6"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6"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6"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6"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7" spans="1:75" ht="45" hidden="1">
      <c r="A17" s="165" t="s">
        <v>993</v>
      </c>
      <c r="B17" s="165" t="s">
        <v>1011</v>
      </c>
      <c r="C17" s="165" t="s">
        <v>1002</v>
      </c>
      <c r="D17" s="168" t="s">
        <v>1003</v>
      </c>
      <c r="E17"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7" s="168" t="str">
        <f>_xlfn.TEXTJOIN("; ",TRUE,Nahkampfwaffen[[#This Row],[Ausfall]:[Wuchtschlag]])</f>
        <v>Finte</v>
      </c>
      <c r="G17" s="255" t="s">
        <v>113</v>
      </c>
      <c r="H17" s="167"/>
      <c r="I17" s="167"/>
      <c r="J17" s="167"/>
      <c r="K17" s="167"/>
      <c r="L17" s="167">
        <f>IF(Nahkampfwaffen[[#This Row],[Waffenmeister: TP/KK / INI/GE]]="TP/KK",1,0)</f>
        <v>0</v>
      </c>
      <c r="M17" s="167">
        <f>IF(Nahkampfwaffen[[#This Row],[Waffenmeister: TP/KK / INI/GE]]="INI/GE",1,0)</f>
        <v>0</v>
      </c>
      <c r="N17" s="167"/>
      <c r="O17" s="167"/>
      <c r="P17" s="16"/>
      <c r="Q17" s="16">
        <f>15-5*(Nahkampfwaffen[[#This Row],[Waffenmeister: AT]]+Nahkampfwaffen[[#This Row],[Waffenmeister: PA]])-3*(Nahkampfwaffen[[#This Row],[Waffenmeister: INI]])-IF(Nahkampfwaffen[[#This Row],[Waffenmeister: TP/KK / INI/GE]]="TP/KK",2,0)</f>
        <v>15</v>
      </c>
      <c r="R1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7"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7"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7"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7"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7"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7"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7"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7"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7"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7"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7"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7"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7"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7"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7"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7"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7"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7"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7"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7"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7"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7"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7"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7"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7"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7"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7"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7"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8" spans="1:75" ht="45" hidden="1">
      <c r="A18" s="165" t="s">
        <v>993</v>
      </c>
      <c r="B18" s="165" t="s">
        <v>1012</v>
      </c>
      <c r="C18" s="165" t="s">
        <v>1002</v>
      </c>
      <c r="D18" s="168" t="s">
        <v>1003</v>
      </c>
      <c r="E18"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8" s="168" t="str">
        <f>_xlfn.TEXTJOIN("; ",TRUE,Nahkampfwaffen[[#This Row],[Ausfall]:[Wuchtschlag]])</f>
        <v>Finte</v>
      </c>
      <c r="G18" s="255" t="s">
        <v>113</v>
      </c>
      <c r="H18" s="167"/>
      <c r="I18" s="167"/>
      <c r="J18" s="167"/>
      <c r="K18" s="167"/>
      <c r="L18" s="167">
        <f>IF(Nahkampfwaffen[[#This Row],[Waffenmeister: TP/KK / INI/GE]]="TP/KK",1,0)</f>
        <v>0</v>
      </c>
      <c r="M18" s="167">
        <f>IF(Nahkampfwaffen[[#This Row],[Waffenmeister: TP/KK / INI/GE]]="INI/GE",1,0)</f>
        <v>0</v>
      </c>
      <c r="N18" s="167"/>
      <c r="O18" s="167"/>
      <c r="P18" s="16"/>
      <c r="Q18" s="16">
        <f>15-5*(Nahkampfwaffen[[#This Row],[Waffenmeister: AT]]+Nahkampfwaffen[[#This Row],[Waffenmeister: PA]])-3*(Nahkampfwaffen[[#This Row],[Waffenmeister: INI]])-IF(Nahkampfwaffen[[#This Row],[Waffenmeister: TP/KK / INI/GE]]="TP/KK",2,0)</f>
        <v>15</v>
      </c>
      <c r="R1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8"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8"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8"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8"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8"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8"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8"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8"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8"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8"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8"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8"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8"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8"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8"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8"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8"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8"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8"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8"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8"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8"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8"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8"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8"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8"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8"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8"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9" spans="1:75" ht="45" hidden="1">
      <c r="A19" s="165" t="s">
        <v>993</v>
      </c>
      <c r="B19" s="165" t="s">
        <v>1013</v>
      </c>
      <c r="C19" s="165" t="s">
        <v>1002</v>
      </c>
      <c r="D19" s="168" t="s">
        <v>1003</v>
      </c>
      <c r="E19"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19" s="168" t="str">
        <f>_xlfn.TEXTJOIN("; ",TRUE,Nahkampfwaffen[[#This Row],[Ausfall]:[Wuchtschlag]])</f>
        <v>Finte</v>
      </c>
      <c r="G19" s="255" t="s">
        <v>113</v>
      </c>
      <c r="H19" s="167"/>
      <c r="I19" s="167"/>
      <c r="J19" s="167"/>
      <c r="K19" s="167"/>
      <c r="L19" s="167">
        <f>IF(Nahkampfwaffen[[#This Row],[Waffenmeister: TP/KK / INI/GE]]="TP/KK",1,0)</f>
        <v>0</v>
      </c>
      <c r="M19" s="167">
        <f>IF(Nahkampfwaffen[[#This Row],[Waffenmeister: TP/KK / INI/GE]]="INI/GE",1,0)</f>
        <v>0</v>
      </c>
      <c r="N19" s="167"/>
      <c r="O19" s="167"/>
      <c r="P19" s="16"/>
      <c r="Q19" s="16">
        <f>15-5*(Nahkampfwaffen[[#This Row],[Waffenmeister: AT]]+Nahkampfwaffen[[#This Row],[Waffenmeister: PA]])-3*(Nahkampfwaffen[[#This Row],[Waffenmeister: INI]])-IF(Nahkampfwaffen[[#This Row],[Waffenmeister: TP/KK / INI/GE]]="TP/KK",2,0)</f>
        <v>15</v>
      </c>
      <c r="R1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9"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19"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19"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9"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9"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9"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19"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19"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9"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19"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9"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19"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9"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19"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9"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9"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9"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9"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19"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9"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9"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9"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19"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9"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9"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9"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9"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19"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0" spans="1:75" ht="45" hidden="1">
      <c r="A20" s="165" t="s">
        <v>993</v>
      </c>
      <c r="B20" s="165" t="s">
        <v>1014</v>
      </c>
      <c r="C20" s="165" t="s">
        <v>1002</v>
      </c>
      <c r="D20" s="168" t="s">
        <v>1003</v>
      </c>
      <c r="E20"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0" s="168" t="str">
        <f>_xlfn.TEXTJOIN("; ",TRUE,Nahkampfwaffen[[#This Row],[Ausfall]:[Wuchtschlag]])</f>
        <v>Finte</v>
      </c>
      <c r="G20" s="255" t="s">
        <v>113</v>
      </c>
      <c r="H20" s="167"/>
      <c r="I20" s="167"/>
      <c r="J20" s="167"/>
      <c r="K20" s="167"/>
      <c r="L20" s="167">
        <f>IF(Nahkampfwaffen[[#This Row],[Waffenmeister: TP/KK / INI/GE]]="TP/KK",1,0)</f>
        <v>0</v>
      </c>
      <c r="M20" s="167">
        <f>IF(Nahkampfwaffen[[#This Row],[Waffenmeister: TP/KK / INI/GE]]="INI/GE",1,0)</f>
        <v>0</v>
      </c>
      <c r="N20" s="167"/>
      <c r="O20" s="167"/>
      <c r="P20" s="16"/>
      <c r="Q20" s="16">
        <f>15-5*(Nahkampfwaffen[[#This Row],[Waffenmeister: AT]]+Nahkampfwaffen[[#This Row],[Waffenmeister: PA]])-3*(Nahkampfwaffen[[#This Row],[Waffenmeister: INI]])-IF(Nahkampfwaffen[[#This Row],[Waffenmeister: TP/KK / INI/GE]]="TP/KK",2,0)</f>
        <v>15</v>
      </c>
      <c r="R2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0"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0"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0"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0"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0"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0"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0"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0"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0"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0"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0"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0"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0"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0"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0"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0"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0"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0"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0"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0"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0"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0"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0"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0"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0"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0"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0"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0"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1" spans="1:75" ht="45" hidden="1">
      <c r="A21" s="165" t="s">
        <v>993</v>
      </c>
      <c r="B21" s="165" t="s">
        <v>1015</v>
      </c>
      <c r="C21" s="165" t="s">
        <v>1002</v>
      </c>
      <c r="D21" s="168" t="s">
        <v>1003</v>
      </c>
      <c r="E21"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1" s="168" t="str">
        <f>_xlfn.TEXTJOIN("; ",TRUE,Nahkampfwaffen[[#This Row],[Ausfall]:[Wuchtschlag]])</f>
        <v>Finte</v>
      </c>
      <c r="G21" s="255" t="s">
        <v>113</v>
      </c>
      <c r="H21" s="167"/>
      <c r="I21" s="167"/>
      <c r="J21" s="167"/>
      <c r="K21" s="167"/>
      <c r="L21" s="167">
        <f>IF(Nahkampfwaffen[[#This Row],[Waffenmeister: TP/KK / INI/GE]]="TP/KK",1,0)</f>
        <v>0</v>
      </c>
      <c r="M21" s="167">
        <f>IF(Nahkampfwaffen[[#This Row],[Waffenmeister: TP/KK / INI/GE]]="INI/GE",1,0)</f>
        <v>0</v>
      </c>
      <c r="N21" s="167"/>
      <c r="O21" s="167"/>
      <c r="P21" s="16"/>
      <c r="Q21" s="16">
        <f>15-5*(Nahkampfwaffen[[#This Row],[Waffenmeister: AT]]+Nahkampfwaffen[[#This Row],[Waffenmeister: PA]])-3*(Nahkampfwaffen[[#This Row],[Waffenmeister: INI]])-IF(Nahkampfwaffen[[#This Row],[Waffenmeister: TP/KK / INI/GE]]="TP/KK",2,0)</f>
        <v>15</v>
      </c>
      <c r="R2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1"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1"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1"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1"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1"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1"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1"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1"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1"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1"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1"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1"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1"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1"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1"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1"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1"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1"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1"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1"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1"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1"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1"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1"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1"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1"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1"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1"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2" spans="1:75" ht="45" hidden="1">
      <c r="A22" s="165" t="s">
        <v>993</v>
      </c>
      <c r="B22" s="165" t="s">
        <v>1016</v>
      </c>
      <c r="C22" s="165" t="s">
        <v>1002</v>
      </c>
      <c r="D22" s="168" t="s">
        <v>1003</v>
      </c>
      <c r="E22"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2" s="168" t="str">
        <f>_xlfn.TEXTJOIN("; ",TRUE,Nahkampfwaffen[[#This Row],[Ausfall]:[Wuchtschlag]])</f>
        <v>Finte</v>
      </c>
      <c r="G22" s="255" t="s">
        <v>113</v>
      </c>
      <c r="H22" s="167"/>
      <c r="I22" s="167"/>
      <c r="J22" s="167"/>
      <c r="K22" s="167"/>
      <c r="L22" s="167">
        <f>IF(Nahkampfwaffen[[#This Row],[Waffenmeister: TP/KK / INI/GE]]="TP/KK",1,0)</f>
        <v>0</v>
      </c>
      <c r="M22" s="167">
        <f>IF(Nahkampfwaffen[[#This Row],[Waffenmeister: TP/KK / INI/GE]]="INI/GE",1,0)</f>
        <v>0</v>
      </c>
      <c r="N22" s="167"/>
      <c r="O22" s="167"/>
      <c r="P22" s="16"/>
      <c r="Q22" s="16">
        <f>15-5*(Nahkampfwaffen[[#This Row],[Waffenmeister: AT]]+Nahkampfwaffen[[#This Row],[Waffenmeister: PA]])-3*(Nahkampfwaffen[[#This Row],[Waffenmeister: INI]])-IF(Nahkampfwaffen[[#This Row],[Waffenmeister: TP/KK / INI/GE]]="TP/KK",2,0)</f>
        <v>15</v>
      </c>
      <c r="R2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2"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2"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2"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2"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2"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2"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2"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2"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2"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2"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2"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2"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2"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2"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2"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2"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2"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2"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2"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2"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2"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2"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2"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2"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2"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2"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2"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2"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3" spans="1:75" ht="45" hidden="1">
      <c r="A23" s="165" t="s">
        <v>993</v>
      </c>
      <c r="B23" s="165" t="s">
        <v>1017</v>
      </c>
      <c r="C23" s="165" t="s">
        <v>1002</v>
      </c>
      <c r="D23" s="168" t="s">
        <v>1003</v>
      </c>
      <c r="E23"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3" s="168" t="str">
        <f>_xlfn.TEXTJOIN("; ",TRUE,Nahkampfwaffen[[#This Row],[Ausfall]:[Wuchtschlag]])</f>
        <v>Finte</v>
      </c>
      <c r="G23" s="255" t="s">
        <v>113</v>
      </c>
      <c r="H23" s="167"/>
      <c r="I23" s="167"/>
      <c r="J23" s="167"/>
      <c r="K23" s="167"/>
      <c r="L23" s="167">
        <f>IF(Nahkampfwaffen[[#This Row],[Waffenmeister: TP/KK / INI/GE]]="TP/KK",1,0)</f>
        <v>0</v>
      </c>
      <c r="M23" s="167">
        <f>IF(Nahkampfwaffen[[#This Row],[Waffenmeister: TP/KK / INI/GE]]="INI/GE",1,0)</f>
        <v>0</v>
      </c>
      <c r="N23" s="167"/>
      <c r="O23" s="167"/>
      <c r="P23" s="16"/>
      <c r="Q23" s="16">
        <f>15-5*(Nahkampfwaffen[[#This Row],[Waffenmeister: AT]]+Nahkampfwaffen[[#This Row],[Waffenmeister: PA]])-3*(Nahkampfwaffen[[#This Row],[Waffenmeister: INI]])-IF(Nahkampfwaffen[[#This Row],[Waffenmeister: TP/KK / INI/GE]]="TP/KK",2,0)</f>
        <v>15</v>
      </c>
      <c r="R2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3"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3"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3"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3"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3"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3"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3"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3"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3"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3"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3"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3"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3"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3"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3"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3"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3"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3"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3"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3"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3"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3"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3"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3"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3"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3"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3"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3"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4" spans="1:75" ht="45" hidden="1">
      <c r="A24" s="165" t="s">
        <v>993</v>
      </c>
      <c r="B24" s="165" t="s">
        <v>1018</v>
      </c>
      <c r="C24" s="165" t="s">
        <v>1002</v>
      </c>
      <c r="D24" s="168" t="s">
        <v>1003</v>
      </c>
      <c r="E24"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4" s="168" t="str">
        <f>_xlfn.TEXTJOIN("; ",TRUE,Nahkampfwaffen[[#This Row],[Ausfall]:[Wuchtschlag]])</f>
        <v>Finte</v>
      </c>
      <c r="G24" s="255" t="s">
        <v>113</v>
      </c>
      <c r="H24" s="167"/>
      <c r="I24" s="167"/>
      <c r="J24" s="167"/>
      <c r="K24" s="167"/>
      <c r="L24" s="167">
        <f>IF(Nahkampfwaffen[[#This Row],[Waffenmeister: TP/KK / INI/GE]]="TP/KK",1,0)</f>
        <v>0</v>
      </c>
      <c r="M24" s="167">
        <f>IF(Nahkampfwaffen[[#This Row],[Waffenmeister: TP/KK / INI/GE]]="INI/GE",1,0)</f>
        <v>0</v>
      </c>
      <c r="N24" s="167"/>
      <c r="O24" s="167"/>
      <c r="P24" s="16"/>
      <c r="Q24" s="16">
        <f>15-5*(Nahkampfwaffen[[#This Row],[Waffenmeister: AT]]+Nahkampfwaffen[[#This Row],[Waffenmeister: PA]])-3*(Nahkampfwaffen[[#This Row],[Waffenmeister: INI]])-IF(Nahkampfwaffen[[#This Row],[Waffenmeister: TP/KK / INI/GE]]="TP/KK",2,0)</f>
        <v>15</v>
      </c>
      <c r="R2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4"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4"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4"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4"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4"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4"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4"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4"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4"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4"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4"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4"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4"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4"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4"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4"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4"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4"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4"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4"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4"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4"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4"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4"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4"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4"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4"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4"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5" spans="1:75" ht="45" hidden="1">
      <c r="A25" s="165" t="s">
        <v>993</v>
      </c>
      <c r="B25" s="165" t="s">
        <v>1019</v>
      </c>
      <c r="C25" s="165" t="s">
        <v>1002</v>
      </c>
      <c r="D25" s="168" t="s">
        <v>1003</v>
      </c>
      <c r="E25"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5" s="168" t="str">
        <f>_xlfn.TEXTJOIN("; ",TRUE,Nahkampfwaffen[[#This Row],[Ausfall]:[Wuchtschlag]])</f>
        <v>Finte</v>
      </c>
      <c r="G25" s="255" t="s">
        <v>113</v>
      </c>
      <c r="H25" s="167"/>
      <c r="I25" s="167"/>
      <c r="J25" s="167"/>
      <c r="K25" s="167"/>
      <c r="L25" s="167">
        <f>IF(Nahkampfwaffen[[#This Row],[Waffenmeister: TP/KK / INI/GE]]="TP/KK",1,0)</f>
        <v>0</v>
      </c>
      <c r="M25" s="167">
        <f>IF(Nahkampfwaffen[[#This Row],[Waffenmeister: TP/KK / INI/GE]]="INI/GE",1,0)</f>
        <v>0</v>
      </c>
      <c r="N25" s="167"/>
      <c r="O25" s="167"/>
      <c r="P25" s="16"/>
      <c r="Q25" s="16">
        <f>15-5*(Nahkampfwaffen[[#This Row],[Waffenmeister: AT]]+Nahkampfwaffen[[#This Row],[Waffenmeister: PA]])-3*(Nahkampfwaffen[[#This Row],[Waffenmeister: INI]])-IF(Nahkampfwaffen[[#This Row],[Waffenmeister: TP/KK / INI/GE]]="TP/KK",2,0)</f>
        <v>15</v>
      </c>
      <c r="R2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5"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5"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5"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5"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5"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5"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5"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5"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5"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5"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5"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5"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5"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5"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5"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5"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5"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5"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5"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5"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5"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5"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5"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5"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5"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5"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5"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5"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6" spans="1:75" ht="45" hidden="1">
      <c r="A26" s="165" t="s">
        <v>993</v>
      </c>
      <c r="B26" s="165" t="s">
        <v>1020</v>
      </c>
      <c r="C26" s="165" t="s">
        <v>1002</v>
      </c>
      <c r="D26" s="168" t="s">
        <v>1003</v>
      </c>
      <c r="E26"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6" s="168" t="str">
        <f>_xlfn.TEXTJOIN("; ",TRUE,Nahkampfwaffen[[#This Row],[Ausfall]:[Wuchtschlag]])</f>
        <v>Finte</v>
      </c>
      <c r="G26" s="255" t="s">
        <v>113</v>
      </c>
      <c r="H26" s="167"/>
      <c r="I26" s="167"/>
      <c r="J26" s="167"/>
      <c r="K26" s="167"/>
      <c r="L26" s="167">
        <f>IF(Nahkampfwaffen[[#This Row],[Waffenmeister: TP/KK / INI/GE]]="TP/KK",1,0)</f>
        <v>0</v>
      </c>
      <c r="M26" s="167">
        <f>IF(Nahkampfwaffen[[#This Row],[Waffenmeister: TP/KK / INI/GE]]="INI/GE",1,0)</f>
        <v>0</v>
      </c>
      <c r="N26" s="167"/>
      <c r="O26" s="167"/>
      <c r="P26" s="16"/>
      <c r="Q26" s="16">
        <f>15-5*(Nahkampfwaffen[[#This Row],[Waffenmeister: AT]]+Nahkampfwaffen[[#This Row],[Waffenmeister: PA]])-3*(Nahkampfwaffen[[#This Row],[Waffenmeister: INI]])-IF(Nahkampfwaffen[[#This Row],[Waffenmeister: TP/KK / INI/GE]]="TP/KK",2,0)</f>
        <v>15</v>
      </c>
      <c r="R2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6"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6"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6"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6"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6"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6"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6"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6"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6"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6"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6"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6"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6"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6"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6"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6"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6"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6"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6"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6"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6"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6"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6"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6"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6"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6"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6"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6"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7" spans="1:75" ht="45" hidden="1">
      <c r="A27" s="165" t="s">
        <v>993</v>
      </c>
      <c r="B27" s="165" t="s">
        <v>1021</v>
      </c>
      <c r="C27" s="165" t="s">
        <v>1002</v>
      </c>
      <c r="D27" s="168" t="s">
        <v>1003</v>
      </c>
      <c r="E27"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aus der Attacke, Finte, Gegenhalten, Gezielter Stich, Klingensturm, Klingenwand, Meisterparade, Todesstoß,</v>
      </c>
      <c r="F27" s="168" t="str">
        <f>_xlfn.TEXTJOIN("; ",TRUE,Nahkampfwaffen[[#This Row],[Ausfall]:[Wuchtschlag]])</f>
        <v>Finte</v>
      </c>
      <c r="G27" s="255" t="s">
        <v>113</v>
      </c>
      <c r="H27" s="167"/>
      <c r="I27" s="167"/>
      <c r="J27" s="167"/>
      <c r="K27" s="167"/>
      <c r="L27" s="167">
        <f>IF(Nahkampfwaffen[[#This Row],[Waffenmeister: TP/KK / INI/GE]]="TP/KK",1,0)</f>
        <v>0</v>
      </c>
      <c r="M27" s="167">
        <f>IF(Nahkampfwaffen[[#This Row],[Waffenmeister: TP/KK / INI/GE]]="INI/GE",1,0)</f>
        <v>0</v>
      </c>
      <c r="N27" s="167"/>
      <c r="O27" s="167"/>
      <c r="P27" s="16"/>
      <c r="Q27" s="16">
        <f>15-5*(Nahkampfwaffen[[#This Row],[Waffenmeister: AT]]+Nahkampfwaffen[[#This Row],[Waffenmeister: PA]])-3*(Nahkampfwaffen[[#This Row],[Waffenmeister: INI]])-IF(Nahkampfwaffen[[#This Row],[Waffenmeister: TP/KK / INI/GE]]="TP/KK",2,0)</f>
        <v>15</v>
      </c>
      <c r="R2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7"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
      </c>
      <c r="AW27"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
      </c>
      <c r="AX27"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27"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27"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27"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
      </c>
      <c r="BB27"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
      </c>
      <c r="BC27"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27"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
      </c>
      <c r="BE27"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27"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
      </c>
      <c r="BG27"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27"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
      </c>
      <c r="BI27"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27"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27"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27"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27"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
      </c>
      <c r="BN27"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27"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27"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27"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
      </c>
      <c r="BR27"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27"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27"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27"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27"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
      </c>
      <c r="BW27"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28" spans="1:75" ht="45" hidden="1">
      <c r="A28" s="165" t="s">
        <v>993</v>
      </c>
      <c r="B28" s="165" t="s">
        <v>1022</v>
      </c>
      <c r="C28" s="165" t="s">
        <v>1023</v>
      </c>
      <c r="D28" s="168" t="s">
        <v>1024</v>
      </c>
      <c r="E28"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28" s="168" t="str">
        <f>_xlfn.TEXTJOIN("; ",TRUE,Nahkampfwaffen[[#This Row],[Ausfall]:[Wuchtschlag]])</f>
        <v>Finte</v>
      </c>
      <c r="G28" s="255" t="s">
        <v>429</v>
      </c>
      <c r="H28" s="167"/>
      <c r="I28" s="167"/>
      <c r="J28" s="167"/>
      <c r="K28" s="167"/>
      <c r="L28" s="167">
        <f>IF(Nahkampfwaffen[[#This Row],[Waffenmeister: TP/KK / INI/GE]]="TP/KK",1,0)</f>
        <v>0</v>
      </c>
      <c r="M28" s="167">
        <f>IF(Nahkampfwaffen[[#This Row],[Waffenmeister: TP/KK / INI/GE]]="INI/GE",1,0)</f>
        <v>0</v>
      </c>
      <c r="N28" s="167"/>
      <c r="O28" s="167"/>
      <c r="P28" s="16"/>
      <c r="Q28" s="16">
        <f>15-5*(Nahkampfwaffen[[#This Row],[Waffenmeister: AT]]+Nahkampfwaffen[[#This Row],[Waffenmeister: PA]])-3*(Nahkampfwaffen[[#This Row],[Waffenmeister: INI]])-IF(Nahkampfwaffen[[#This Row],[Waffenmeister: TP/KK / INI/GE]]="TP/KK",2,0)</f>
        <v>15</v>
      </c>
      <c r="R2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28" s="16"/>
      <c r="AX28" s="16"/>
      <c r="AY28" s="16"/>
      <c r="AZ28" s="16"/>
      <c r="BA28" s="16"/>
      <c r="BB28" s="16"/>
      <c r="BC28" s="16"/>
      <c r="BD28" s="16"/>
      <c r="BE28" s="16"/>
      <c r="BF28" s="16"/>
      <c r="BG28" s="16"/>
      <c r="BH28" s="16"/>
      <c r="BI28" s="16"/>
      <c r="BJ28" s="16"/>
      <c r="BK28" s="16"/>
      <c r="BL28" s="16"/>
      <c r="BM28" s="16"/>
      <c r="BN28" s="16"/>
      <c r="BO28" s="16"/>
      <c r="BP28" s="16"/>
      <c r="BQ28" s="16"/>
      <c r="BR2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28" s="16"/>
      <c r="BT28" s="16"/>
      <c r="BU28" s="16"/>
      <c r="BV28" s="16"/>
      <c r="BW28" s="16"/>
    </row>
    <row r="29" spans="1:75" ht="45" hidden="1">
      <c r="A29" s="165" t="s">
        <v>993</v>
      </c>
      <c r="B29" s="165" t="s">
        <v>1025</v>
      </c>
      <c r="C29" s="165" t="s">
        <v>1023</v>
      </c>
      <c r="D29" s="168" t="s">
        <v>1024</v>
      </c>
      <c r="E29"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29" s="168" t="str">
        <f>_xlfn.TEXTJOIN("; ",TRUE,Nahkampfwaffen[[#This Row],[Ausfall]:[Wuchtschlag]])</f>
        <v>Finte</v>
      </c>
      <c r="G29" s="255" t="s">
        <v>429</v>
      </c>
      <c r="H29" s="167"/>
      <c r="I29" s="167"/>
      <c r="J29" s="167"/>
      <c r="K29" s="167"/>
      <c r="L29" s="167">
        <f>IF(Nahkampfwaffen[[#This Row],[Waffenmeister: TP/KK / INI/GE]]="TP/KK",1,0)</f>
        <v>0</v>
      </c>
      <c r="M29" s="167">
        <f>IF(Nahkampfwaffen[[#This Row],[Waffenmeister: TP/KK / INI/GE]]="INI/GE",1,0)</f>
        <v>0</v>
      </c>
      <c r="N29" s="167"/>
      <c r="O29" s="167"/>
      <c r="P29" s="16"/>
      <c r="Q29" s="16">
        <f>15-5*(Nahkampfwaffen[[#This Row],[Waffenmeister: AT]]+Nahkampfwaffen[[#This Row],[Waffenmeister: PA]])-3*(Nahkampfwaffen[[#This Row],[Waffenmeister: INI]])-IF(Nahkampfwaffen[[#This Row],[Waffenmeister: TP/KK / INI/GE]]="TP/KK",2,0)</f>
        <v>15</v>
      </c>
      <c r="R2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2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2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2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2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2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2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2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2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2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2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2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2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2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2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2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2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2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2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2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2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2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2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2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2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2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2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2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2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2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2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29" s="16"/>
      <c r="AX29" s="16"/>
      <c r="AY29" s="16"/>
      <c r="AZ29" s="16"/>
      <c r="BA29" s="16"/>
      <c r="BB29" s="16"/>
      <c r="BC29" s="16"/>
      <c r="BD29" s="16"/>
      <c r="BE29" s="16"/>
      <c r="BF29" s="16"/>
      <c r="BG29" s="16"/>
      <c r="BH29" s="16"/>
      <c r="BI29" s="16"/>
      <c r="BJ29" s="16"/>
      <c r="BK29" s="16"/>
      <c r="BL29" s="16"/>
      <c r="BM29" s="16"/>
      <c r="BN29" s="16"/>
      <c r="BO29" s="16"/>
      <c r="BP29" s="16"/>
      <c r="BQ29" s="16"/>
      <c r="BR2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29" s="16"/>
      <c r="BT29" s="16"/>
      <c r="BU29" s="16"/>
      <c r="BV29" s="16"/>
      <c r="BW29" s="16"/>
    </row>
    <row r="30" spans="1:75" ht="45" hidden="1">
      <c r="A30" s="165" t="s">
        <v>993</v>
      </c>
      <c r="B30" s="165" t="s">
        <v>1026</v>
      </c>
      <c r="C30" s="165" t="s">
        <v>1023</v>
      </c>
      <c r="D30" s="168" t="s">
        <v>1024</v>
      </c>
      <c r="E30"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0" s="168" t="str">
        <f>_xlfn.TEXTJOIN("; ",TRUE,Nahkampfwaffen[[#This Row],[Ausfall]:[Wuchtschlag]])</f>
        <v>Finte</v>
      </c>
      <c r="G30" s="255" t="s">
        <v>429</v>
      </c>
      <c r="H30" s="167"/>
      <c r="I30" s="167"/>
      <c r="J30" s="167"/>
      <c r="K30" s="167"/>
      <c r="L30" s="167">
        <f>IF(Nahkampfwaffen[[#This Row],[Waffenmeister: TP/KK / INI/GE]]="TP/KK",1,0)</f>
        <v>0</v>
      </c>
      <c r="M30" s="167">
        <f>IF(Nahkampfwaffen[[#This Row],[Waffenmeister: TP/KK / INI/GE]]="INI/GE",1,0)</f>
        <v>0</v>
      </c>
      <c r="N30" s="167"/>
      <c r="O30" s="167"/>
      <c r="P30" s="16"/>
      <c r="Q30" s="16">
        <f>15-5*(Nahkampfwaffen[[#This Row],[Waffenmeister: AT]]+Nahkampfwaffen[[#This Row],[Waffenmeister: PA]])-3*(Nahkampfwaffen[[#This Row],[Waffenmeister: INI]])-IF(Nahkampfwaffen[[#This Row],[Waffenmeister: TP/KK / INI/GE]]="TP/KK",2,0)</f>
        <v>15</v>
      </c>
      <c r="R3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0" s="16"/>
      <c r="AX30" s="16"/>
      <c r="AY30" s="16"/>
      <c r="AZ30" s="16"/>
      <c r="BA30" s="16"/>
      <c r="BB30" s="16"/>
      <c r="BC30" s="16"/>
      <c r="BD30" s="16"/>
      <c r="BE30" s="16"/>
      <c r="BF30" s="16"/>
      <c r="BG30" s="16"/>
      <c r="BH30" s="16"/>
      <c r="BI30" s="16"/>
      <c r="BJ30" s="16"/>
      <c r="BK30" s="16"/>
      <c r="BL30" s="16"/>
      <c r="BM30" s="16"/>
      <c r="BN30" s="16"/>
      <c r="BO30" s="16"/>
      <c r="BP30" s="16"/>
      <c r="BQ30" s="16"/>
      <c r="BR3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0" s="16"/>
      <c r="BT30" s="16"/>
      <c r="BU30" s="16"/>
      <c r="BV30" s="16"/>
      <c r="BW30" s="16"/>
    </row>
    <row r="31" spans="1:75" ht="45" hidden="1">
      <c r="A31" s="165" t="s">
        <v>993</v>
      </c>
      <c r="B31" s="165" t="s">
        <v>1027</v>
      </c>
      <c r="C31" s="165" t="s">
        <v>1023</v>
      </c>
      <c r="D31" s="168" t="s">
        <v>1024</v>
      </c>
      <c r="E31"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1" s="168" t="str">
        <f>_xlfn.TEXTJOIN("; ",TRUE,Nahkampfwaffen[[#This Row],[Ausfall]:[Wuchtschlag]])</f>
        <v>Finte</v>
      </c>
      <c r="G31" s="255" t="s">
        <v>429</v>
      </c>
      <c r="H31" s="167"/>
      <c r="I31" s="167"/>
      <c r="J31" s="167"/>
      <c r="K31" s="167"/>
      <c r="L31" s="167">
        <f>IF(Nahkampfwaffen[[#This Row],[Waffenmeister: TP/KK / INI/GE]]="TP/KK",1,0)</f>
        <v>0</v>
      </c>
      <c r="M31" s="167">
        <f>IF(Nahkampfwaffen[[#This Row],[Waffenmeister: TP/KK / INI/GE]]="INI/GE",1,0)</f>
        <v>0</v>
      </c>
      <c r="N31" s="167"/>
      <c r="O31" s="167"/>
      <c r="P31" s="16"/>
      <c r="Q31" s="16">
        <f>15-5*(Nahkampfwaffen[[#This Row],[Waffenmeister: AT]]+Nahkampfwaffen[[#This Row],[Waffenmeister: PA]])-3*(Nahkampfwaffen[[#This Row],[Waffenmeister: INI]])-IF(Nahkampfwaffen[[#This Row],[Waffenmeister: TP/KK / INI/GE]]="TP/KK",2,0)</f>
        <v>15</v>
      </c>
      <c r="R3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1" s="16"/>
      <c r="AX31" s="16"/>
      <c r="AY31" s="16"/>
      <c r="AZ31" s="16"/>
      <c r="BA31" s="16"/>
      <c r="BB31" s="16"/>
      <c r="BC31" s="16"/>
      <c r="BD31" s="16"/>
      <c r="BE31" s="16"/>
      <c r="BF31" s="16"/>
      <c r="BG31" s="16"/>
      <c r="BH31" s="16"/>
      <c r="BI31" s="16"/>
      <c r="BJ31" s="16"/>
      <c r="BK31" s="16"/>
      <c r="BL31" s="16"/>
      <c r="BM31" s="16"/>
      <c r="BN31" s="16"/>
      <c r="BO31" s="16"/>
      <c r="BP31" s="16"/>
      <c r="BQ31" s="16"/>
      <c r="BR3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1" s="16"/>
      <c r="BT31" s="16"/>
      <c r="BU31" s="16"/>
      <c r="BV31" s="16"/>
      <c r="BW31" s="16"/>
    </row>
    <row r="32" spans="1:75" ht="45" hidden="1">
      <c r="A32" s="165" t="s">
        <v>993</v>
      </c>
      <c r="B32" s="165" t="s">
        <v>1014</v>
      </c>
      <c r="C32" s="165" t="s">
        <v>1023</v>
      </c>
      <c r="D32" s="168" t="s">
        <v>1024</v>
      </c>
      <c r="E32"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2" s="168" t="str">
        <f>_xlfn.TEXTJOIN("; ",TRUE,Nahkampfwaffen[[#This Row],[Ausfall]:[Wuchtschlag]])</f>
        <v>Finte</v>
      </c>
      <c r="G32" s="255" t="s">
        <v>429</v>
      </c>
      <c r="H32" s="167"/>
      <c r="I32" s="167"/>
      <c r="J32" s="167"/>
      <c r="K32" s="167"/>
      <c r="L32" s="167">
        <f>IF(Nahkampfwaffen[[#This Row],[Waffenmeister: TP/KK / INI/GE]]="TP/KK",1,0)</f>
        <v>0</v>
      </c>
      <c r="M32" s="167">
        <f>IF(Nahkampfwaffen[[#This Row],[Waffenmeister: TP/KK / INI/GE]]="INI/GE",1,0)</f>
        <v>0</v>
      </c>
      <c r="N32" s="167"/>
      <c r="O32" s="167"/>
      <c r="P32" s="16"/>
      <c r="Q32" s="16">
        <f>15-5*(Nahkampfwaffen[[#This Row],[Waffenmeister: AT]]+Nahkampfwaffen[[#This Row],[Waffenmeister: PA]])-3*(Nahkampfwaffen[[#This Row],[Waffenmeister: INI]])-IF(Nahkampfwaffen[[#This Row],[Waffenmeister: TP/KK / INI/GE]]="TP/KK",2,0)</f>
        <v>15</v>
      </c>
      <c r="R3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2" s="16"/>
      <c r="AX32" s="16"/>
      <c r="AY32" s="16"/>
      <c r="AZ32" s="16"/>
      <c r="BA32" s="16"/>
      <c r="BB32" s="16"/>
      <c r="BC32" s="16"/>
      <c r="BD32" s="16"/>
      <c r="BE32" s="16"/>
      <c r="BF32" s="16"/>
      <c r="BG32" s="16"/>
      <c r="BH32" s="16"/>
      <c r="BI32" s="16"/>
      <c r="BJ32" s="16"/>
      <c r="BK32" s="16"/>
      <c r="BL32" s="16"/>
      <c r="BM32" s="16"/>
      <c r="BN32" s="16"/>
      <c r="BO32" s="16"/>
      <c r="BP32" s="16"/>
      <c r="BQ32" s="16"/>
      <c r="BR3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2" s="16"/>
      <c r="BT32" s="16"/>
      <c r="BU32" s="16"/>
      <c r="BV32" s="16"/>
      <c r="BW32" s="16"/>
    </row>
    <row r="33" spans="1:75" ht="45" hidden="1">
      <c r="A33" s="165" t="s">
        <v>993</v>
      </c>
      <c r="B33" s="165" t="s">
        <v>1028</v>
      </c>
      <c r="C33" s="165" t="s">
        <v>1023</v>
      </c>
      <c r="D33" s="168" t="s">
        <v>1024</v>
      </c>
      <c r="E33"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3" s="168" t="str">
        <f>_xlfn.TEXTJOIN("; ",TRUE,Nahkampfwaffen[[#This Row],[Ausfall]:[Wuchtschlag]])</f>
        <v>Finte</v>
      </c>
      <c r="G33" s="255" t="s">
        <v>429</v>
      </c>
      <c r="H33" s="167"/>
      <c r="I33" s="167"/>
      <c r="J33" s="167"/>
      <c r="K33" s="167"/>
      <c r="L33" s="167">
        <f>IF(Nahkampfwaffen[[#This Row],[Waffenmeister: TP/KK / INI/GE]]="TP/KK",1,0)</f>
        <v>0</v>
      </c>
      <c r="M33" s="167">
        <f>IF(Nahkampfwaffen[[#This Row],[Waffenmeister: TP/KK / INI/GE]]="INI/GE",1,0)</f>
        <v>0</v>
      </c>
      <c r="N33" s="167"/>
      <c r="O33" s="167"/>
      <c r="P33" s="16"/>
      <c r="Q33" s="16">
        <f>15-5*(Nahkampfwaffen[[#This Row],[Waffenmeister: AT]]+Nahkampfwaffen[[#This Row],[Waffenmeister: PA]])-3*(Nahkampfwaffen[[#This Row],[Waffenmeister: INI]])-IF(Nahkampfwaffen[[#This Row],[Waffenmeister: TP/KK / INI/GE]]="TP/KK",2,0)</f>
        <v>15</v>
      </c>
      <c r="R3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3" s="16"/>
      <c r="AX33" s="16"/>
      <c r="AY33" s="16"/>
      <c r="AZ33" s="16"/>
      <c r="BA33" s="16"/>
      <c r="BB33" s="16"/>
      <c r="BC33" s="16"/>
      <c r="BD33" s="16"/>
      <c r="BE33" s="16"/>
      <c r="BF33" s="16"/>
      <c r="BG33" s="16"/>
      <c r="BH33" s="16"/>
      <c r="BI33" s="16"/>
      <c r="BJ33" s="16"/>
      <c r="BK33" s="16"/>
      <c r="BL33" s="16"/>
      <c r="BM33" s="16"/>
      <c r="BN33" s="16"/>
      <c r="BO33" s="16"/>
      <c r="BP33" s="16"/>
      <c r="BQ33" s="16"/>
      <c r="BR3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3" s="16"/>
      <c r="BT33" s="16"/>
      <c r="BU33" s="16"/>
      <c r="BV33" s="16"/>
      <c r="BW33" s="16"/>
    </row>
    <row r="34" spans="1:75" ht="45" hidden="1">
      <c r="A34" s="165" t="s">
        <v>993</v>
      </c>
      <c r="B34" s="165" t="s">
        <v>1029</v>
      </c>
      <c r="C34" s="165" t="s">
        <v>1023</v>
      </c>
      <c r="D34" s="168" t="s">
        <v>1024</v>
      </c>
      <c r="E34"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4" s="168" t="str">
        <f>_xlfn.TEXTJOIN("; ",TRUE,Nahkampfwaffen[[#This Row],[Ausfall]:[Wuchtschlag]])</f>
        <v>Finte</v>
      </c>
      <c r="G34" s="255" t="s">
        <v>429</v>
      </c>
      <c r="H34" s="167"/>
      <c r="I34" s="167"/>
      <c r="J34" s="167"/>
      <c r="K34" s="167"/>
      <c r="L34" s="167">
        <f>IF(Nahkampfwaffen[[#This Row],[Waffenmeister: TP/KK / INI/GE]]="TP/KK",1,0)</f>
        <v>0</v>
      </c>
      <c r="M34" s="167">
        <f>IF(Nahkampfwaffen[[#This Row],[Waffenmeister: TP/KK / INI/GE]]="INI/GE",1,0)</f>
        <v>0</v>
      </c>
      <c r="N34" s="167"/>
      <c r="O34" s="167"/>
      <c r="P34" s="16"/>
      <c r="Q34" s="16">
        <f>15-5*(Nahkampfwaffen[[#This Row],[Waffenmeister: AT]]+Nahkampfwaffen[[#This Row],[Waffenmeister: PA]])-3*(Nahkampfwaffen[[#This Row],[Waffenmeister: INI]])-IF(Nahkampfwaffen[[#This Row],[Waffenmeister: TP/KK / INI/GE]]="TP/KK",2,0)</f>
        <v>15</v>
      </c>
      <c r="R3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4" s="16"/>
      <c r="AX34" s="16"/>
      <c r="AY34" s="16"/>
      <c r="AZ34" s="16"/>
      <c r="BA34" s="16"/>
      <c r="BB34" s="16"/>
      <c r="BC34" s="16"/>
      <c r="BD34" s="16"/>
      <c r="BE34" s="16"/>
      <c r="BF34" s="16"/>
      <c r="BG34" s="16"/>
      <c r="BH34" s="16"/>
      <c r="BI34" s="16"/>
      <c r="BJ34" s="16"/>
      <c r="BK34" s="16"/>
      <c r="BL34" s="16"/>
      <c r="BM34" s="16"/>
      <c r="BN34" s="16"/>
      <c r="BO34" s="16"/>
      <c r="BP34" s="16"/>
      <c r="BQ34" s="16"/>
      <c r="BR3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4" s="16"/>
      <c r="BT34" s="16"/>
      <c r="BU34" s="16"/>
      <c r="BV34" s="16"/>
      <c r="BW34" s="16"/>
    </row>
    <row r="35" spans="1:75" ht="45" hidden="1">
      <c r="A35" s="165" t="s">
        <v>993</v>
      </c>
      <c r="B35" s="165" t="s">
        <v>1030</v>
      </c>
      <c r="C35" s="165" t="s">
        <v>1023</v>
      </c>
      <c r="D35" s="168" t="s">
        <v>1024</v>
      </c>
      <c r="E35"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5" s="168" t="str">
        <f>_xlfn.TEXTJOIN("; ",TRUE,Nahkampfwaffen[[#This Row],[Ausfall]:[Wuchtschlag]])</f>
        <v>Finte</v>
      </c>
      <c r="G35" s="255" t="s">
        <v>429</v>
      </c>
      <c r="H35" s="167"/>
      <c r="I35" s="167"/>
      <c r="J35" s="167"/>
      <c r="K35" s="167"/>
      <c r="L35" s="167">
        <f>IF(Nahkampfwaffen[[#This Row],[Waffenmeister: TP/KK / INI/GE]]="TP/KK",1,0)</f>
        <v>0</v>
      </c>
      <c r="M35" s="167">
        <f>IF(Nahkampfwaffen[[#This Row],[Waffenmeister: TP/KK / INI/GE]]="INI/GE",1,0)</f>
        <v>0</v>
      </c>
      <c r="N35" s="167"/>
      <c r="O35" s="167"/>
      <c r="P35" s="16"/>
      <c r="Q35" s="16">
        <f>15-5*(Nahkampfwaffen[[#This Row],[Waffenmeister: AT]]+Nahkampfwaffen[[#This Row],[Waffenmeister: PA]])-3*(Nahkampfwaffen[[#This Row],[Waffenmeister: INI]])-IF(Nahkampfwaffen[[#This Row],[Waffenmeister: TP/KK / INI/GE]]="TP/KK",2,0)</f>
        <v>15</v>
      </c>
      <c r="R3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5" s="16"/>
      <c r="AX35" s="16"/>
      <c r="AY35" s="16"/>
      <c r="AZ35" s="16"/>
      <c r="BA35" s="16"/>
      <c r="BB35" s="16"/>
      <c r="BC35" s="16"/>
      <c r="BD35" s="16"/>
      <c r="BE35" s="16"/>
      <c r="BF35" s="16"/>
      <c r="BG35" s="16"/>
      <c r="BH35" s="16"/>
      <c r="BI35" s="16"/>
      <c r="BJ35" s="16"/>
      <c r="BK35" s="16"/>
      <c r="BL35" s="16"/>
      <c r="BM35" s="16"/>
      <c r="BN35" s="16"/>
      <c r="BO35" s="16"/>
      <c r="BP35" s="16"/>
      <c r="BQ35" s="16"/>
      <c r="BR3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5" s="16"/>
      <c r="BT35" s="16"/>
      <c r="BU35" s="16"/>
      <c r="BV35" s="16"/>
      <c r="BW35" s="16"/>
    </row>
    <row r="36" spans="1:75" ht="45" hidden="1">
      <c r="A36" s="165" t="s">
        <v>993</v>
      </c>
      <c r="B36" s="165" t="s">
        <v>1031</v>
      </c>
      <c r="C36" s="165" t="s">
        <v>1023</v>
      </c>
      <c r="D36" s="168" t="s">
        <v>1024</v>
      </c>
      <c r="E36"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Doppelangriff, Entwaffnen, Finte, Gegenhalten, Gezielter Stich, Klingensturm, Klingenwand, Meisterparade, Todesstoß,</v>
      </c>
      <c r="F36" s="168" t="str">
        <f>_xlfn.TEXTJOIN("; ",TRUE,Nahkampfwaffen[[#This Row],[Ausfall]:[Wuchtschlag]])</f>
        <v>Finte</v>
      </c>
      <c r="G36" s="255" t="s">
        <v>429</v>
      </c>
      <c r="H36" s="167"/>
      <c r="I36" s="167"/>
      <c r="J36" s="167"/>
      <c r="K36" s="167"/>
      <c r="L36" s="167">
        <f>IF(Nahkampfwaffen[[#This Row],[Waffenmeister: TP/KK / INI/GE]]="TP/KK",1,0)</f>
        <v>0</v>
      </c>
      <c r="M36" s="167">
        <f>IF(Nahkampfwaffen[[#This Row],[Waffenmeister: TP/KK / INI/GE]]="INI/GE",1,0)</f>
        <v>0</v>
      </c>
      <c r="N36" s="167"/>
      <c r="O36" s="167"/>
      <c r="P36" s="16"/>
      <c r="Q36" s="16">
        <f>15-5*(Nahkampfwaffen[[#This Row],[Waffenmeister: AT]]+Nahkampfwaffen[[#This Row],[Waffenmeister: PA]])-3*(Nahkampfwaffen[[#This Row],[Waffenmeister: INI]])-IF(Nahkampfwaffen[[#This Row],[Waffenmeister: TP/KK / INI/GE]]="TP/KK",2,0)</f>
        <v>15</v>
      </c>
      <c r="R3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6" s="16"/>
      <c r="AX36" s="16"/>
      <c r="AY36" s="16"/>
      <c r="AZ36" s="16"/>
      <c r="BA36" s="16"/>
      <c r="BB36" s="16"/>
      <c r="BC36" s="16"/>
      <c r="BD36" s="16"/>
      <c r="BE36" s="16"/>
      <c r="BF36" s="16"/>
      <c r="BG36" s="16"/>
      <c r="BH36" s="16"/>
      <c r="BI36" s="16"/>
      <c r="BJ36" s="16"/>
      <c r="BK36" s="16"/>
      <c r="BL36" s="16"/>
      <c r="BM36" s="16"/>
      <c r="BN36" s="16"/>
      <c r="BO36" s="16"/>
      <c r="BP36" s="16"/>
      <c r="BQ36" s="16"/>
      <c r="BR3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6" s="16"/>
      <c r="BT36" s="16"/>
      <c r="BU36" s="16"/>
      <c r="BV36" s="16"/>
      <c r="BW36" s="16"/>
    </row>
    <row r="37" spans="1:75" ht="45" hidden="1">
      <c r="A37" s="165" t="s">
        <v>993</v>
      </c>
      <c r="B37" s="165" t="s">
        <v>1032</v>
      </c>
      <c r="C37" s="165" t="s">
        <v>1033</v>
      </c>
      <c r="D37" s="168" t="s">
        <v>1034</v>
      </c>
      <c r="E37"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37" s="168" t="str">
        <f>_xlfn.TEXTJOIN("; ",TRUE,Nahkampfwaffen[[#This Row],[Ausfall]:[Wuchtschlag]])</f>
        <v>Finte</v>
      </c>
      <c r="G37" s="255" t="s">
        <v>113</v>
      </c>
      <c r="H37" s="167"/>
      <c r="I37" s="167"/>
      <c r="J37" s="167"/>
      <c r="K37" s="167"/>
      <c r="L37" s="167">
        <f>IF(Nahkampfwaffen[[#This Row],[Waffenmeister: TP/KK / INI/GE]]="TP/KK",1,0)</f>
        <v>0</v>
      </c>
      <c r="M37" s="167">
        <f>IF(Nahkampfwaffen[[#This Row],[Waffenmeister: TP/KK / INI/GE]]="INI/GE",1,0)</f>
        <v>0</v>
      </c>
      <c r="N37" s="167"/>
      <c r="O37" s="167"/>
      <c r="P37" s="16"/>
      <c r="Q37" s="16">
        <f>15-5*(Nahkampfwaffen[[#This Row],[Waffenmeister: AT]]+Nahkampfwaffen[[#This Row],[Waffenmeister: PA]])-3*(Nahkampfwaffen[[#This Row],[Waffenmeister: INI]])-IF(Nahkampfwaffen[[#This Row],[Waffenmeister: TP/KK / INI/GE]]="TP/KK",2,0)</f>
        <v>15</v>
      </c>
      <c r="R3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7" s="16"/>
      <c r="AX37" s="16"/>
      <c r="AY37" s="16"/>
      <c r="AZ37" s="16"/>
      <c r="BA37" s="16"/>
      <c r="BB37" s="16"/>
      <c r="BC37" s="16"/>
      <c r="BD37" s="16"/>
      <c r="BE37" s="16"/>
      <c r="BF37" s="16"/>
      <c r="BG37" s="16"/>
      <c r="BH37" s="16"/>
      <c r="BI37" s="16"/>
      <c r="BJ37" s="16"/>
      <c r="BK37" s="16"/>
      <c r="BL37" s="16"/>
      <c r="BM37" s="16"/>
      <c r="BN37" s="16"/>
      <c r="BO37" s="16"/>
      <c r="BP37" s="16"/>
      <c r="BQ37" s="16"/>
      <c r="BR3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7" s="16"/>
      <c r="BT37" s="16"/>
      <c r="BU37" s="16"/>
      <c r="BV37" s="16"/>
      <c r="BW37" s="16"/>
    </row>
    <row r="38" spans="1:75" ht="45" hidden="1">
      <c r="A38" s="165" t="s">
        <v>993</v>
      </c>
      <c r="B38" s="165" t="s">
        <v>1035</v>
      </c>
      <c r="C38" s="165" t="s">
        <v>1033</v>
      </c>
      <c r="D38" s="168" t="s">
        <v>1034</v>
      </c>
      <c r="E38"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38" s="168" t="str">
        <f>_xlfn.TEXTJOIN("; ",TRUE,Nahkampfwaffen[[#This Row],[Ausfall]:[Wuchtschlag]])</f>
        <v>Finte</v>
      </c>
      <c r="G38" s="255" t="s">
        <v>113</v>
      </c>
      <c r="H38" s="167"/>
      <c r="I38" s="167"/>
      <c r="J38" s="167"/>
      <c r="K38" s="167"/>
      <c r="L38" s="167">
        <f>IF(Nahkampfwaffen[[#This Row],[Waffenmeister: TP/KK / INI/GE]]="TP/KK",1,0)</f>
        <v>0</v>
      </c>
      <c r="M38" s="167">
        <f>IF(Nahkampfwaffen[[#This Row],[Waffenmeister: TP/KK / INI/GE]]="INI/GE",1,0)</f>
        <v>0</v>
      </c>
      <c r="N38" s="167"/>
      <c r="O38" s="167"/>
      <c r="P38" s="16"/>
      <c r="Q38" s="16">
        <f>15-5*(Nahkampfwaffen[[#This Row],[Waffenmeister: AT]]+Nahkampfwaffen[[#This Row],[Waffenmeister: PA]])-3*(Nahkampfwaffen[[#This Row],[Waffenmeister: INI]])-IF(Nahkampfwaffen[[#This Row],[Waffenmeister: TP/KK / INI/GE]]="TP/KK",2,0)</f>
        <v>15</v>
      </c>
      <c r="R3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8" s="16"/>
      <c r="AX38" s="16"/>
      <c r="AY38" s="16"/>
      <c r="AZ38" s="16"/>
      <c r="BA38" s="16"/>
      <c r="BB38" s="16"/>
      <c r="BC38" s="16"/>
      <c r="BD38" s="16"/>
      <c r="BE38" s="16"/>
      <c r="BF38" s="16"/>
      <c r="BG38" s="16"/>
      <c r="BH38" s="16"/>
      <c r="BI38" s="16"/>
      <c r="BJ38" s="16"/>
      <c r="BK38" s="16"/>
      <c r="BL38" s="16"/>
      <c r="BM38" s="16"/>
      <c r="BN38" s="16"/>
      <c r="BO38" s="16"/>
      <c r="BP38" s="16"/>
      <c r="BQ38" s="16"/>
      <c r="BR3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8" s="16"/>
      <c r="BT38" s="16"/>
      <c r="BU38" s="16"/>
      <c r="BV38" s="16"/>
      <c r="BW38" s="16"/>
    </row>
    <row r="39" spans="1:75" ht="45" hidden="1">
      <c r="A39" s="165" t="s">
        <v>993</v>
      </c>
      <c r="B39" s="165" t="s">
        <v>1036</v>
      </c>
      <c r="C39" s="165" t="s">
        <v>1033</v>
      </c>
      <c r="D39" s="168" t="s">
        <v>1034</v>
      </c>
      <c r="E39"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39" s="168" t="str">
        <f>_xlfn.TEXTJOIN("; ",TRUE,Nahkampfwaffen[[#This Row],[Ausfall]:[Wuchtschlag]])</f>
        <v>Finte</v>
      </c>
      <c r="G39" s="255" t="s">
        <v>113</v>
      </c>
      <c r="H39" s="167"/>
      <c r="I39" s="167"/>
      <c r="J39" s="167"/>
      <c r="K39" s="167"/>
      <c r="L39" s="167">
        <f>IF(Nahkampfwaffen[[#This Row],[Waffenmeister: TP/KK / INI/GE]]="TP/KK",1,0)</f>
        <v>0</v>
      </c>
      <c r="M39" s="167">
        <f>IF(Nahkampfwaffen[[#This Row],[Waffenmeister: TP/KK / INI/GE]]="INI/GE",1,0)</f>
        <v>0</v>
      </c>
      <c r="N39" s="167"/>
      <c r="O39" s="167"/>
      <c r="P39" s="16"/>
      <c r="Q39" s="16">
        <f>15-5*(Nahkampfwaffen[[#This Row],[Waffenmeister: AT]]+Nahkampfwaffen[[#This Row],[Waffenmeister: PA]])-3*(Nahkampfwaffen[[#This Row],[Waffenmeister: INI]])-IF(Nahkampfwaffen[[#This Row],[Waffenmeister: TP/KK / INI/GE]]="TP/KK",2,0)</f>
        <v>15</v>
      </c>
      <c r="R3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3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3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3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3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3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3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3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3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3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3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3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3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3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3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3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3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3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3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3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3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3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3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3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3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3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3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3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3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3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3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39" s="16"/>
      <c r="AX39" s="16"/>
      <c r="AY39" s="16"/>
      <c r="AZ39" s="16"/>
      <c r="BA39" s="16"/>
      <c r="BB39" s="16"/>
      <c r="BC39" s="16"/>
      <c r="BD39" s="16"/>
      <c r="BE39" s="16"/>
      <c r="BF39" s="16"/>
      <c r="BG39" s="16"/>
      <c r="BH39" s="16"/>
      <c r="BI39" s="16"/>
      <c r="BJ39" s="16"/>
      <c r="BK39" s="16"/>
      <c r="BL39" s="16"/>
      <c r="BM39" s="16"/>
      <c r="BN39" s="16"/>
      <c r="BO39" s="16"/>
      <c r="BP39" s="16"/>
      <c r="BQ39" s="16"/>
      <c r="BR3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39" s="16"/>
      <c r="BT39" s="16"/>
      <c r="BU39" s="16"/>
      <c r="BV39" s="16"/>
      <c r="BW39" s="16"/>
    </row>
    <row r="40" spans="1:75" ht="45" hidden="1">
      <c r="A40" s="165" t="s">
        <v>993</v>
      </c>
      <c r="B40" s="165" t="s">
        <v>1037</v>
      </c>
      <c r="C40" s="165" t="s">
        <v>1033</v>
      </c>
      <c r="D40" s="168" t="s">
        <v>1034</v>
      </c>
      <c r="E40"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0" s="168" t="str">
        <f>_xlfn.TEXTJOIN("; ",TRUE,Nahkampfwaffen[[#This Row],[Ausfall]:[Wuchtschlag]])</f>
        <v>Finte</v>
      </c>
      <c r="G40" s="255" t="s">
        <v>113</v>
      </c>
      <c r="H40" s="167"/>
      <c r="I40" s="167"/>
      <c r="J40" s="167"/>
      <c r="K40" s="167"/>
      <c r="L40" s="167">
        <f>IF(Nahkampfwaffen[[#This Row],[Waffenmeister: TP/KK / INI/GE]]="TP/KK",1,0)</f>
        <v>0</v>
      </c>
      <c r="M40" s="167">
        <f>IF(Nahkampfwaffen[[#This Row],[Waffenmeister: TP/KK / INI/GE]]="INI/GE",1,0)</f>
        <v>0</v>
      </c>
      <c r="N40" s="167"/>
      <c r="O40" s="167"/>
      <c r="P40" s="16"/>
      <c r="Q40" s="16">
        <f>15-5*(Nahkampfwaffen[[#This Row],[Waffenmeister: AT]]+Nahkampfwaffen[[#This Row],[Waffenmeister: PA]])-3*(Nahkampfwaffen[[#This Row],[Waffenmeister: INI]])-IF(Nahkampfwaffen[[#This Row],[Waffenmeister: TP/KK / INI/GE]]="TP/KK",2,0)</f>
        <v>15</v>
      </c>
      <c r="R4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0" s="16"/>
      <c r="AX40" s="16"/>
      <c r="AY40" s="16"/>
      <c r="AZ40" s="16"/>
      <c r="BA40" s="16"/>
      <c r="BB40" s="16"/>
      <c r="BC40" s="16"/>
      <c r="BD40" s="16"/>
      <c r="BE40" s="16"/>
      <c r="BF40" s="16"/>
      <c r="BG40" s="16"/>
      <c r="BH40" s="16"/>
      <c r="BI40" s="16"/>
      <c r="BJ40" s="16"/>
      <c r="BK40" s="16"/>
      <c r="BL40" s="16"/>
      <c r="BM40" s="16"/>
      <c r="BN40" s="16"/>
      <c r="BO40" s="16"/>
      <c r="BP40" s="16"/>
      <c r="BQ40" s="16"/>
      <c r="BR4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0" s="16"/>
      <c r="BT40" s="16"/>
      <c r="BU40" s="16"/>
      <c r="BV40" s="16"/>
      <c r="BW40" s="16"/>
    </row>
    <row r="41" spans="1:75" ht="45" hidden="1">
      <c r="A41" s="165" t="s">
        <v>993</v>
      </c>
      <c r="B41" s="165" t="s">
        <v>1038</v>
      </c>
      <c r="C41" s="165" t="s">
        <v>1033</v>
      </c>
      <c r="D41" s="168" t="s">
        <v>1039</v>
      </c>
      <c r="E41"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Meisterparade, Stumpfer Schlag, Windmühle, Wuchtschlag,</v>
      </c>
      <c r="F41" s="168" t="str">
        <f>_xlfn.TEXTJOIN("; ",TRUE,Nahkampfwaffen[[#This Row],[Ausfall]:[Wuchtschlag]])</f>
        <v>Finte</v>
      </c>
      <c r="G41" s="255" t="s">
        <v>113</v>
      </c>
      <c r="H41" s="167"/>
      <c r="I41" s="167"/>
      <c r="J41" s="167"/>
      <c r="K41" s="167"/>
      <c r="L41" s="167">
        <f>IF(Nahkampfwaffen[[#This Row],[Waffenmeister: TP/KK / INI/GE]]="TP/KK",1,0)</f>
        <v>0</v>
      </c>
      <c r="M41" s="167">
        <f>IF(Nahkampfwaffen[[#This Row],[Waffenmeister: TP/KK / INI/GE]]="INI/GE",1,0)</f>
        <v>0</v>
      </c>
      <c r="N41" s="167"/>
      <c r="O41" s="167"/>
      <c r="P41" s="16"/>
      <c r="Q41" s="16">
        <f>15-5*(Nahkampfwaffen[[#This Row],[Waffenmeister: AT]]+Nahkampfwaffen[[#This Row],[Waffenmeister: PA]])-3*(Nahkampfwaffen[[#This Row],[Waffenmeister: INI]])-IF(Nahkampfwaffen[[#This Row],[Waffenmeister: TP/KK / INI/GE]]="TP/KK",2,0)</f>
        <v>15</v>
      </c>
      <c r="R4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1" s="16"/>
      <c r="AX41" s="16"/>
      <c r="AY41" s="16"/>
      <c r="AZ41" s="16"/>
      <c r="BA41" s="16"/>
      <c r="BB41" s="16"/>
      <c r="BC41" s="16"/>
      <c r="BD41" s="16"/>
      <c r="BE41" s="16"/>
      <c r="BF41" s="16"/>
      <c r="BG41" s="16"/>
      <c r="BH41" s="16"/>
      <c r="BI41" s="16"/>
      <c r="BJ41" s="16"/>
      <c r="BK41" s="16"/>
      <c r="BL41" s="16"/>
      <c r="BM41" s="16"/>
      <c r="BN41" s="16"/>
      <c r="BO41" s="16"/>
      <c r="BP41" s="16"/>
      <c r="BQ41" s="16"/>
      <c r="BR4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1" s="16"/>
      <c r="BT41" s="16"/>
      <c r="BU41" s="16"/>
      <c r="BV41" s="16"/>
      <c r="BW41" s="16"/>
    </row>
    <row r="42" spans="1:75" ht="45" hidden="1">
      <c r="A42" s="165" t="s">
        <v>993</v>
      </c>
      <c r="B42" s="165" t="s">
        <v>1040</v>
      </c>
      <c r="C42" s="165" t="s">
        <v>1033</v>
      </c>
      <c r="D42" s="168" t="s">
        <v>1034</v>
      </c>
      <c r="E42"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2" s="168" t="str">
        <f>_xlfn.TEXTJOIN("; ",TRUE,Nahkampfwaffen[[#This Row],[Ausfall]:[Wuchtschlag]])</f>
        <v>Finte</v>
      </c>
      <c r="G42" s="255" t="s">
        <v>113</v>
      </c>
      <c r="H42" s="167"/>
      <c r="I42" s="167"/>
      <c r="J42" s="167"/>
      <c r="K42" s="167"/>
      <c r="L42" s="167">
        <f>IF(Nahkampfwaffen[[#This Row],[Waffenmeister: TP/KK / INI/GE]]="TP/KK",1,0)</f>
        <v>0</v>
      </c>
      <c r="M42" s="167">
        <f>IF(Nahkampfwaffen[[#This Row],[Waffenmeister: TP/KK / INI/GE]]="INI/GE",1,0)</f>
        <v>0</v>
      </c>
      <c r="N42" s="167"/>
      <c r="O42" s="167"/>
      <c r="P42" s="16"/>
      <c r="Q42" s="16">
        <f>15-5*(Nahkampfwaffen[[#This Row],[Waffenmeister: AT]]+Nahkampfwaffen[[#This Row],[Waffenmeister: PA]])-3*(Nahkampfwaffen[[#This Row],[Waffenmeister: INI]])-IF(Nahkampfwaffen[[#This Row],[Waffenmeister: TP/KK / INI/GE]]="TP/KK",2,0)</f>
        <v>15</v>
      </c>
      <c r="R4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2" s="16"/>
      <c r="AX42" s="16"/>
      <c r="AY42" s="16"/>
      <c r="AZ42" s="16"/>
      <c r="BA42" s="16"/>
      <c r="BB42" s="16"/>
      <c r="BC42" s="16"/>
      <c r="BD42" s="16"/>
      <c r="BE42" s="16"/>
      <c r="BF42" s="16"/>
      <c r="BG42" s="16"/>
      <c r="BH42" s="16"/>
      <c r="BI42" s="16"/>
      <c r="BJ42" s="16"/>
      <c r="BK42" s="16"/>
      <c r="BL42" s="16"/>
      <c r="BM42" s="16"/>
      <c r="BN42" s="16"/>
      <c r="BO42" s="16"/>
      <c r="BP42" s="16"/>
      <c r="BQ42" s="16"/>
      <c r="BR4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2" s="16"/>
      <c r="BT42" s="16"/>
      <c r="BU42" s="16"/>
      <c r="BV42" s="16"/>
      <c r="BW42" s="16"/>
    </row>
    <row r="43" spans="1:75" ht="45" hidden="1">
      <c r="A43" s="165" t="s">
        <v>993</v>
      </c>
      <c r="B43" s="165" t="s">
        <v>1041</v>
      </c>
      <c r="C43" s="165" t="s">
        <v>1033</v>
      </c>
      <c r="D43" s="168" t="s">
        <v>1034</v>
      </c>
      <c r="E43"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3" s="168" t="str">
        <f>_xlfn.TEXTJOIN("; ",TRUE,Nahkampfwaffen[[#This Row],[Ausfall]:[Wuchtschlag]])</f>
        <v>Finte</v>
      </c>
      <c r="G43" s="255" t="s">
        <v>113</v>
      </c>
      <c r="H43" s="167"/>
      <c r="I43" s="167"/>
      <c r="J43" s="167"/>
      <c r="K43" s="167"/>
      <c r="L43" s="167">
        <f>IF(Nahkampfwaffen[[#This Row],[Waffenmeister: TP/KK / INI/GE]]="TP/KK",1,0)</f>
        <v>0</v>
      </c>
      <c r="M43" s="167">
        <f>IF(Nahkampfwaffen[[#This Row],[Waffenmeister: TP/KK / INI/GE]]="INI/GE",1,0)</f>
        <v>0</v>
      </c>
      <c r="N43" s="167"/>
      <c r="O43" s="167"/>
      <c r="P43" s="16"/>
      <c r="Q43" s="16">
        <f>15-5*(Nahkampfwaffen[[#This Row],[Waffenmeister: AT]]+Nahkampfwaffen[[#This Row],[Waffenmeister: PA]])-3*(Nahkampfwaffen[[#This Row],[Waffenmeister: INI]])-IF(Nahkampfwaffen[[#This Row],[Waffenmeister: TP/KK / INI/GE]]="TP/KK",2,0)</f>
        <v>15</v>
      </c>
      <c r="R4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3" s="16"/>
      <c r="AX43" s="16"/>
      <c r="AY43" s="16"/>
      <c r="AZ43" s="16"/>
      <c r="BA43" s="16"/>
      <c r="BB43" s="16"/>
      <c r="BC43" s="16"/>
      <c r="BD43" s="16"/>
      <c r="BE43" s="16"/>
      <c r="BF43" s="16"/>
      <c r="BG43" s="16"/>
      <c r="BH43" s="16"/>
      <c r="BI43" s="16"/>
      <c r="BJ43" s="16"/>
      <c r="BK43" s="16"/>
      <c r="BL43" s="16"/>
      <c r="BM43" s="16"/>
      <c r="BN43" s="16"/>
      <c r="BO43" s="16"/>
      <c r="BP43" s="16"/>
      <c r="BQ43" s="16"/>
      <c r="BR4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3" s="16"/>
      <c r="BT43" s="16"/>
      <c r="BU43" s="16"/>
      <c r="BV43" s="16"/>
      <c r="BW43" s="16"/>
    </row>
    <row r="44" spans="1:75" ht="45" hidden="1">
      <c r="A44" s="165" t="s">
        <v>993</v>
      </c>
      <c r="B44" s="165" t="s">
        <v>1042</v>
      </c>
      <c r="C44" s="165" t="s">
        <v>1033</v>
      </c>
      <c r="D44" s="168" t="s">
        <v>1034</v>
      </c>
      <c r="E44"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4" s="168" t="str">
        <f>_xlfn.TEXTJOIN("; ",TRUE,Nahkampfwaffen[[#This Row],[Ausfall]:[Wuchtschlag]])</f>
        <v>Finte</v>
      </c>
      <c r="G44" s="255" t="s">
        <v>113</v>
      </c>
      <c r="H44" s="167"/>
      <c r="I44" s="167"/>
      <c r="J44" s="167"/>
      <c r="K44" s="167"/>
      <c r="L44" s="167">
        <f>IF(Nahkampfwaffen[[#This Row],[Waffenmeister: TP/KK / INI/GE]]="TP/KK",1,0)</f>
        <v>0</v>
      </c>
      <c r="M44" s="167">
        <f>IF(Nahkampfwaffen[[#This Row],[Waffenmeister: TP/KK / INI/GE]]="INI/GE",1,0)</f>
        <v>0</v>
      </c>
      <c r="N44" s="167"/>
      <c r="O44" s="167"/>
      <c r="P44" s="16"/>
      <c r="Q44" s="16">
        <f>15-5*(Nahkampfwaffen[[#This Row],[Waffenmeister: AT]]+Nahkampfwaffen[[#This Row],[Waffenmeister: PA]])-3*(Nahkampfwaffen[[#This Row],[Waffenmeister: INI]])-IF(Nahkampfwaffen[[#This Row],[Waffenmeister: TP/KK / INI/GE]]="TP/KK",2,0)</f>
        <v>15</v>
      </c>
      <c r="R4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4" s="16"/>
      <c r="AX44" s="16"/>
      <c r="AY44" s="16"/>
      <c r="AZ44" s="16"/>
      <c r="BA44" s="16"/>
      <c r="BB44" s="16"/>
      <c r="BC44" s="16"/>
      <c r="BD44" s="16"/>
      <c r="BE44" s="16"/>
      <c r="BF44" s="16"/>
      <c r="BG44" s="16"/>
      <c r="BH44" s="16"/>
      <c r="BI44" s="16"/>
      <c r="BJ44" s="16"/>
      <c r="BK44" s="16"/>
      <c r="BL44" s="16"/>
      <c r="BM44" s="16"/>
      <c r="BN44" s="16"/>
      <c r="BO44" s="16"/>
      <c r="BP44" s="16"/>
      <c r="BQ44" s="16"/>
      <c r="BR4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4" s="16"/>
      <c r="BT44" s="16"/>
      <c r="BU44" s="16"/>
      <c r="BV44" s="16"/>
      <c r="BW44" s="16"/>
    </row>
    <row r="45" spans="1:75" ht="45" hidden="1">
      <c r="A45" s="165" t="s">
        <v>993</v>
      </c>
      <c r="B45" s="165" t="s">
        <v>1043</v>
      </c>
      <c r="C45" s="165" t="s">
        <v>1033</v>
      </c>
      <c r="D45" s="168" t="s">
        <v>1034</v>
      </c>
      <c r="E45"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5" s="168" t="str">
        <f>_xlfn.TEXTJOIN("; ",TRUE,Nahkampfwaffen[[#This Row],[Ausfall]:[Wuchtschlag]])</f>
        <v>Finte</v>
      </c>
      <c r="G45" s="255" t="s">
        <v>113</v>
      </c>
      <c r="H45" s="167"/>
      <c r="I45" s="167"/>
      <c r="J45" s="167"/>
      <c r="K45" s="167"/>
      <c r="L45" s="167">
        <f>IF(Nahkampfwaffen[[#This Row],[Waffenmeister: TP/KK / INI/GE]]="TP/KK",1,0)</f>
        <v>0</v>
      </c>
      <c r="M45" s="167">
        <f>IF(Nahkampfwaffen[[#This Row],[Waffenmeister: TP/KK / INI/GE]]="INI/GE",1,0)</f>
        <v>0</v>
      </c>
      <c r="N45" s="167"/>
      <c r="O45" s="167"/>
      <c r="P45" s="16"/>
      <c r="Q45" s="16">
        <f>15-5*(Nahkampfwaffen[[#This Row],[Waffenmeister: AT]]+Nahkampfwaffen[[#This Row],[Waffenmeister: PA]])-3*(Nahkampfwaffen[[#This Row],[Waffenmeister: INI]])-IF(Nahkampfwaffen[[#This Row],[Waffenmeister: TP/KK / INI/GE]]="TP/KK",2,0)</f>
        <v>15</v>
      </c>
      <c r="R4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5" s="16"/>
      <c r="AX45" s="16"/>
      <c r="AY45" s="16"/>
      <c r="AZ45" s="16"/>
      <c r="BA45" s="16"/>
      <c r="BB45" s="16"/>
      <c r="BC45" s="16"/>
      <c r="BD45" s="16"/>
      <c r="BE45" s="16"/>
      <c r="BF45" s="16"/>
      <c r="BG45" s="16"/>
      <c r="BH45" s="16"/>
      <c r="BI45" s="16"/>
      <c r="BJ45" s="16"/>
      <c r="BK45" s="16"/>
      <c r="BL45" s="16"/>
      <c r="BM45" s="16"/>
      <c r="BN45" s="16"/>
      <c r="BO45" s="16"/>
      <c r="BP45" s="16"/>
      <c r="BQ45" s="16"/>
      <c r="BR4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5" s="16"/>
      <c r="BT45" s="16"/>
      <c r="BU45" s="16"/>
      <c r="BV45" s="16"/>
      <c r="BW45" s="16"/>
    </row>
    <row r="46" spans="1:75" ht="45" hidden="1">
      <c r="A46" s="165" t="s">
        <v>993</v>
      </c>
      <c r="B46" s="165" t="s">
        <v>1044</v>
      </c>
      <c r="C46" s="165" t="s">
        <v>1033</v>
      </c>
      <c r="D46" s="168" t="s">
        <v>1034</v>
      </c>
      <c r="E46"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6" s="168" t="str">
        <f>_xlfn.TEXTJOIN("; ",TRUE,Nahkampfwaffen[[#This Row],[Ausfall]:[Wuchtschlag]])</f>
        <v>Finte</v>
      </c>
      <c r="G46" s="255" t="s">
        <v>113</v>
      </c>
      <c r="H46" s="167"/>
      <c r="I46" s="167"/>
      <c r="J46" s="167"/>
      <c r="K46" s="167"/>
      <c r="L46" s="167">
        <f>IF(Nahkampfwaffen[[#This Row],[Waffenmeister: TP/KK / INI/GE]]="TP/KK",1,0)</f>
        <v>0</v>
      </c>
      <c r="M46" s="167">
        <f>IF(Nahkampfwaffen[[#This Row],[Waffenmeister: TP/KK / INI/GE]]="INI/GE",1,0)</f>
        <v>0</v>
      </c>
      <c r="N46" s="167"/>
      <c r="O46" s="167"/>
      <c r="P46" s="16"/>
      <c r="Q46" s="16">
        <f>15-5*(Nahkampfwaffen[[#This Row],[Waffenmeister: AT]]+Nahkampfwaffen[[#This Row],[Waffenmeister: PA]])-3*(Nahkampfwaffen[[#This Row],[Waffenmeister: INI]])-IF(Nahkampfwaffen[[#This Row],[Waffenmeister: TP/KK / INI/GE]]="TP/KK",2,0)</f>
        <v>15</v>
      </c>
      <c r="R4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6" s="16"/>
      <c r="AX46" s="16"/>
      <c r="AY46" s="16"/>
      <c r="AZ46" s="16"/>
      <c r="BA46" s="16"/>
      <c r="BB46" s="16"/>
      <c r="BC46" s="16"/>
      <c r="BD46" s="16"/>
      <c r="BE46" s="16"/>
      <c r="BF46" s="16"/>
      <c r="BG46" s="16"/>
      <c r="BH46" s="16"/>
      <c r="BI46" s="16"/>
      <c r="BJ46" s="16"/>
      <c r="BK46" s="16"/>
      <c r="BL46" s="16"/>
      <c r="BM46" s="16"/>
      <c r="BN46" s="16"/>
      <c r="BO46" s="16"/>
      <c r="BP46" s="16"/>
      <c r="BQ46" s="16"/>
      <c r="BR4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6" s="16"/>
      <c r="BT46" s="16"/>
      <c r="BU46" s="16"/>
      <c r="BV46" s="16"/>
      <c r="BW46" s="16"/>
    </row>
    <row r="47" spans="1:75" ht="45" hidden="1">
      <c r="A47" s="165" t="s">
        <v>993</v>
      </c>
      <c r="B47" s="165" t="s">
        <v>1045</v>
      </c>
      <c r="C47" s="165" t="s">
        <v>1033</v>
      </c>
      <c r="D47" s="168" t="s">
        <v>1034</v>
      </c>
      <c r="E47"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7" s="168" t="str">
        <f>_xlfn.TEXTJOIN("; ",TRUE,Nahkampfwaffen[[#This Row],[Ausfall]:[Wuchtschlag]])</f>
        <v>Finte</v>
      </c>
      <c r="G47" s="255" t="s">
        <v>113</v>
      </c>
      <c r="H47" s="167"/>
      <c r="I47" s="167"/>
      <c r="J47" s="167"/>
      <c r="K47" s="167"/>
      <c r="L47" s="167">
        <f>IF(Nahkampfwaffen[[#This Row],[Waffenmeister: TP/KK / INI/GE]]="TP/KK",1,0)</f>
        <v>0</v>
      </c>
      <c r="M47" s="167">
        <f>IF(Nahkampfwaffen[[#This Row],[Waffenmeister: TP/KK / INI/GE]]="INI/GE",1,0)</f>
        <v>0</v>
      </c>
      <c r="N47" s="167"/>
      <c r="O47" s="167"/>
      <c r="P47" s="16"/>
      <c r="Q47" s="16">
        <f>15-5*(Nahkampfwaffen[[#This Row],[Waffenmeister: AT]]+Nahkampfwaffen[[#This Row],[Waffenmeister: PA]])-3*(Nahkampfwaffen[[#This Row],[Waffenmeister: INI]])-IF(Nahkampfwaffen[[#This Row],[Waffenmeister: TP/KK / INI/GE]]="TP/KK",2,0)</f>
        <v>15</v>
      </c>
      <c r="R4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7" s="16"/>
      <c r="AX47" s="16"/>
      <c r="AY47" s="16"/>
      <c r="AZ47" s="16"/>
      <c r="BA47" s="16"/>
      <c r="BB47" s="16"/>
      <c r="BC47" s="16"/>
      <c r="BD47" s="16"/>
      <c r="BE47" s="16"/>
      <c r="BF47" s="16"/>
      <c r="BG47" s="16"/>
      <c r="BH47" s="16"/>
      <c r="BI47" s="16"/>
      <c r="BJ47" s="16"/>
      <c r="BK47" s="16"/>
      <c r="BL47" s="16"/>
      <c r="BM47" s="16"/>
      <c r="BN47" s="16"/>
      <c r="BO47" s="16"/>
      <c r="BP47" s="16"/>
      <c r="BQ47" s="16"/>
      <c r="BR4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7" s="16"/>
      <c r="BT47" s="16"/>
      <c r="BU47" s="16"/>
      <c r="BV47" s="16"/>
      <c r="BW47" s="16"/>
    </row>
    <row r="48" spans="1:75" ht="45" hidden="1">
      <c r="A48" s="165" t="s">
        <v>993</v>
      </c>
      <c r="B48" s="165" t="s">
        <v>1046</v>
      </c>
      <c r="C48" s="165" t="s">
        <v>1033</v>
      </c>
      <c r="D48" s="168" t="s">
        <v>1034</v>
      </c>
      <c r="E48"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8" s="168" t="str">
        <f>_xlfn.TEXTJOIN("; ",TRUE,Nahkampfwaffen[[#This Row],[Ausfall]:[Wuchtschlag]])</f>
        <v>Finte</v>
      </c>
      <c r="G48" s="255" t="s">
        <v>113</v>
      </c>
      <c r="H48" s="167"/>
      <c r="I48" s="167"/>
      <c r="J48" s="167"/>
      <c r="K48" s="167"/>
      <c r="L48" s="167">
        <f>IF(Nahkampfwaffen[[#This Row],[Waffenmeister: TP/KK / INI/GE]]="TP/KK",1,0)</f>
        <v>0</v>
      </c>
      <c r="M48" s="167">
        <f>IF(Nahkampfwaffen[[#This Row],[Waffenmeister: TP/KK / INI/GE]]="INI/GE",1,0)</f>
        <v>0</v>
      </c>
      <c r="N48" s="167"/>
      <c r="O48" s="167"/>
      <c r="P48" s="16"/>
      <c r="Q48" s="16">
        <f>15-5*(Nahkampfwaffen[[#This Row],[Waffenmeister: AT]]+Nahkampfwaffen[[#This Row],[Waffenmeister: PA]])-3*(Nahkampfwaffen[[#This Row],[Waffenmeister: INI]])-IF(Nahkampfwaffen[[#This Row],[Waffenmeister: TP/KK / INI/GE]]="TP/KK",2,0)</f>
        <v>15</v>
      </c>
      <c r="R4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8" s="16"/>
      <c r="AX48" s="16"/>
      <c r="AY48" s="16"/>
      <c r="AZ48" s="16"/>
      <c r="BA48" s="16"/>
      <c r="BB48" s="16"/>
      <c r="BC48" s="16"/>
      <c r="BD48" s="16"/>
      <c r="BE48" s="16"/>
      <c r="BF48" s="16"/>
      <c r="BG48" s="16"/>
      <c r="BH48" s="16"/>
      <c r="BI48" s="16"/>
      <c r="BJ48" s="16"/>
      <c r="BK48" s="16"/>
      <c r="BL48" s="16"/>
      <c r="BM48" s="16"/>
      <c r="BN48" s="16"/>
      <c r="BO48" s="16"/>
      <c r="BP48" s="16"/>
      <c r="BQ48" s="16"/>
      <c r="BR4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8" s="16"/>
      <c r="BT48" s="16"/>
      <c r="BU48" s="16"/>
      <c r="BV48" s="16"/>
      <c r="BW48" s="16"/>
    </row>
    <row r="49" spans="1:75" ht="45" hidden="1">
      <c r="A49" s="165" t="s">
        <v>993</v>
      </c>
      <c r="B49" s="165" t="s">
        <v>1047</v>
      </c>
      <c r="C49" s="165" t="s">
        <v>1033</v>
      </c>
      <c r="D49" s="168" t="s">
        <v>1034</v>
      </c>
      <c r="E49"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49" s="168" t="str">
        <f>_xlfn.TEXTJOIN("; ",TRUE,Nahkampfwaffen[[#This Row],[Ausfall]:[Wuchtschlag]])</f>
        <v>Finte</v>
      </c>
      <c r="G49" s="255" t="s">
        <v>113</v>
      </c>
      <c r="H49" s="167"/>
      <c r="I49" s="167"/>
      <c r="J49" s="167"/>
      <c r="K49" s="167"/>
      <c r="L49" s="167">
        <f>IF(Nahkampfwaffen[[#This Row],[Waffenmeister: TP/KK / INI/GE]]="TP/KK",1,0)</f>
        <v>0</v>
      </c>
      <c r="M49" s="167">
        <f>IF(Nahkampfwaffen[[#This Row],[Waffenmeister: TP/KK / INI/GE]]="INI/GE",1,0)</f>
        <v>0</v>
      </c>
      <c r="N49" s="167"/>
      <c r="O49" s="167"/>
      <c r="P49" s="16"/>
      <c r="Q49" s="16">
        <f>15-5*(Nahkampfwaffen[[#This Row],[Waffenmeister: AT]]+Nahkampfwaffen[[#This Row],[Waffenmeister: PA]])-3*(Nahkampfwaffen[[#This Row],[Waffenmeister: INI]])-IF(Nahkampfwaffen[[#This Row],[Waffenmeister: TP/KK / INI/GE]]="TP/KK",2,0)</f>
        <v>15</v>
      </c>
      <c r="R4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4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4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4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4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4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4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4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4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4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4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4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4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4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4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4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4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4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4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4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4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4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4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4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4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4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4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4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4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4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4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49" s="16"/>
      <c r="AX49" s="16"/>
      <c r="AY49" s="16"/>
      <c r="AZ49" s="16"/>
      <c r="BA49" s="16"/>
      <c r="BB49" s="16"/>
      <c r="BC49" s="16"/>
      <c r="BD49" s="16"/>
      <c r="BE49" s="16"/>
      <c r="BF49" s="16"/>
      <c r="BG49" s="16"/>
      <c r="BH49" s="16"/>
      <c r="BI49" s="16"/>
      <c r="BJ49" s="16"/>
      <c r="BK49" s="16"/>
      <c r="BL49" s="16"/>
      <c r="BM49" s="16"/>
      <c r="BN49" s="16"/>
      <c r="BO49" s="16"/>
      <c r="BP49" s="16"/>
      <c r="BQ49" s="16"/>
      <c r="BR4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49" s="16"/>
      <c r="BT49" s="16"/>
      <c r="BU49" s="16"/>
      <c r="BV49" s="16"/>
      <c r="BW49" s="16"/>
    </row>
    <row r="50" spans="1:75" ht="45" hidden="1">
      <c r="A50" s="165" t="s">
        <v>993</v>
      </c>
      <c r="B50" s="165" t="s">
        <v>1048</v>
      </c>
      <c r="C50" s="165" t="s">
        <v>1033</v>
      </c>
      <c r="D50" s="168" t="s">
        <v>1034</v>
      </c>
      <c r="E50"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0" s="168" t="str">
        <f>_xlfn.TEXTJOIN("; ",TRUE,Nahkampfwaffen[[#This Row],[Ausfall]:[Wuchtschlag]])</f>
        <v>Finte</v>
      </c>
      <c r="G50" s="255" t="s">
        <v>113</v>
      </c>
      <c r="H50" s="167"/>
      <c r="I50" s="167"/>
      <c r="J50" s="167"/>
      <c r="K50" s="167"/>
      <c r="L50" s="167">
        <f>IF(Nahkampfwaffen[[#This Row],[Waffenmeister: TP/KK / INI/GE]]="TP/KK",1,0)</f>
        <v>0</v>
      </c>
      <c r="M50" s="167">
        <f>IF(Nahkampfwaffen[[#This Row],[Waffenmeister: TP/KK / INI/GE]]="INI/GE",1,0)</f>
        <v>0</v>
      </c>
      <c r="N50" s="167"/>
      <c r="O50" s="167"/>
      <c r="P50" s="16"/>
      <c r="Q50" s="16">
        <f>15-5*(Nahkampfwaffen[[#This Row],[Waffenmeister: AT]]+Nahkampfwaffen[[#This Row],[Waffenmeister: PA]])-3*(Nahkampfwaffen[[#This Row],[Waffenmeister: INI]])-IF(Nahkampfwaffen[[#This Row],[Waffenmeister: TP/KK / INI/GE]]="TP/KK",2,0)</f>
        <v>15</v>
      </c>
      <c r="R5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0" s="16"/>
      <c r="AX50" s="16"/>
      <c r="AY50" s="16"/>
      <c r="AZ50" s="16"/>
      <c r="BA50" s="16"/>
      <c r="BB50" s="16"/>
      <c r="BC50" s="16"/>
      <c r="BD50" s="16"/>
      <c r="BE50" s="16"/>
      <c r="BF50" s="16"/>
      <c r="BG50" s="16"/>
      <c r="BH50" s="16"/>
      <c r="BI50" s="16"/>
      <c r="BJ50" s="16"/>
      <c r="BK50" s="16"/>
      <c r="BL50" s="16"/>
      <c r="BM50" s="16"/>
      <c r="BN50" s="16"/>
      <c r="BO50" s="16"/>
      <c r="BP50" s="16"/>
      <c r="BQ50" s="16"/>
      <c r="BR5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0" s="16"/>
      <c r="BT50" s="16"/>
      <c r="BU50" s="16"/>
      <c r="BV50" s="16"/>
      <c r="BW50" s="16"/>
    </row>
    <row r="51" spans="1:75" ht="45" hidden="1">
      <c r="A51" s="165" t="s">
        <v>993</v>
      </c>
      <c r="B51" s="165" t="s">
        <v>1049</v>
      </c>
      <c r="C51" s="165" t="s">
        <v>1033</v>
      </c>
      <c r="D51" s="168" t="s">
        <v>1034</v>
      </c>
      <c r="E51"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1" s="168" t="str">
        <f>_xlfn.TEXTJOIN("; ",TRUE,Nahkampfwaffen[[#This Row],[Ausfall]:[Wuchtschlag]])</f>
        <v>Finte</v>
      </c>
      <c r="G51" s="255" t="s">
        <v>113</v>
      </c>
      <c r="H51" s="167"/>
      <c r="I51" s="167"/>
      <c r="J51" s="167"/>
      <c r="K51" s="167"/>
      <c r="L51" s="167">
        <f>IF(Nahkampfwaffen[[#This Row],[Waffenmeister: TP/KK / INI/GE]]="TP/KK",1,0)</f>
        <v>0</v>
      </c>
      <c r="M51" s="167">
        <f>IF(Nahkampfwaffen[[#This Row],[Waffenmeister: TP/KK / INI/GE]]="INI/GE",1,0)</f>
        <v>0</v>
      </c>
      <c r="N51" s="167"/>
      <c r="O51" s="167"/>
      <c r="P51" s="16"/>
      <c r="Q51" s="16">
        <f>15-5*(Nahkampfwaffen[[#This Row],[Waffenmeister: AT]]+Nahkampfwaffen[[#This Row],[Waffenmeister: PA]])-3*(Nahkampfwaffen[[#This Row],[Waffenmeister: INI]])-IF(Nahkampfwaffen[[#This Row],[Waffenmeister: TP/KK / INI/GE]]="TP/KK",2,0)</f>
        <v>15</v>
      </c>
      <c r="R5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1" s="16"/>
      <c r="AX51" s="16"/>
      <c r="AY51" s="16"/>
      <c r="AZ51" s="16"/>
      <c r="BA51" s="16"/>
      <c r="BB51" s="16"/>
      <c r="BC51" s="16"/>
      <c r="BD51" s="16"/>
      <c r="BE51" s="16"/>
      <c r="BF51" s="16"/>
      <c r="BG51" s="16"/>
      <c r="BH51" s="16"/>
      <c r="BI51" s="16"/>
      <c r="BJ51" s="16"/>
      <c r="BK51" s="16"/>
      <c r="BL51" s="16"/>
      <c r="BM51" s="16"/>
      <c r="BN51" s="16"/>
      <c r="BO51" s="16"/>
      <c r="BP51" s="16"/>
      <c r="BQ51" s="16"/>
      <c r="BR5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1" s="16"/>
      <c r="BT51" s="16"/>
      <c r="BU51" s="16"/>
      <c r="BV51" s="16"/>
      <c r="BW51" s="16"/>
    </row>
    <row r="52" spans="1:75" ht="45" hidden="1">
      <c r="A52" s="165" t="s">
        <v>993</v>
      </c>
      <c r="B52" s="165" t="s">
        <v>1050</v>
      </c>
      <c r="C52" s="165" t="s">
        <v>1033</v>
      </c>
      <c r="D52" s="168" t="s">
        <v>1034</v>
      </c>
      <c r="E52"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2" s="168" t="str">
        <f>_xlfn.TEXTJOIN("; ",TRUE,Nahkampfwaffen[[#This Row],[Ausfall]:[Wuchtschlag]])</f>
        <v>Finte</v>
      </c>
      <c r="G52" s="255" t="s">
        <v>113</v>
      </c>
      <c r="H52" s="167"/>
      <c r="I52" s="167"/>
      <c r="J52" s="167"/>
      <c r="K52" s="167"/>
      <c r="L52" s="167">
        <f>IF(Nahkampfwaffen[[#This Row],[Waffenmeister: TP/KK / INI/GE]]="TP/KK",1,0)</f>
        <v>0</v>
      </c>
      <c r="M52" s="167">
        <f>IF(Nahkampfwaffen[[#This Row],[Waffenmeister: TP/KK / INI/GE]]="INI/GE",1,0)</f>
        <v>0</v>
      </c>
      <c r="N52" s="167"/>
      <c r="O52" s="167"/>
      <c r="P52" s="16"/>
      <c r="Q52" s="16">
        <f>15-5*(Nahkampfwaffen[[#This Row],[Waffenmeister: AT]]+Nahkampfwaffen[[#This Row],[Waffenmeister: PA]])-3*(Nahkampfwaffen[[#This Row],[Waffenmeister: INI]])-IF(Nahkampfwaffen[[#This Row],[Waffenmeister: TP/KK / INI/GE]]="TP/KK",2,0)</f>
        <v>15</v>
      </c>
      <c r="R5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2" s="16"/>
      <c r="AX52" s="16"/>
      <c r="AY52" s="16"/>
      <c r="AZ52" s="16"/>
      <c r="BA52" s="16"/>
      <c r="BB52" s="16"/>
      <c r="BC52" s="16"/>
      <c r="BD52" s="16"/>
      <c r="BE52" s="16"/>
      <c r="BF52" s="16"/>
      <c r="BG52" s="16"/>
      <c r="BH52" s="16"/>
      <c r="BI52" s="16"/>
      <c r="BJ52" s="16"/>
      <c r="BK52" s="16"/>
      <c r="BL52" s="16"/>
      <c r="BM52" s="16"/>
      <c r="BN52" s="16"/>
      <c r="BO52" s="16"/>
      <c r="BP52" s="16"/>
      <c r="BQ52" s="16"/>
      <c r="BR5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2" s="16"/>
      <c r="BT52" s="16"/>
      <c r="BU52" s="16"/>
      <c r="BV52" s="16"/>
      <c r="BW52" s="16"/>
    </row>
    <row r="53" spans="1:75" ht="45" hidden="1">
      <c r="A53" s="165" t="s">
        <v>993</v>
      </c>
      <c r="B53" s="165" t="s">
        <v>1051</v>
      </c>
      <c r="C53" s="165" t="s">
        <v>1033</v>
      </c>
      <c r="D53" s="168" t="s">
        <v>1034</v>
      </c>
      <c r="E53"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3" s="168" t="str">
        <f>_xlfn.TEXTJOIN("; ",TRUE,Nahkampfwaffen[[#This Row],[Ausfall]:[Wuchtschlag]])</f>
        <v>Finte</v>
      </c>
      <c r="G53" s="255" t="s">
        <v>113</v>
      </c>
      <c r="H53" s="167"/>
      <c r="I53" s="167"/>
      <c r="J53" s="167"/>
      <c r="K53" s="167"/>
      <c r="L53" s="167">
        <f>IF(Nahkampfwaffen[[#This Row],[Waffenmeister: TP/KK / INI/GE]]="TP/KK",1,0)</f>
        <v>0</v>
      </c>
      <c r="M53" s="167">
        <f>IF(Nahkampfwaffen[[#This Row],[Waffenmeister: TP/KK / INI/GE]]="INI/GE",1,0)</f>
        <v>0</v>
      </c>
      <c r="N53" s="167"/>
      <c r="O53" s="167"/>
      <c r="P53" s="16"/>
      <c r="Q53" s="16">
        <f>15-5*(Nahkampfwaffen[[#This Row],[Waffenmeister: AT]]+Nahkampfwaffen[[#This Row],[Waffenmeister: PA]])-3*(Nahkampfwaffen[[#This Row],[Waffenmeister: INI]])-IF(Nahkampfwaffen[[#This Row],[Waffenmeister: TP/KK / INI/GE]]="TP/KK",2,0)</f>
        <v>15</v>
      </c>
      <c r="R5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3" s="16"/>
      <c r="AX53" s="16"/>
      <c r="AY53" s="16"/>
      <c r="AZ53" s="16"/>
      <c r="BA53" s="16"/>
      <c r="BB53" s="16"/>
      <c r="BC53" s="16"/>
      <c r="BD53" s="16"/>
      <c r="BE53" s="16"/>
      <c r="BF53" s="16"/>
      <c r="BG53" s="16"/>
      <c r="BH53" s="16"/>
      <c r="BI53" s="16"/>
      <c r="BJ53" s="16"/>
      <c r="BK53" s="16"/>
      <c r="BL53" s="16"/>
      <c r="BM53" s="16"/>
      <c r="BN53" s="16"/>
      <c r="BO53" s="16"/>
      <c r="BP53" s="16"/>
      <c r="BQ53" s="16"/>
      <c r="BR5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3" s="16"/>
      <c r="BT53" s="16"/>
      <c r="BU53" s="16"/>
      <c r="BV53" s="16"/>
      <c r="BW53" s="16"/>
    </row>
    <row r="54" spans="1:75" ht="45" hidden="1">
      <c r="A54" s="165" t="s">
        <v>993</v>
      </c>
      <c r="B54" s="165" t="s">
        <v>1052</v>
      </c>
      <c r="C54" s="165" t="s">
        <v>1033</v>
      </c>
      <c r="D54" s="168" t="s">
        <v>1034</v>
      </c>
      <c r="E54"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4" s="168" t="str">
        <f>_xlfn.TEXTJOIN("; ",TRUE,Nahkampfwaffen[[#This Row],[Ausfall]:[Wuchtschlag]])</f>
        <v>Finte</v>
      </c>
      <c r="G54" s="255" t="s">
        <v>113</v>
      </c>
      <c r="H54" s="167"/>
      <c r="I54" s="167"/>
      <c r="J54" s="167"/>
      <c r="K54" s="167"/>
      <c r="L54" s="167">
        <f>IF(Nahkampfwaffen[[#This Row],[Waffenmeister: TP/KK / INI/GE]]="TP/KK",1,0)</f>
        <v>0</v>
      </c>
      <c r="M54" s="167">
        <f>IF(Nahkampfwaffen[[#This Row],[Waffenmeister: TP/KK / INI/GE]]="INI/GE",1,0)</f>
        <v>0</v>
      </c>
      <c r="N54" s="167"/>
      <c r="O54" s="167"/>
      <c r="P54" s="16"/>
      <c r="Q54" s="16">
        <f>15-5*(Nahkampfwaffen[[#This Row],[Waffenmeister: AT]]+Nahkampfwaffen[[#This Row],[Waffenmeister: PA]])-3*(Nahkampfwaffen[[#This Row],[Waffenmeister: INI]])-IF(Nahkampfwaffen[[#This Row],[Waffenmeister: TP/KK / INI/GE]]="TP/KK",2,0)</f>
        <v>15</v>
      </c>
      <c r="R5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4" s="16"/>
      <c r="AX54" s="16"/>
      <c r="AY54" s="16"/>
      <c r="AZ54" s="16"/>
      <c r="BA54" s="16"/>
      <c r="BB54" s="16"/>
      <c r="BC54" s="16"/>
      <c r="BD54" s="16"/>
      <c r="BE54" s="16"/>
      <c r="BF54" s="16"/>
      <c r="BG54" s="16"/>
      <c r="BH54" s="16"/>
      <c r="BI54" s="16"/>
      <c r="BJ54" s="16"/>
      <c r="BK54" s="16"/>
      <c r="BL54" s="16"/>
      <c r="BM54" s="16"/>
      <c r="BN54" s="16"/>
      <c r="BO54" s="16"/>
      <c r="BP54" s="16"/>
      <c r="BQ54" s="16"/>
      <c r="BR5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4" s="16"/>
      <c r="BT54" s="16"/>
      <c r="BU54" s="16"/>
      <c r="BV54" s="16"/>
      <c r="BW54" s="16"/>
    </row>
    <row r="55" spans="1:75" ht="45" hidden="1">
      <c r="A55" s="165" t="s">
        <v>993</v>
      </c>
      <c r="B55" s="165" t="s">
        <v>1053</v>
      </c>
      <c r="C55" s="165" t="s">
        <v>1033</v>
      </c>
      <c r="D55" s="168" t="s">
        <v>1034</v>
      </c>
      <c r="E55"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5" s="168" t="str">
        <f>_xlfn.TEXTJOIN("; ",TRUE,Nahkampfwaffen[[#This Row],[Ausfall]:[Wuchtschlag]])</f>
        <v>Finte</v>
      </c>
      <c r="G55" s="255" t="s">
        <v>113</v>
      </c>
      <c r="H55" s="167"/>
      <c r="I55" s="167"/>
      <c r="J55" s="167"/>
      <c r="K55" s="167"/>
      <c r="L55" s="167">
        <f>IF(Nahkampfwaffen[[#This Row],[Waffenmeister: TP/KK / INI/GE]]="TP/KK",1,0)</f>
        <v>0</v>
      </c>
      <c r="M55" s="167">
        <f>IF(Nahkampfwaffen[[#This Row],[Waffenmeister: TP/KK / INI/GE]]="INI/GE",1,0)</f>
        <v>0</v>
      </c>
      <c r="N55" s="167"/>
      <c r="O55" s="167"/>
      <c r="P55" s="16"/>
      <c r="Q55" s="16">
        <f>15-5*(Nahkampfwaffen[[#This Row],[Waffenmeister: AT]]+Nahkampfwaffen[[#This Row],[Waffenmeister: PA]])-3*(Nahkampfwaffen[[#This Row],[Waffenmeister: INI]])-IF(Nahkampfwaffen[[#This Row],[Waffenmeister: TP/KK / INI/GE]]="TP/KK",2,0)</f>
        <v>15</v>
      </c>
      <c r="R5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5" s="16"/>
      <c r="AX55" s="16"/>
      <c r="AY55" s="16"/>
      <c r="AZ55" s="16"/>
      <c r="BA55" s="16"/>
      <c r="BB55" s="16"/>
      <c r="BC55" s="16"/>
      <c r="BD55" s="16"/>
      <c r="BE55" s="16"/>
      <c r="BF55" s="16"/>
      <c r="BG55" s="16"/>
      <c r="BH55" s="16"/>
      <c r="BI55" s="16"/>
      <c r="BJ55" s="16"/>
      <c r="BK55" s="16"/>
      <c r="BL55" s="16"/>
      <c r="BM55" s="16"/>
      <c r="BN55" s="16"/>
      <c r="BO55" s="16"/>
      <c r="BP55" s="16"/>
      <c r="BQ55" s="16"/>
      <c r="BR5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5" s="16"/>
      <c r="BT55" s="16"/>
      <c r="BU55" s="16"/>
      <c r="BV55" s="16"/>
      <c r="BW55" s="16"/>
    </row>
    <row r="56" spans="1:75" ht="45" hidden="1">
      <c r="A56" s="165" t="s">
        <v>993</v>
      </c>
      <c r="B56" s="165" t="s">
        <v>1054</v>
      </c>
      <c r="C56" s="165" t="s">
        <v>1033</v>
      </c>
      <c r="D56" s="168" t="s">
        <v>1034</v>
      </c>
      <c r="E56"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6" s="168" t="str">
        <f>_xlfn.TEXTJOIN("; ",TRUE,Nahkampfwaffen[[#This Row],[Ausfall]:[Wuchtschlag]])</f>
        <v>Finte</v>
      </c>
      <c r="G56" s="255" t="s">
        <v>113</v>
      </c>
      <c r="H56" s="167"/>
      <c r="I56" s="167"/>
      <c r="J56" s="167"/>
      <c r="K56" s="167"/>
      <c r="L56" s="167">
        <f>IF(Nahkampfwaffen[[#This Row],[Waffenmeister: TP/KK / INI/GE]]="TP/KK",1,0)</f>
        <v>0</v>
      </c>
      <c r="M56" s="167">
        <f>IF(Nahkampfwaffen[[#This Row],[Waffenmeister: TP/KK / INI/GE]]="INI/GE",1,0)</f>
        <v>0</v>
      </c>
      <c r="N56" s="167"/>
      <c r="O56" s="167"/>
      <c r="P56" s="16"/>
      <c r="Q56" s="16">
        <f>15-5*(Nahkampfwaffen[[#This Row],[Waffenmeister: AT]]+Nahkampfwaffen[[#This Row],[Waffenmeister: PA]])-3*(Nahkampfwaffen[[#This Row],[Waffenmeister: INI]])-IF(Nahkampfwaffen[[#This Row],[Waffenmeister: TP/KK / INI/GE]]="TP/KK",2,0)</f>
        <v>15</v>
      </c>
      <c r="R5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6" s="16"/>
      <c r="AX56" s="16"/>
      <c r="AY56" s="16"/>
      <c r="AZ56" s="16"/>
      <c r="BA56" s="16"/>
      <c r="BB56" s="16"/>
      <c r="BC56" s="16"/>
      <c r="BD56" s="16"/>
      <c r="BE56" s="16"/>
      <c r="BF56" s="16"/>
      <c r="BG56" s="16"/>
      <c r="BH56" s="16"/>
      <c r="BI56" s="16"/>
      <c r="BJ56" s="16"/>
      <c r="BK56" s="16"/>
      <c r="BL56" s="16"/>
      <c r="BM56" s="16"/>
      <c r="BN56" s="16"/>
      <c r="BO56" s="16"/>
      <c r="BP56" s="16"/>
      <c r="BQ56" s="16"/>
      <c r="BR5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6" s="16"/>
      <c r="BT56" s="16"/>
      <c r="BU56" s="16"/>
      <c r="BV56" s="16"/>
      <c r="BW56" s="16"/>
    </row>
    <row r="57" spans="1:75" ht="45" hidden="1">
      <c r="A57" s="165" t="s">
        <v>993</v>
      </c>
      <c r="B57" s="165" t="s">
        <v>1055</v>
      </c>
      <c r="C57" s="165" t="s">
        <v>1033</v>
      </c>
      <c r="D57" s="168" t="s">
        <v>1034</v>
      </c>
      <c r="E57"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7" s="168" t="str">
        <f>_xlfn.TEXTJOIN("; ",TRUE,Nahkampfwaffen[[#This Row],[Ausfall]:[Wuchtschlag]])</f>
        <v>Finte</v>
      </c>
      <c r="G57" s="255" t="s">
        <v>113</v>
      </c>
      <c r="H57" s="167"/>
      <c r="I57" s="167"/>
      <c r="J57" s="167"/>
      <c r="K57" s="167"/>
      <c r="L57" s="167">
        <f>IF(Nahkampfwaffen[[#This Row],[Waffenmeister: TP/KK / INI/GE]]="TP/KK",1,0)</f>
        <v>0</v>
      </c>
      <c r="M57" s="167">
        <f>IF(Nahkampfwaffen[[#This Row],[Waffenmeister: TP/KK / INI/GE]]="INI/GE",1,0)</f>
        <v>0</v>
      </c>
      <c r="N57" s="167"/>
      <c r="O57" s="167"/>
      <c r="P57" s="16"/>
      <c r="Q57" s="16">
        <f>15-5*(Nahkampfwaffen[[#This Row],[Waffenmeister: AT]]+Nahkampfwaffen[[#This Row],[Waffenmeister: PA]])-3*(Nahkampfwaffen[[#This Row],[Waffenmeister: INI]])-IF(Nahkampfwaffen[[#This Row],[Waffenmeister: TP/KK / INI/GE]]="TP/KK",2,0)</f>
        <v>15</v>
      </c>
      <c r="R5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7" s="16"/>
      <c r="AX57" s="16"/>
      <c r="AY57" s="16"/>
      <c r="AZ57" s="16"/>
      <c r="BA57" s="16"/>
      <c r="BB57" s="16"/>
      <c r="BC57" s="16"/>
      <c r="BD57" s="16"/>
      <c r="BE57" s="16"/>
      <c r="BF57" s="16"/>
      <c r="BG57" s="16"/>
      <c r="BH57" s="16"/>
      <c r="BI57" s="16"/>
      <c r="BJ57" s="16"/>
      <c r="BK57" s="16"/>
      <c r="BL57" s="16"/>
      <c r="BM57" s="16"/>
      <c r="BN57" s="16"/>
      <c r="BO57" s="16"/>
      <c r="BP57" s="16"/>
      <c r="BQ57" s="16"/>
      <c r="BR5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7" s="16"/>
      <c r="BT57" s="16"/>
      <c r="BU57" s="16"/>
      <c r="BV57" s="16"/>
      <c r="BW57" s="16"/>
    </row>
    <row r="58" spans="1:75" ht="45" hidden="1">
      <c r="A58" s="165" t="s">
        <v>993</v>
      </c>
      <c r="B58" s="165" t="s">
        <v>1056</v>
      </c>
      <c r="C58" s="165" t="s">
        <v>1033</v>
      </c>
      <c r="D58" s="168" t="s">
        <v>1034</v>
      </c>
      <c r="E58"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8" s="168" t="str">
        <f>_xlfn.TEXTJOIN("; ",TRUE,Nahkampfwaffen[[#This Row],[Ausfall]:[Wuchtschlag]])</f>
        <v>Finte</v>
      </c>
      <c r="G58" s="255" t="s">
        <v>113</v>
      </c>
      <c r="H58" s="167"/>
      <c r="I58" s="167"/>
      <c r="J58" s="167"/>
      <c r="K58" s="167"/>
      <c r="L58" s="167">
        <f>IF(Nahkampfwaffen[[#This Row],[Waffenmeister: TP/KK / INI/GE]]="TP/KK",1,0)</f>
        <v>0</v>
      </c>
      <c r="M58" s="167">
        <f>IF(Nahkampfwaffen[[#This Row],[Waffenmeister: TP/KK / INI/GE]]="INI/GE",1,0)</f>
        <v>0</v>
      </c>
      <c r="N58" s="167"/>
      <c r="O58" s="167"/>
      <c r="P58" s="16"/>
      <c r="Q58" s="16">
        <f>15-5*(Nahkampfwaffen[[#This Row],[Waffenmeister: AT]]+Nahkampfwaffen[[#This Row],[Waffenmeister: PA]])-3*(Nahkampfwaffen[[#This Row],[Waffenmeister: INI]])-IF(Nahkampfwaffen[[#This Row],[Waffenmeister: TP/KK / INI/GE]]="TP/KK",2,0)</f>
        <v>15</v>
      </c>
      <c r="R5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8" s="16"/>
      <c r="AX58" s="16"/>
      <c r="AY58" s="16"/>
      <c r="AZ58" s="16"/>
      <c r="BA58" s="16"/>
      <c r="BB58" s="16"/>
      <c r="BC58" s="16"/>
      <c r="BD58" s="16"/>
      <c r="BE58" s="16"/>
      <c r="BF58" s="16"/>
      <c r="BG58" s="16"/>
      <c r="BH58" s="16"/>
      <c r="BI58" s="16"/>
      <c r="BJ58" s="16"/>
      <c r="BK58" s="16"/>
      <c r="BL58" s="16"/>
      <c r="BM58" s="16"/>
      <c r="BN58" s="16"/>
      <c r="BO58" s="16"/>
      <c r="BP58" s="16"/>
      <c r="BQ58" s="16"/>
      <c r="BR5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8" s="16"/>
      <c r="BT58" s="16"/>
      <c r="BU58" s="16"/>
      <c r="BV58" s="16"/>
      <c r="BW58" s="16"/>
    </row>
    <row r="59" spans="1:75" ht="45" hidden="1">
      <c r="A59" s="165" t="s">
        <v>993</v>
      </c>
      <c r="B59" s="165" t="s">
        <v>1057</v>
      </c>
      <c r="C59" s="165" t="s">
        <v>1033</v>
      </c>
      <c r="D59" s="168" t="s">
        <v>1034</v>
      </c>
      <c r="E59"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59" s="168" t="str">
        <f>_xlfn.TEXTJOIN("; ",TRUE,Nahkampfwaffen[[#This Row],[Ausfall]:[Wuchtschlag]])</f>
        <v>Finte</v>
      </c>
      <c r="G59" s="255" t="s">
        <v>113</v>
      </c>
      <c r="H59" s="167"/>
      <c r="I59" s="167"/>
      <c r="J59" s="167"/>
      <c r="K59" s="167"/>
      <c r="L59" s="167">
        <f>IF(Nahkampfwaffen[[#This Row],[Waffenmeister: TP/KK / INI/GE]]="TP/KK",1,0)</f>
        <v>0</v>
      </c>
      <c r="M59" s="167">
        <f>IF(Nahkampfwaffen[[#This Row],[Waffenmeister: TP/KK / INI/GE]]="INI/GE",1,0)</f>
        <v>0</v>
      </c>
      <c r="N59" s="167"/>
      <c r="O59" s="167"/>
      <c r="P59" s="16"/>
      <c r="Q59" s="16">
        <f>15-5*(Nahkampfwaffen[[#This Row],[Waffenmeister: AT]]+Nahkampfwaffen[[#This Row],[Waffenmeister: PA]])-3*(Nahkampfwaffen[[#This Row],[Waffenmeister: INI]])-IF(Nahkampfwaffen[[#This Row],[Waffenmeister: TP/KK / INI/GE]]="TP/KK",2,0)</f>
        <v>15</v>
      </c>
      <c r="R5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5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5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5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5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5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5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5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5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5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5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5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5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5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5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5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5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5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5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5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5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5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5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5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5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5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5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5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5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5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5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59" s="16"/>
      <c r="AX59" s="16"/>
      <c r="AY59" s="16"/>
      <c r="AZ59" s="16"/>
      <c r="BA59" s="16"/>
      <c r="BB59" s="16"/>
      <c r="BC59" s="16"/>
      <c r="BD59" s="16"/>
      <c r="BE59" s="16"/>
      <c r="BF59" s="16"/>
      <c r="BG59" s="16"/>
      <c r="BH59" s="16"/>
      <c r="BI59" s="16"/>
      <c r="BJ59" s="16"/>
      <c r="BK59" s="16"/>
      <c r="BL59" s="16"/>
      <c r="BM59" s="16"/>
      <c r="BN59" s="16"/>
      <c r="BO59" s="16"/>
      <c r="BP59" s="16"/>
      <c r="BQ59" s="16"/>
      <c r="BR5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59" s="16"/>
      <c r="BT59" s="16"/>
      <c r="BU59" s="16"/>
      <c r="BV59" s="16"/>
      <c r="BW59" s="16"/>
    </row>
    <row r="60" spans="1:75" ht="45" hidden="1">
      <c r="A60" s="165" t="s">
        <v>993</v>
      </c>
      <c r="B60" s="165" t="s">
        <v>1058</v>
      </c>
      <c r="C60" s="165" t="s">
        <v>1033</v>
      </c>
      <c r="D60" s="168" t="s">
        <v>1034</v>
      </c>
      <c r="E60"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60" s="168" t="str">
        <f>_xlfn.TEXTJOIN("; ",TRUE,Nahkampfwaffen[[#This Row],[Ausfall]:[Wuchtschlag]])</f>
        <v>Finte</v>
      </c>
      <c r="G60" s="255" t="s">
        <v>113</v>
      </c>
      <c r="H60" s="167"/>
      <c r="I60" s="167"/>
      <c r="J60" s="167"/>
      <c r="K60" s="167"/>
      <c r="L60" s="167">
        <f>IF(Nahkampfwaffen[[#This Row],[Waffenmeister: TP/KK / INI/GE]]="TP/KK",1,0)</f>
        <v>0</v>
      </c>
      <c r="M60" s="167">
        <f>IF(Nahkampfwaffen[[#This Row],[Waffenmeister: TP/KK / INI/GE]]="INI/GE",1,0)</f>
        <v>0</v>
      </c>
      <c r="N60" s="167"/>
      <c r="O60" s="167"/>
      <c r="P60" s="16"/>
      <c r="Q60" s="16">
        <f>15-5*(Nahkampfwaffen[[#This Row],[Waffenmeister: AT]]+Nahkampfwaffen[[#This Row],[Waffenmeister: PA]])-3*(Nahkampfwaffen[[#This Row],[Waffenmeister: INI]])-IF(Nahkampfwaffen[[#This Row],[Waffenmeister: TP/KK / INI/GE]]="TP/KK",2,0)</f>
        <v>15</v>
      </c>
      <c r="R6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0" s="16"/>
      <c r="AX60" s="16"/>
      <c r="AY60" s="16"/>
      <c r="AZ60" s="16"/>
      <c r="BA60" s="16"/>
      <c r="BB60" s="16"/>
      <c r="BC60" s="16"/>
      <c r="BD60" s="16"/>
      <c r="BE60" s="16"/>
      <c r="BF60" s="16"/>
      <c r="BG60" s="16"/>
      <c r="BH60" s="16"/>
      <c r="BI60" s="16"/>
      <c r="BJ60" s="16"/>
      <c r="BK60" s="16"/>
      <c r="BL60" s="16"/>
      <c r="BM60" s="16"/>
      <c r="BN60" s="16"/>
      <c r="BO60" s="16"/>
      <c r="BP60" s="16"/>
      <c r="BQ60" s="16"/>
      <c r="BR6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0" s="16"/>
      <c r="BT60" s="16"/>
      <c r="BU60" s="16"/>
      <c r="BV60" s="16"/>
      <c r="BW60" s="16"/>
    </row>
    <row r="61" spans="1:75" ht="45" hidden="1">
      <c r="A61" s="165" t="s">
        <v>993</v>
      </c>
      <c r="B61" s="165" t="s">
        <v>1059</v>
      </c>
      <c r="C61" s="165" t="s">
        <v>1033</v>
      </c>
      <c r="D61" s="168" t="s">
        <v>1034</v>
      </c>
      <c r="E61" s="168" t="str">
        <f>IF(ISTEXT(Nahkampfwaffen[[#This Row],[Waffenmeister: Manöver]]),_xlfn.CONCAT(Nahkampfwaffen[[#This Row],[Mögliche Manöver]]," ",Nahkampfwaffen[[#This Row],[Waffenmeister: Manöver]],","),Nahkampfwaffen[[#This Row],[Mögliche Manöver]])</f>
        <v>Befreiungsschlag, Betäubungsschlag, Defensiver Kampfstil, Offensiver Kampfstil, Doppelangriff, Finte, Gegenhalten, Hammerschlag, Meisterparade, Niederwerfen, Schildspalter, Stumpfer Schlag, Sturmangriff, Windmühle, Wuchtschlag,</v>
      </c>
      <c r="F61" s="168" t="str">
        <f>_xlfn.TEXTJOIN("; ",TRUE,Nahkampfwaffen[[#This Row],[Ausfall]:[Wuchtschlag]])</f>
        <v>Finte</v>
      </c>
      <c r="G61" s="255" t="s">
        <v>113</v>
      </c>
      <c r="H61" s="167"/>
      <c r="I61" s="167"/>
      <c r="J61" s="167"/>
      <c r="K61" s="167"/>
      <c r="L61" s="167">
        <f>IF(Nahkampfwaffen[[#This Row],[Waffenmeister: TP/KK / INI/GE]]="TP/KK",1,0)</f>
        <v>0</v>
      </c>
      <c r="M61" s="167">
        <f>IF(Nahkampfwaffen[[#This Row],[Waffenmeister: TP/KK / INI/GE]]="INI/GE",1,0)</f>
        <v>0</v>
      </c>
      <c r="N61" s="167"/>
      <c r="O61" s="167"/>
      <c r="P61" s="16"/>
      <c r="Q61" s="16">
        <f>15-5*(Nahkampfwaffen[[#This Row],[Waffenmeister: AT]]+Nahkampfwaffen[[#This Row],[Waffenmeister: PA]])-3*(Nahkampfwaffen[[#This Row],[Waffenmeister: INI]])-IF(Nahkampfwaffen[[#This Row],[Waffenmeister: TP/KK / INI/GE]]="TP/KK",2,0)</f>
        <v>15</v>
      </c>
      <c r="R6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1" s="16"/>
      <c r="AX61" s="16"/>
      <c r="AY61" s="16"/>
      <c r="AZ61" s="16"/>
      <c r="BA61" s="16"/>
      <c r="BB61" s="16"/>
      <c r="BC61" s="16"/>
      <c r="BD61" s="16"/>
      <c r="BE61" s="16"/>
      <c r="BF61" s="16"/>
      <c r="BG61" s="16"/>
      <c r="BH61" s="16"/>
      <c r="BI61" s="16"/>
      <c r="BJ61" s="16"/>
      <c r="BK61" s="16"/>
      <c r="BL61" s="16"/>
      <c r="BM61" s="16"/>
      <c r="BN61" s="16"/>
      <c r="BO61" s="16"/>
      <c r="BP61" s="16"/>
      <c r="BQ61" s="16"/>
      <c r="BR6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1" s="16"/>
      <c r="BT61" s="16"/>
      <c r="BU61" s="16"/>
      <c r="BV61" s="16"/>
      <c r="BW61" s="16"/>
    </row>
    <row r="62" spans="1:75" ht="60" hidden="1">
      <c r="A62" s="165" t="s">
        <v>993</v>
      </c>
      <c r="B62" s="165" t="s">
        <v>1060</v>
      </c>
      <c r="C62" s="165" t="s">
        <v>1061</v>
      </c>
      <c r="D62" s="168" t="s">
        <v>1062</v>
      </c>
      <c r="E62"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2" s="168" t="str">
        <f>_xlfn.TEXTJOIN("; ",TRUE,Nahkampfwaffen[[#This Row],[Ausfall]:[Wuchtschlag]])</f>
        <v>Finte</v>
      </c>
      <c r="G62" s="255" t="s">
        <v>113</v>
      </c>
      <c r="H62" s="167"/>
      <c r="I62" s="167"/>
      <c r="J62" s="167"/>
      <c r="K62" s="167"/>
      <c r="L62" s="167">
        <f>IF(Nahkampfwaffen[[#This Row],[Waffenmeister: TP/KK / INI/GE]]="TP/KK",1,0)</f>
        <v>0</v>
      </c>
      <c r="M62" s="167">
        <f>IF(Nahkampfwaffen[[#This Row],[Waffenmeister: TP/KK / INI/GE]]="INI/GE",1,0)</f>
        <v>0</v>
      </c>
      <c r="N62" s="167"/>
      <c r="O62" s="167"/>
      <c r="P62" s="16"/>
      <c r="Q62" s="16">
        <f>15-5*(Nahkampfwaffen[[#This Row],[Waffenmeister: AT]]+Nahkampfwaffen[[#This Row],[Waffenmeister: PA]])-3*(Nahkampfwaffen[[#This Row],[Waffenmeister: INI]])-IF(Nahkampfwaffen[[#This Row],[Waffenmeister: TP/KK / INI/GE]]="TP/KK",2,0)</f>
        <v>15</v>
      </c>
      <c r="R6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2" s="16"/>
      <c r="AX62" s="16"/>
      <c r="AY62" s="16"/>
      <c r="AZ62" s="16"/>
      <c r="BA62" s="16"/>
      <c r="BB62" s="16"/>
      <c r="BC62" s="16"/>
      <c r="BD62" s="16"/>
      <c r="BE62" s="16"/>
      <c r="BF62" s="16"/>
      <c r="BG62" s="16"/>
      <c r="BH62" s="16"/>
      <c r="BI62" s="16"/>
      <c r="BJ62" s="16"/>
      <c r="BK62" s="16"/>
      <c r="BL62" s="16"/>
      <c r="BM62" s="16"/>
      <c r="BN62" s="16"/>
      <c r="BO62" s="16"/>
      <c r="BP62" s="16"/>
      <c r="BQ62" s="16"/>
      <c r="BR6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2" s="16"/>
      <c r="BT62" s="16"/>
      <c r="BU62" s="16"/>
      <c r="BV62" s="16"/>
      <c r="BW62" s="16"/>
    </row>
    <row r="63" spans="1:75" ht="60" hidden="1">
      <c r="A63" s="165" t="s">
        <v>993</v>
      </c>
      <c r="B63" s="165" t="s">
        <v>1063</v>
      </c>
      <c r="C63" s="165" t="s">
        <v>1061</v>
      </c>
      <c r="D63" s="168" t="s">
        <v>1062</v>
      </c>
      <c r="E63"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3" s="168" t="str">
        <f>_xlfn.TEXTJOIN("; ",TRUE,Nahkampfwaffen[[#This Row],[Ausfall]:[Wuchtschlag]])</f>
        <v>Finte</v>
      </c>
      <c r="G63" s="255" t="s">
        <v>113</v>
      </c>
      <c r="H63" s="167"/>
      <c r="I63" s="167"/>
      <c r="J63" s="167"/>
      <c r="K63" s="167"/>
      <c r="L63" s="167">
        <f>IF(Nahkampfwaffen[[#This Row],[Waffenmeister: TP/KK / INI/GE]]="TP/KK",1,0)</f>
        <v>0</v>
      </c>
      <c r="M63" s="167">
        <f>IF(Nahkampfwaffen[[#This Row],[Waffenmeister: TP/KK / INI/GE]]="INI/GE",1,0)</f>
        <v>0</v>
      </c>
      <c r="N63" s="167"/>
      <c r="O63" s="167"/>
      <c r="P63" s="16"/>
      <c r="Q63" s="16">
        <f>15-5*(Nahkampfwaffen[[#This Row],[Waffenmeister: AT]]+Nahkampfwaffen[[#This Row],[Waffenmeister: PA]])-3*(Nahkampfwaffen[[#This Row],[Waffenmeister: INI]])-IF(Nahkampfwaffen[[#This Row],[Waffenmeister: TP/KK / INI/GE]]="TP/KK",2,0)</f>
        <v>15</v>
      </c>
      <c r="R6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3" s="16"/>
      <c r="AX63" s="16"/>
      <c r="AY63" s="16"/>
      <c r="AZ63" s="16"/>
      <c r="BA63" s="16"/>
      <c r="BB63" s="16"/>
      <c r="BC63" s="16"/>
      <c r="BD63" s="16"/>
      <c r="BE63" s="16"/>
      <c r="BF63" s="16"/>
      <c r="BG63" s="16"/>
      <c r="BH63" s="16"/>
      <c r="BI63" s="16"/>
      <c r="BJ63" s="16"/>
      <c r="BK63" s="16"/>
      <c r="BL63" s="16"/>
      <c r="BM63" s="16"/>
      <c r="BN63" s="16"/>
      <c r="BO63" s="16"/>
      <c r="BP63" s="16"/>
      <c r="BQ63" s="16"/>
      <c r="BR6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3" s="16"/>
      <c r="BT63" s="16"/>
      <c r="BU63" s="16"/>
      <c r="BV63" s="16"/>
      <c r="BW63" s="16"/>
    </row>
    <row r="64" spans="1:75" ht="60" hidden="1">
      <c r="A64" s="165" t="s">
        <v>993</v>
      </c>
      <c r="B64" s="165" t="s">
        <v>1064</v>
      </c>
      <c r="C64" s="165" t="s">
        <v>1061</v>
      </c>
      <c r="D64" s="168" t="s">
        <v>1062</v>
      </c>
      <c r="E64"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4" s="168" t="str">
        <f>_xlfn.TEXTJOIN("; ",TRUE,Nahkampfwaffen[[#This Row],[Ausfall]:[Wuchtschlag]])</f>
        <v>Finte</v>
      </c>
      <c r="G64" s="255" t="s">
        <v>113</v>
      </c>
      <c r="H64" s="167"/>
      <c r="I64" s="167"/>
      <c r="J64" s="167"/>
      <c r="K64" s="167"/>
      <c r="L64" s="167">
        <f>IF(Nahkampfwaffen[[#This Row],[Waffenmeister: TP/KK / INI/GE]]="TP/KK",1,0)</f>
        <v>0</v>
      </c>
      <c r="M64" s="167">
        <f>IF(Nahkampfwaffen[[#This Row],[Waffenmeister: TP/KK / INI/GE]]="INI/GE",1,0)</f>
        <v>0</v>
      </c>
      <c r="N64" s="167"/>
      <c r="O64" s="167"/>
      <c r="P64" s="16"/>
      <c r="Q64" s="16">
        <f>15-5*(Nahkampfwaffen[[#This Row],[Waffenmeister: AT]]+Nahkampfwaffen[[#This Row],[Waffenmeister: PA]])-3*(Nahkampfwaffen[[#This Row],[Waffenmeister: INI]])-IF(Nahkampfwaffen[[#This Row],[Waffenmeister: TP/KK / INI/GE]]="TP/KK",2,0)</f>
        <v>15</v>
      </c>
      <c r="R6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4" s="16"/>
      <c r="AX64" s="16"/>
      <c r="AY64" s="16"/>
      <c r="AZ64" s="16"/>
      <c r="BA64" s="16"/>
      <c r="BB64" s="16"/>
      <c r="BC64" s="16"/>
      <c r="BD64" s="16"/>
      <c r="BE64" s="16"/>
      <c r="BF64" s="16"/>
      <c r="BG64" s="16"/>
      <c r="BH64" s="16"/>
      <c r="BI64" s="16"/>
      <c r="BJ64" s="16"/>
      <c r="BK64" s="16"/>
      <c r="BL64" s="16"/>
      <c r="BM64" s="16"/>
      <c r="BN64" s="16"/>
      <c r="BO64" s="16"/>
      <c r="BP64" s="16"/>
      <c r="BQ64" s="16"/>
      <c r="BR6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4" s="16"/>
      <c r="BT64" s="16"/>
      <c r="BU64" s="16"/>
      <c r="BV64" s="16"/>
      <c r="BW64" s="16"/>
    </row>
    <row r="65" spans="1:75" ht="60" hidden="1">
      <c r="A65" s="165" t="s">
        <v>993</v>
      </c>
      <c r="B65" s="165" t="s">
        <v>1065</v>
      </c>
      <c r="C65" s="165" t="s">
        <v>1061</v>
      </c>
      <c r="D65" s="168" t="s">
        <v>1062</v>
      </c>
      <c r="E65"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5" s="168" t="str">
        <f>_xlfn.TEXTJOIN("; ",TRUE,Nahkampfwaffen[[#This Row],[Ausfall]:[Wuchtschlag]])</f>
        <v>Finte</v>
      </c>
      <c r="G65" s="255" t="s">
        <v>113</v>
      </c>
      <c r="H65" s="167"/>
      <c r="I65" s="167"/>
      <c r="J65" s="167"/>
      <c r="K65" s="167"/>
      <c r="L65" s="167">
        <f>IF(Nahkampfwaffen[[#This Row],[Waffenmeister: TP/KK / INI/GE]]="TP/KK",1,0)</f>
        <v>0</v>
      </c>
      <c r="M65" s="167">
        <f>IF(Nahkampfwaffen[[#This Row],[Waffenmeister: TP/KK / INI/GE]]="INI/GE",1,0)</f>
        <v>0</v>
      </c>
      <c r="N65" s="167"/>
      <c r="O65" s="167"/>
      <c r="P65" s="16"/>
      <c r="Q65" s="16">
        <f>15-5*(Nahkampfwaffen[[#This Row],[Waffenmeister: AT]]+Nahkampfwaffen[[#This Row],[Waffenmeister: PA]])-3*(Nahkampfwaffen[[#This Row],[Waffenmeister: INI]])-IF(Nahkampfwaffen[[#This Row],[Waffenmeister: TP/KK / INI/GE]]="TP/KK",2,0)</f>
        <v>15</v>
      </c>
      <c r="R6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5" s="16"/>
      <c r="AX65" s="16"/>
      <c r="AY65" s="16"/>
      <c r="AZ65" s="16"/>
      <c r="BA65" s="16"/>
      <c r="BB65" s="16"/>
      <c r="BC65" s="16"/>
      <c r="BD65" s="16"/>
      <c r="BE65" s="16"/>
      <c r="BF65" s="16"/>
      <c r="BG65" s="16"/>
      <c r="BH65" s="16"/>
      <c r="BI65" s="16"/>
      <c r="BJ65" s="16"/>
      <c r="BK65" s="16"/>
      <c r="BL65" s="16"/>
      <c r="BM65" s="16"/>
      <c r="BN65" s="16"/>
      <c r="BO65" s="16"/>
      <c r="BP65" s="16"/>
      <c r="BQ65" s="16"/>
      <c r="BR6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5" s="16"/>
      <c r="BT65" s="16"/>
      <c r="BU65" s="16"/>
      <c r="BV65" s="16"/>
      <c r="BW65" s="16"/>
    </row>
    <row r="66" spans="1:75" ht="60" hidden="1">
      <c r="A66" s="165" t="s">
        <v>993</v>
      </c>
      <c r="B66" s="165" t="s">
        <v>1066</v>
      </c>
      <c r="C66" s="165" t="s">
        <v>1061</v>
      </c>
      <c r="D66" s="168" t="s">
        <v>1062</v>
      </c>
      <c r="E66"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6" s="168" t="str">
        <f>_xlfn.TEXTJOIN("; ",TRUE,Nahkampfwaffen[[#This Row],[Ausfall]:[Wuchtschlag]])</f>
        <v>Finte</v>
      </c>
      <c r="G66" s="255" t="s">
        <v>113</v>
      </c>
      <c r="H66" s="167"/>
      <c r="I66" s="167"/>
      <c r="J66" s="167"/>
      <c r="K66" s="167"/>
      <c r="L66" s="167">
        <f>IF(Nahkampfwaffen[[#This Row],[Waffenmeister: TP/KK / INI/GE]]="TP/KK",1,0)</f>
        <v>0</v>
      </c>
      <c r="M66" s="167">
        <f>IF(Nahkampfwaffen[[#This Row],[Waffenmeister: TP/KK / INI/GE]]="INI/GE",1,0)</f>
        <v>0</v>
      </c>
      <c r="N66" s="167"/>
      <c r="O66" s="167"/>
      <c r="P66" s="16"/>
      <c r="Q66" s="16">
        <f>15-5*(Nahkampfwaffen[[#This Row],[Waffenmeister: AT]]+Nahkampfwaffen[[#This Row],[Waffenmeister: PA]])-3*(Nahkampfwaffen[[#This Row],[Waffenmeister: INI]])-IF(Nahkampfwaffen[[#This Row],[Waffenmeister: TP/KK / INI/GE]]="TP/KK",2,0)</f>
        <v>15</v>
      </c>
      <c r="R6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6" s="16"/>
      <c r="AX66" s="16"/>
      <c r="AY66" s="16"/>
      <c r="AZ66" s="16"/>
      <c r="BA66" s="16"/>
      <c r="BB66" s="16"/>
      <c r="BC66" s="16"/>
      <c r="BD66" s="16"/>
      <c r="BE66" s="16"/>
      <c r="BF66" s="16"/>
      <c r="BG66" s="16"/>
      <c r="BH66" s="16"/>
      <c r="BI66" s="16"/>
      <c r="BJ66" s="16"/>
      <c r="BK66" s="16"/>
      <c r="BL66" s="16"/>
      <c r="BM66" s="16"/>
      <c r="BN66" s="16"/>
      <c r="BO66" s="16"/>
      <c r="BP66" s="16"/>
      <c r="BQ66" s="16"/>
      <c r="BR6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6" s="16"/>
      <c r="BT66" s="16"/>
      <c r="BU66" s="16"/>
      <c r="BV66" s="16"/>
      <c r="BW66" s="16"/>
    </row>
    <row r="67" spans="1:75" ht="60" hidden="1">
      <c r="A67" s="165" t="s">
        <v>993</v>
      </c>
      <c r="B67" s="165" t="s">
        <v>1067</v>
      </c>
      <c r="C67" s="165" t="s">
        <v>1061</v>
      </c>
      <c r="D67" s="168" t="s">
        <v>1062</v>
      </c>
      <c r="E67"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7" s="168" t="str">
        <f>_xlfn.TEXTJOIN("; ",TRUE,Nahkampfwaffen[[#This Row],[Ausfall]:[Wuchtschlag]])</f>
        <v>Finte</v>
      </c>
      <c r="G67" s="255" t="s">
        <v>113</v>
      </c>
      <c r="H67" s="167"/>
      <c r="I67" s="167"/>
      <c r="J67" s="167"/>
      <c r="K67" s="167"/>
      <c r="L67" s="167">
        <f>IF(Nahkampfwaffen[[#This Row],[Waffenmeister: TP/KK / INI/GE]]="TP/KK",1,0)</f>
        <v>0</v>
      </c>
      <c r="M67" s="167">
        <f>IF(Nahkampfwaffen[[#This Row],[Waffenmeister: TP/KK / INI/GE]]="INI/GE",1,0)</f>
        <v>0</v>
      </c>
      <c r="N67" s="167"/>
      <c r="O67" s="167"/>
      <c r="P67" s="16"/>
      <c r="Q67" s="16">
        <f>15-5*(Nahkampfwaffen[[#This Row],[Waffenmeister: AT]]+Nahkampfwaffen[[#This Row],[Waffenmeister: PA]])-3*(Nahkampfwaffen[[#This Row],[Waffenmeister: INI]])-IF(Nahkampfwaffen[[#This Row],[Waffenmeister: TP/KK / INI/GE]]="TP/KK",2,0)</f>
        <v>15</v>
      </c>
      <c r="R6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7" s="16"/>
      <c r="AX67" s="16"/>
      <c r="AY67" s="16"/>
      <c r="AZ67" s="16"/>
      <c r="BA67" s="16"/>
      <c r="BB67" s="16"/>
      <c r="BC67" s="16"/>
      <c r="BD67" s="16"/>
      <c r="BE67" s="16"/>
      <c r="BF67" s="16"/>
      <c r="BG67" s="16"/>
      <c r="BH67" s="16"/>
      <c r="BI67" s="16"/>
      <c r="BJ67" s="16"/>
      <c r="BK67" s="16"/>
      <c r="BL67" s="16"/>
      <c r="BM67" s="16"/>
      <c r="BN67" s="16"/>
      <c r="BO67" s="16"/>
      <c r="BP67" s="16"/>
      <c r="BQ67" s="16"/>
      <c r="BR6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7" s="16"/>
      <c r="BT67" s="16"/>
      <c r="BU67" s="16"/>
      <c r="BV67" s="16"/>
      <c r="BW67" s="16"/>
    </row>
    <row r="68" spans="1:75" ht="60" hidden="1">
      <c r="A68" s="165" t="s">
        <v>993</v>
      </c>
      <c r="B68" s="165" t="s">
        <v>1068</v>
      </c>
      <c r="C68" s="165" t="s">
        <v>1061</v>
      </c>
      <c r="D68" s="168" t="s">
        <v>1062</v>
      </c>
      <c r="E68"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8" s="168" t="str">
        <f>_xlfn.TEXTJOIN("; ",TRUE,Nahkampfwaffen[[#This Row],[Ausfall]:[Wuchtschlag]])</f>
        <v>Finte</v>
      </c>
      <c r="G68" s="255" t="s">
        <v>113</v>
      </c>
      <c r="H68" s="167"/>
      <c r="I68" s="167"/>
      <c r="J68" s="167"/>
      <c r="K68" s="167"/>
      <c r="L68" s="167">
        <f>IF(Nahkampfwaffen[[#This Row],[Waffenmeister: TP/KK / INI/GE]]="TP/KK",1,0)</f>
        <v>0</v>
      </c>
      <c r="M68" s="167">
        <f>IF(Nahkampfwaffen[[#This Row],[Waffenmeister: TP/KK / INI/GE]]="INI/GE",1,0)</f>
        <v>0</v>
      </c>
      <c r="N68" s="167"/>
      <c r="O68" s="167"/>
      <c r="P68" s="16"/>
      <c r="Q68" s="16">
        <f>15-5*(Nahkampfwaffen[[#This Row],[Waffenmeister: AT]]+Nahkampfwaffen[[#This Row],[Waffenmeister: PA]])-3*(Nahkampfwaffen[[#This Row],[Waffenmeister: INI]])-IF(Nahkampfwaffen[[#This Row],[Waffenmeister: TP/KK / INI/GE]]="TP/KK",2,0)</f>
        <v>15</v>
      </c>
      <c r="R6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8" s="16"/>
      <c r="AX68" s="16"/>
      <c r="AY68" s="16"/>
      <c r="AZ68" s="16"/>
      <c r="BA68" s="16"/>
      <c r="BB68" s="16"/>
      <c r="BC68" s="16"/>
      <c r="BD68" s="16"/>
      <c r="BE68" s="16"/>
      <c r="BF68" s="16"/>
      <c r="BG68" s="16"/>
      <c r="BH68" s="16"/>
      <c r="BI68" s="16"/>
      <c r="BJ68" s="16"/>
      <c r="BK68" s="16"/>
      <c r="BL68" s="16"/>
      <c r="BM68" s="16"/>
      <c r="BN68" s="16"/>
      <c r="BO68" s="16"/>
      <c r="BP68" s="16"/>
      <c r="BQ68" s="16"/>
      <c r="BR6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8" s="16"/>
      <c r="BT68" s="16"/>
      <c r="BU68" s="16"/>
      <c r="BV68" s="16"/>
      <c r="BW68" s="16"/>
    </row>
    <row r="69" spans="1:75" ht="60" hidden="1">
      <c r="A69" s="165" t="s">
        <v>993</v>
      </c>
      <c r="B69" s="165" t="s">
        <v>1069</v>
      </c>
      <c r="C69" s="165" t="s">
        <v>1061</v>
      </c>
      <c r="D69" s="168" t="s">
        <v>1062</v>
      </c>
      <c r="E69"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69" s="168" t="str">
        <f>_xlfn.TEXTJOIN("; ",TRUE,Nahkampfwaffen[[#This Row],[Ausfall]:[Wuchtschlag]])</f>
        <v>Finte</v>
      </c>
      <c r="G69" s="255" t="s">
        <v>113</v>
      </c>
      <c r="H69" s="167"/>
      <c r="I69" s="167"/>
      <c r="J69" s="167"/>
      <c r="K69" s="167"/>
      <c r="L69" s="167">
        <f>IF(Nahkampfwaffen[[#This Row],[Waffenmeister: TP/KK / INI/GE]]="TP/KK",1,0)</f>
        <v>0</v>
      </c>
      <c r="M69" s="167">
        <f>IF(Nahkampfwaffen[[#This Row],[Waffenmeister: TP/KK / INI/GE]]="INI/GE",1,0)</f>
        <v>0</v>
      </c>
      <c r="N69" s="167"/>
      <c r="O69" s="167"/>
      <c r="P69" s="16"/>
      <c r="Q69" s="16">
        <f>15-5*(Nahkampfwaffen[[#This Row],[Waffenmeister: AT]]+Nahkampfwaffen[[#This Row],[Waffenmeister: PA]])-3*(Nahkampfwaffen[[#This Row],[Waffenmeister: INI]])-IF(Nahkampfwaffen[[#This Row],[Waffenmeister: TP/KK / INI/GE]]="TP/KK",2,0)</f>
        <v>15</v>
      </c>
      <c r="R6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6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6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6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6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6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6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6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6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6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6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6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6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6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6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6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6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6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6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6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6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6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6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6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6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6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6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6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6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6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6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69" s="16"/>
      <c r="AX69" s="16"/>
      <c r="AY69" s="16"/>
      <c r="AZ69" s="16"/>
      <c r="BA69" s="16"/>
      <c r="BB69" s="16"/>
      <c r="BC69" s="16"/>
      <c r="BD69" s="16"/>
      <c r="BE69" s="16"/>
      <c r="BF69" s="16"/>
      <c r="BG69" s="16"/>
      <c r="BH69" s="16"/>
      <c r="BI69" s="16"/>
      <c r="BJ69" s="16"/>
      <c r="BK69" s="16"/>
      <c r="BL69" s="16"/>
      <c r="BM69" s="16"/>
      <c r="BN69" s="16"/>
      <c r="BO69" s="16"/>
      <c r="BP69" s="16"/>
      <c r="BQ69" s="16"/>
      <c r="BR6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69" s="16"/>
      <c r="BT69" s="16"/>
      <c r="BU69" s="16"/>
      <c r="BV69" s="16"/>
      <c r="BW69" s="16"/>
    </row>
    <row r="70" spans="1:75" ht="60" hidden="1">
      <c r="A70" s="165" t="s">
        <v>993</v>
      </c>
      <c r="B70" s="165" t="s">
        <v>1070</v>
      </c>
      <c r="C70" s="165" t="s">
        <v>1061</v>
      </c>
      <c r="D70" s="168" t="s">
        <v>1062</v>
      </c>
      <c r="E70"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70" s="168" t="str">
        <f>_xlfn.TEXTJOIN("; ",TRUE,Nahkampfwaffen[[#This Row],[Ausfall]:[Wuchtschlag]])</f>
        <v>Finte</v>
      </c>
      <c r="G70" s="255" t="s">
        <v>113</v>
      </c>
      <c r="H70" s="167"/>
      <c r="I70" s="167"/>
      <c r="J70" s="167"/>
      <c r="K70" s="167"/>
      <c r="L70" s="167">
        <f>IF(Nahkampfwaffen[[#This Row],[Waffenmeister: TP/KK / INI/GE]]="TP/KK",1,0)</f>
        <v>0</v>
      </c>
      <c r="M70" s="167">
        <f>IF(Nahkampfwaffen[[#This Row],[Waffenmeister: TP/KK / INI/GE]]="INI/GE",1,0)</f>
        <v>0</v>
      </c>
      <c r="N70" s="167"/>
      <c r="O70" s="167"/>
      <c r="P70" s="16"/>
      <c r="Q70" s="16">
        <f>15-5*(Nahkampfwaffen[[#This Row],[Waffenmeister: AT]]+Nahkampfwaffen[[#This Row],[Waffenmeister: PA]])-3*(Nahkampfwaffen[[#This Row],[Waffenmeister: INI]])-IF(Nahkampfwaffen[[#This Row],[Waffenmeister: TP/KK / INI/GE]]="TP/KK",2,0)</f>
        <v>15</v>
      </c>
      <c r="R7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0" s="16"/>
      <c r="AX70" s="16"/>
      <c r="AY70" s="16"/>
      <c r="AZ70" s="16"/>
      <c r="BA70" s="16"/>
      <c r="BB70" s="16"/>
      <c r="BC70" s="16"/>
      <c r="BD70" s="16"/>
      <c r="BE70" s="16"/>
      <c r="BF70" s="16"/>
      <c r="BG70" s="16"/>
      <c r="BH70" s="16"/>
      <c r="BI70" s="16"/>
      <c r="BJ70" s="16"/>
      <c r="BK70" s="16"/>
      <c r="BL70" s="16"/>
      <c r="BM70" s="16"/>
      <c r="BN70" s="16"/>
      <c r="BO70" s="16"/>
      <c r="BP70" s="16"/>
      <c r="BQ70" s="16"/>
      <c r="BR7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0" s="16"/>
      <c r="BT70" s="16"/>
      <c r="BU70" s="16"/>
      <c r="BV70" s="16"/>
      <c r="BW70" s="16"/>
    </row>
    <row r="71" spans="1:75" ht="60" hidden="1">
      <c r="A71" s="165" t="s">
        <v>993</v>
      </c>
      <c r="B71" s="165" t="s">
        <v>1071</v>
      </c>
      <c r="C71" s="165" t="s">
        <v>1061</v>
      </c>
      <c r="D71" s="168" t="s">
        <v>1062</v>
      </c>
      <c r="E71"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71" s="168" t="str">
        <f>_xlfn.TEXTJOIN("; ",TRUE,Nahkampfwaffen[[#This Row],[Ausfall]:[Wuchtschlag]])</f>
        <v>Finte</v>
      </c>
      <c r="G71" s="255" t="s">
        <v>113</v>
      </c>
      <c r="H71" s="167"/>
      <c r="I71" s="167"/>
      <c r="J71" s="167"/>
      <c r="K71" s="167"/>
      <c r="L71" s="167">
        <f>IF(Nahkampfwaffen[[#This Row],[Waffenmeister: TP/KK / INI/GE]]="TP/KK",1,0)</f>
        <v>0</v>
      </c>
      <c r="M71" s="167">
        <f>IF(Nahkampfwaffen[[#This Row],[Waffenmeister: TP/KK / INI/GE]]="INI/GE",1,0)</f>
        <v>0</v>
      </c>
      <c r="N71" s="167"/>
      <c r="O71" s="167"/>
      <c r="P71" s="16"/>
      <c r="Q71" s="16">
        <f>15-5*(Nahkampfwaffen[[#This Row],[Waffenmeister: AT]]+Nahkampfwaffen[[#This Row],[Waffenmeister: PA]])-3*(Nahkampfwaffen[[#This Row],[Waffenmeister: INI]])-IF(Nahkampfwaffen[[#This Row],[Waffenmeister: TP/KK / INI/GE]]="TP/KK",2,0)</f>
        <v>15</v>
      </c>
      <c r="R7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1" s="16"/>
      <c r="AX71" s="16"/>
      <c r="AY71" s="16"/>
      <c r="AZ71" s="16"/>
      <c r="BA71" s="16"/>
      <c r="BB71" s="16"/>
      <c r="BC71" s="16"/>
      <c r="BD71" s="16"/>
      <c r="BE71" s="16"/>
      <c r="BF71" s="16"/>
      <c r="BG71" s="16"/>
      <c r="BH71" s="16"/>
      <c r="BI71" s="16"/>
      <c r="BJ71" s="16"/>
      <c r="BK71" s="16"/>
      <c r="BL71" s="16"/>
      <c r="BM71" s="16"/>
      <c r="BN71" s="16"/>
      <c r="BO71" s="16"/>
      <c r="BP71" s="16"/>
      <c r="BQ71" s="16"/>
      <c r="BR7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1" s="16"/>
      <c r="BT71" s="16"/>
      <c r="BU71" s="16"/>
      <c r="BV71" s="16"/>
      <c r="BW71" s="16"/>
    </row>
    <row r="72" spans="1:75" ht="60" hidden="1">
      <c r="A72" s="165" t="s">
        <v>993</v>
      </c>
      <c r="B72" s="165" t="s">
        <v>1072</v>
      </c>
      <c r="C72" s="165" t="s">
        <v>1061</v>
      </c>
      <c r="D72" s="168" t="s">
        <v>1062</v>
      </c>
      <c r="E72"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72" s="168" t="str">
        <f>_xlfn.TEXTJOIN("; ",TRUE,Nahkampfwaffen[[#This Row],[Ausfall]:[Wuchtschlag]])</f>
        <v>Finte</v>
      </c>
      <c r="G72" s="255" t="s">
        <v>113</v>
      </c>
      <c r="H72" s="167"/>
      <c r="I72" s="167"/>
      <c r="J72" s="167"/>
      <c r="K72" s="167"/>
      <c r="L72" s="167">
        <f>IF(Nahkampfwaffen[[#This Row],[Waffenmeister: TP/KK / INI/GE]]="TP/KK",1,0)</f>
        <v>0</v>
      </c>
      <c r="M72" s="167">
        <f>IF(Nahkampfwaffen[[#This Row],[Waffenmeister: TP/KK / INI/GE]]="INI/GE",1,0)</f>
        <v>0</v>
      </c>
      <c r="N72" s="167"/>
      <c r="O72" s="167"/>
      <c r="P72" s="16"/>
      <c r="Q72" s="16">
        <f>15-5*(Nahkampfwaffen[[#This Row],[Waffenmeister: AT]]+Nahkampfwaffen[[#This Row],[Waffenmeister: PA]])-3*(Nahkampfwaffen[[#This Row],[Waffenmeister: INI]])-IF(Nahkampfwaffen[[#This Row],[Waffenmeister: TP/KK / INI/GE]]="TP/KK",2,0)</f>
        <v>15</v>
      </c>
      <c r="R7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2" s="16"/>
      <c r="AX72" s="16"/>
      <c r="AY72" s="16"/>
      <c r="AZ72" s="16"/>
      <c r="BA72" s="16"/>
      <c r="BB72" s="16"/>
      <c r="BC72" s="16"/>
      <c r="BD72" s="16"/>
      <c r="BE72" s="16"/>
      <c r="BF72" s="16"/>
      <c r="BG72" s="16"/>
      <c r="BH72" s="16"/>
      <c r="BI72" s="16"/>
      <c r="BJ72" s="16"/>
      <c r="BK72" s="16"/>
      <c r="BL72" s="16"/>
      <c r="BM72" s="16"/>
      <c r="BN72" s="16"/>
      <c r="BO72" s="16"/>
      <c r="BP72" s="16"/>
      <c r="BQ72" s="16"/>
      <c r="BR7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2" s="16"/>
      <c r="BT72" s="16"/>
      <c r="BU72" s="16"/>
      <c r="BV72" s="16"/>
      <c r="BW72" s="16"/>
    </row>
    <row r="73" spans="1:75" ht="60" hidden="1">
      <c r="A73" s="165" t="s">
        <v>993</v>
      </c>
      <c r="B73" s="165" t="s">
        <v>1073</v>
      </c>
      <c r="C73" s="165" t="s">
        <v>1061</v>
      </c>
      <c r="D73" s="168" t="s">
        <v>1062</v>
      </c>
      <c r="E73" s="168" t="str">
        <f>IF(ISTEXT(Nahkampfwaffen[[#This Row],[Waffenmeister: Manöver]]),_xlfn.CONCAT(Nahkampfwaffen[[#This Row],[Mögliche Manöver]]," ",Nahkampfwaffen[[#This Row],[Waffenmeister: Manöver]],","),Nahkampfwaffen[[#This Row],[Mögliche Manöver]])</f>
        <v>Ausfall, Befreiungsschlag, Binden, Seitenwechsel, Offensiver Distanzklassenwechsel, Defensiver Kampfstil, Offensiver Kampfstil, Entwaffnen, Finte, Formationsparade, Gegenhalten, Halbschwert, Hammerschlag, Klingensturm, Klingenwand,Meisterparade, Niederwerfen, Sturmangriff, Windmühle, Wuchtschlag,</v>
      </c>
      <c r="F73" s="168" t="str">
        <f>_xlfn.TEXTJOIN("; ",TRUE,Nahkampfwaffen[[#This Row],[Ausfall]:[Wuchtschlag]])</f>
        <v>Finte</v>
      </c>
      <c r="G73" s="255" t="s">
        <v>113</v>
      </c>
      <c r="H73" s="167"/>
      <c r="I73" s="167"/>
      <c r="J73" s="167"/>
      <c r="K73" s="167"/>
      <c r="L73" s="167">
        <f>IF(Nahkampfwaffen[[#This Row],[Waffenmeister: TP/KK / INI/GE]]="TP/KK",1,0)</f>
        <v>0</v>
      </c>
      <c r="M73" s="167">
        <f>IF(Nahkampfwaffen[[#This Row],[Waffenmeister: TP/KK / INI/GE]]="INI/GE",1,0)</f>
        <v>0</v>
      </c>
      <c r="N73" s="167"/>
      <c r="O73" s="167"/>
      <c r="P73" s="16"/>
      <c r="Q73" s="16">
        <f>15-5*(Nahkampfwaffen[[#This Row],[Waffenmeister: AT]]+Nahkampfwaffen[[#This Row],[Waffenmeister: PA]])-3*(Nahkampfwaffen[[#This Row],[Waffenmeister: INI]])-IF(Nahkampfwaffen[[#This Row],[Waffenmeister: TP/KK / INI/GE]]="TP/KK",2,0)</f>
        <v>15</v>
      </c>
      <c r="R7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3" s="16"/>
      <c r="AX73" s="16"/>
      <c r="AY73" s="16"/>
      <c r="AZ73" s="16"/>
      <c r="BA73" s="16"/>
      <c r="BB73" s="16"/>
      <c r="BC73" s="16"/>
      <c r="BD73" s="16"/>
      <c r="BE73" s="16"/>
      <c r="BF73" s="16"/>
      <c r="BG73" s="16"/>
      <c r="BH73" s="16"/>
      <c r="BI73" s="16"/>
      <c r="BJ73" s="16"/>
      <c r="BK73" s="16"/>
      <c r="BL73" s="16"/>
      <c r="BM73" s="16"/>
      <c r="BN73" s="16"/>
      <c r="BO73" s="16"/>
      <c r="BP73" s="16"/>
      <c r="BQ73" s="16"/>
      <c r="BR7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3" s="16"/>
      <c r="BT73" s="16"/>
      <c r="BU73" s="16"/>
      <c r="BV73" s="16"/>
      <c r="BW73" s="16"/>
    </row>
    <row r="74" spans="1:75" ht="60" hidden="1">
      <c r="A74" s="165" t="s">
        <v>993</v>
      </c>
      <c r="B74" s="165" t="s">
        <v>1074</v>
      </c>
      <c r="C74" s="165" t="s">
        <v>1075</v>
      </c>
      <c r="D74" s="168" t="s">
        <v>1076</v>
      </c>
      <c r="E74"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Klingensturm, Klingenwand, Meisterparade, Niederwerfen, Stumpfer Schlag, Sturmangriff, Windmühle, Wuchtschlag,</v>
      </c>
      <c r="F74" s="168" t="str">
        <f>_xlfn.TEXTJOIN("; ",TRUE,Nahkampfwaffen[[#This Row],[Ausfall]:[Wuchtschlag]])</f>
        <v>Finte</v>
      </c>
      <c r="G74" s="255" t="s">
        <v>429</v>
      </c>
      <c r="H74" s="167"/>
      <c r="I74" s="167"/>
      <c r="J74" s="167"/>
      <c r="K74" s="167"/>
      <c r="L74" s="167">
        <f>IF(Nahkampfwaffen[[#This Row],[Waffenmeister: TP/KK / INI/GE]]="TP/KK",1,0)</f>
        <v>0</v>
      </c>
      <c r="M74" s="167">
        <f>IF(Nahkampfwaffen[[#This Row],[Waffenmeister: TP/KK / INI/GE]]="INI/GE",1,0)</f>
        <v>0</v>
      </c>
      <c r="N74" s="167"/>
      <c r="O74" s="167"/>
      <c r="P74" s="16"/>
      <c r="Q74" s="16">
        <f>15-5*(Nahkampfwaffen[[#This Row],[Waffenmeister: AT]]+Nahkampfwaffen[[#This Row],[Waffenmeister: PA]])-3*(Nahkampfwaffen[[#This Row],[Waffenmeister: INI]])-IF(Nahkampfwaffen[[#This Row],[Waffenmeister: TP/KK / INI/GE]]="TP/KK",2,0)</f>
        <v>15</v>
      </c>
      <c r="R7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4" s="16"/>
      <c r="AX74" s="16"/>
      <c r="AY74" s="16"/>
      <c r="AZ74" s="16"/>
      <c r="BA74" s="16"/>
      <c r="BB74" s="16"/>
      <c r="BC74" s="16"/>
      <c r="BD74" s="16"/>
      <c r="BE74" s="16"/>
      <c r="BF74" s="16"/>
      <c r="BG74" s="16"/>
      <c r="BH74" s="16"/>
      <c r="BI74" s="16"/>
      <c r="BJ74" s="16"/>
      <c r="BK74" s="16"/>
      <c r="BL74" s="16"/>
      <c r="BM74" s="16"/>
      <c r="BN74" s="16"/>
      <c r="BO74" s="16"/>
      <c r="BP74" s="16"/>
      <c r="BQ74" s="16"/>
      <c r="BR7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4" s="16"/>
      <c r="BT74" s="16"/>
      <c r="BU74" s="16"/>
      <c r="BV74" s="16"/>
      <c r="BW74" s="16"/>
    </row>
    <row r="75" spans="1:75" ht="60" hidden="1">
      <c r="A75" s="165" t="s">
        <v>993</v>
      </c>
      <c r="B75" s="165" t="s">
        <v>1077</v>
      </c>
      <c r="C75" s="165" t="s">
        <v>1075</v>
      </c>
      <c r="D75" s="168" t="s">
        <v>1076</v>
      </c>
      <c r="E75"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Klingensturm, Klingenwand, Meisterparade, Niederwerfen, Stumpfer Schlag, Sturmangriff, Windmühle, Wuchtschlag,</v>
      </c>
      <c r="F75" s="168" t="str">
        <f>_xlfn.TEXTJOIN("; ",TRUE,Nahkampfwaffen[[#This Row],[Ausfall]:[Wuchtschlag]])</f>
        <v>Finte</v>
      </c>
      <c r="G75" s="255" t="s">
        <v>429</v>
      </c>
      <c r="H75" s="167"/>
      <c r="I75" s="167"/>
      <c r="J75" s="167"/>
      <c r="K75" s="167"/>
      <c r="L75" s="167">
        <f>IF(Nahkampfwaffen[[#This Row],[Waffenmeister: TP/KK / INI/GE]]="TP/KK",1,0)</f>
        <v>0</v>
      </c>
      <c r="M75" s="167">
        <f>IF(Nahkampfwaffen[[#This Row],[Waffenmeister: TP/KK / INI/GE]]="INI/GE",1,0)</f>
        <v>0</v>
      </c>
      <c r="N75" s="167"/>
      <c r="O75" s="167"/>
      <c r="P75" s="16"/>
      <c r="Q75" s="16">
        <f>15-5*(Nahkampfwaffen[[#This Row],[Waffenmeister: AT]]+Nahkampfwaffen[[#This Row],[Waffenmeister: PA]])-3*(Nahkampfwaffen[[#This Row],[Waffenmeister: INI]])-IF(Nahkampfwaffen[[#This Row],[Waffenmeister: TP/KK / INI/GE]]="TP/KK",2,0)</f>
        <v>15</v>
      </c>
      <c r="R7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7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5" s="16"/>
      <c r="AX75" s="16"/>
      <c r="AY75" s="16"/>
      <c r="AZ75" s="16"/>
      <c r="BA75" s="16"/>
      <c r="BB75" s="16"/>
      <c r="BC75" s="16"/>
      <c r="BD75" s="16"/>
      <c r="BE75" s="16"/>
      <c r="BF75" s="16"/>
      <c r="BG75" s="16"/>
      <c r="BH75" s="16"/>
      <c r="BI75" s="16"/>
      <c r="BJ75" s="16"/>
      <c r="BK75" s="16"/>
      <c r="BL75" s="16"/>
      <c r="BM75" s="16"/>
      <c r="BN75" s="16"/>
      <c r="BO75" s="16"/>
      <c r="BP75" s="16"/>
      <c r="BQ75" s="16"/>
      <c r="BR7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5" s="16"/>
      <c r="BT75" s="16"/>
      <c r="BU75" s="16"/>
      <c r="BV75" s="16"/>
      <c r="BW75" s="16"/>
    </row>
    <row r="76" spans="1:75" ht="30" hidden="1">
      <c r="A76" s="165" t="s">
        <v>993</v>
      </c>
      <c r="B76" s="165" t="s">
        <v>1078</v>
      </c>
      <c r="C76" s="165" t="s">
        <v>1079</v>
      </c>
      <c r="D76" s="168" t="s">
        <v>1080</v>
      </c>
      <c r="E76"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76" s="168" t="str">
        <f>_xlfn.TEXTJOIN("; ",TRUE,Nahkampfwaffen[[#This Row],[Ausfall]:[Wuchtschlag]])</f>
        <v/>
      </c>
      <c r="G76" s="255" t="s">
        <v>113</v>
      </c>
      <c r="H76" s="167"/>
      <c r="I76" s="167"/>
      <c r="J76" s="167"/>
      <c r="K76" s="167"/>
      <c r="L76" s="167">
        <f>IF(Nahkampfwaffen[[#This Row],[Waffenmeister: TP/KK / INI/GE]]="TP/KK",1,0)</f>
        <v>0</v>
      </c>
      <c r="M76" s="167">
        <f>IF(Nahkampfwaffen[[#This Row],[Waffenmeister: TP/KK / INI/GE]]="INI/GE",1,0)</f>
        <v>0</v>
      </c>
      <c r="N76" s="167"/>
      <c r="O76" s="167"/>
      <c r="P76" s="16"/>
      <c r="Q76" s="16">
        <f>15-5*(Nahkampfwaffen[[#This Row],[Waffenmeister: AT]]+Nahkampfwaffen[[#This Row],[Waffenmeister: PA]])-3*(Nahkampfwaffen[[#This Row],[Waffenmeister: INI]])-IF(Nahkampfwaffen[[#This Row],[Waffenmeister: TP/KK / INI/GE]]="TP/KK",2,0)</f>
        <v>15</v>
      </c>
      <c r="R7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7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6" s="16"/>
      <c r="AX76" s="16"/>
      <c r="AY76" s="16"/>
      <c r="AZ76" s="16"/>
      <c r="BA76" s="16"/>
      <c r="BB76" s="16"/>
      <c r="BC76" s="16"/>
      <c r="BD76" s="16"/>
      <c r="BE76" s="16"/>
      <c r="BF76" s="16"/>
      <c r="BG76" s="16"/>
      <c r="BH76" s="16"/>
      <c r="BI76" s="16"/>
      <c r="BJ76" s="16"/>
      <c r="BK76" s="16"/>
      <c r="BL76" s="16"/>
      <c r="BM76" s="16"/>
      <c r="BN76" s="16"/>
      <c r="BO76" s="16"/>
      <c r="BP76" s="16"/>
      <c r="BQ76" s="16"/>
      <c r="BR7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6" s="16"/>
      <c r="BT76" s="16"/>
      <c r="BU76" s="16"/>
      <c r="BV76" s="16"/>
      <c r="BW76" s="16"/>
    </row>
    <row r="77" spans="1:75" ht="30" hidden="1">
      <c r="A77" s="165" t="s">
        <v>993</v>
      </c>
      <c r="B77" s="165" t="s">
        <v>1081</v>
      </c>
      <c r="C77" s="165" t="s">
        <v>1079</v>
      </c>
      <c r="D77" s="168" t="s">
        <v>1080</v>
      </c>
      <c r="E77"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77" s="168" t="str">
        <f>_xlfn.TEXTJOIN("; ",TRUE,Nahkampfwaffen[[#This Row],[Ausfall]:[Wuchtschlag]])</f>
        <v/>
      </c>
      <c r="G77" s="255" t="s">
        <v>113</v>
      </c>
      <c r="H77" s="167"/>
      <c r="I77" s="167"/>
      <c r="J77" s="167"/>
      <c r="K77" s="167"/>
      <c r="L77" s="167">
        <f>IF(Nahkampfwaffen[[#This Row],[Waffenmeister: TP/KK / INI/GE]]="TP/KK",1,0)</f>
        <v>0</v>
      </c>
      <c r="M77" s="167">
        <f>IF(Nahkampfwaffen[[#This Row],[Waffenmeister: TP/KK / INI/GE]]="INI/GE",1,0)</f>
        <v>0</v>
      </c>
      <c r="N77" s="167"/>
      <c r="O77" s="167"/>
      <c r="P77" s="16"/>
      <c r="Q77" s="16">
        <f>15-5*(Nahkampfwaffen[[#This Row],[Waffenmeister: AT]]+Nahkampfwaffen[[#This Row],[Waffenmeister: PA]])-3*(Nahkampfwaffen[[#This Row],[Waffenmeister: INI]])-IF(Nahkampfwaffen[[#This Row],[Waffenmeister: TP/KK / INI/GE]]="TP/KK",2,0)</f>
        <v>15</v>
      </c>
      <c r="R7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7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7" s="16"/>
      <c r="AX77" s="16"/>
      <c r="AY77" s="16"/>
      <c r="AZ77" s="16"/>
      <c r="BA77" s="16"/>
      <c r="BB77" s="16"/>
      <c r="BC77" s="16"/>
      <c r="BD77" s="16"/>
      <c r="BE77" s="16"/>
      <c r="BF77" s="16"/>
      <c r="BG77" s="16"/>
      <c r="BH77" s="16"/>
      <c r="BI77" s="16"/>
      <c r="BJ77" s="16"/>
      <c r="BK77" s="16"/>
      <c r="BL77" s="16"/>
      <c r="BM77" s="16"/>
      <c r="BN77" s="16"/>
      <c r="BO77" s="16"/>
      <c r="BP77" s="16"/>
      <c r="BQ77" s="16"/>
      <c r="BR7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7" s="16"/>
      <c r="BT77" s="16"/>
      <c r="BU77" s="16"/>
      <c r="BV77" s="16"/>
      <c r="BW77" s="16"/>
    </row>
    <row r="78" spans="1:75" ht="30" hidden="1">
      <c r="A78" s="165" t="s">
        <v>993</v>
      </c>
      <c r="B78" s="165" t="s">
        <v>1082</v>
      </c>
      <c r="C78" s="165" t="s">
        <v>1079</v>
      </c>
      <c r="D78" s="168" t="s">
        <v>1080</v>
      </c>
      <c r="E78"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78" s="168" t="str">
        <f>_xlfn.TEXTJOIN("; ",TRUE,Nahkampfwaffen[[#This Row],[Ausfall]:[Wuchtschlag]])</f>
        <v/>
      </c>
      <c r="G78" s="255" t="s">
        <v>113</v>
      </c>
      <c r="H78" s="167"/>
      <c r="I78" s="167"/>
      <c r="J78" s="167"/>
      <c r="K78" s="167"/>
      <c r="L78" s="167">
        <f>IF(Nahkampfwaffen[[#This Row],[Waffenmeister: TP/KK / INI/GE]]="TP/KK",1,0)</f>
        <v>0</v>
      </c>
      <c r="M78" s="167">
        <f>IF(Nahkampfwaffen[[#This Row],[Waffenmeister: TP/KK / INI/GE]]="INI/GE",1,0)</f>
        <v>0</v>
      </c>
      <c r="N78" s="167"/>
      <c r="O78" s="167"/>
      <c r="P78" s="16"/>
      <c r="Q78" s="16">
        <f>15-5*(Nahkampfwaffen[[#This Row],[Waffenmeister: AT]]+Nahkampfwaffen[[#This Row],[Waffenmeister: PA]])-3*(Nahkampfwaffen[[#This Row],[Waffenmeister: INI]])-IF(Nahkampfwaffen[[#This Row],[Waffenmeister: TP/KK / INI/GE]]="TP/KK",2,0)</f>
        <v>15</v>
      </c>
      <c r="R7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7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8" s="16"/>
      <c r="AX78" s="16"/>
      <c r="AY78" s="16"/>
      <c r="AZ78" s="16"/>
      <c r="BA78" s="16"/>
      <c r="BB78" s="16"/>
      <c r="BC78" s="16"/>
      <c r="BD78" s="16"/>
      <c r="BE78" s="16"/>
      <c r="BF78" s="16"/>
      <c r="BG78" s="16"/>
      <c r="BH78" s="16"/>
      <c r="BI78" s="16"/>
      <c r="BJ78" s="16"/>
      <c r="BK78" s="16"/>
      <c r="BL78" s="16"/>
      <c r="BM78" s="16"/>
      <c r="BN78" s="16"/>
      <c r="BO78" s="16"/>
      <c r="BP78" s="16"/>
      <c r="BQ78" s="16"/>
      <c r="BR7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8" s="16"/>
      <c r="BT78" s="16"/>
      <c r="BU78" s="16"/>
      <c r="BV78" s="16"/>
      <c r="BW78" s="16"/>
    </row>
    <row r="79" spans="1:75" ht="30" hidden="1">
      <c r="A79" s="165" t="s">
        <v>993</v>
      </c>
      <c r="B79" s="165" t="s">
        <v>1083</v>
      </c>
      <c r="C79" s="165" t="s">
        <v>1079</v>
      </c>
      <c r="D79" s="168" t="s">
        <v>1080</v>
      </c>
      <c r="E79"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79" s="168" t="str">
        <f>_xlfn.TEXTJOIN("; ",TRUE,Nahkampfwaffen[[#This Row],[Ausfall]:[Wuchtschlag]])</f>
        <v/>
      </c>
      <c r="G79" s="255" t="s">
        <v>113</v>
      </c>
      <c r="H79" s="167"/>
      <c r="I79" s="167"/>
      <c r="J79" s="167"/>
      <c r="K79" s="167"/>
      <c r="L79" s="167">
        <f>IF(Nahkampfwaffen[[#This Row],[Waffenmeister: TP/KK / INI/GE]]="TP/KK",1,0)</f>
        <v>0</v>
      </c>
      <c r="M79" s="167">
        <f>IF(Nahkampfwaffen[[#This Row],[Waffenmeister: TP/KK / INI/GE]]="INI/GE",1,0)</f>
        <v>0</v>
      </c>
      <c r="N79" s="167"/>
      <c r="O79" s="167"/>
      <c r="P79" s="16"/>
      <c r="Q79" s="16">
        <f>15-5*(Nahkampfwaffen[[#This Row],[Waffenmeister: AT]]+Nahkampfwaffen[[#This Row],[Waffenmeister: PA]])-3*(Nahkampfwaffen[[#This Row],[Waffenmeister: INI]])-IF(Nahkampfwaffen[[#This Row],[Waffenmeister: TP/KK / INI/GE]]="TP/KK",2,0)</f>
        <v>15</v>
      </c>
      <c r="R7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7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7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7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7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7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7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7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7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7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7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7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7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7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7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7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7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7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7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7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7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7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7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7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7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7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7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7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7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7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7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79" s="16"/>
      <c r="AX79" s="16"/>
      <c r="AY79" s="16"/>
      <c r="AZ79" s="16"/>
      <c r="BA79" s="16"/>
      <c r="BB79" s="16"/>
      <c r="BC79" s="16"/>
      <c r="BD79" s="16"/>
      <c r="BE79" s="16"/>
      <c r="BF79" s="16"/>
      <c r="BG79" s="16"/>
      <c r="BH79" s="16"/>
      <c r="BI79" s="16"/>
      <c r="BJ79" s="16"/>
      <c r="BK79" s="16"/>
      <c r="BL79" s="16"/>
      <c r="BM79" s="16"/>
      <c r="BN79" s="16"/>
      <c r="BO79" s="16"/>
      <c r="BP79" s="16"/>
      <c r="BQ79" s="16"/>
      <c r="BR7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79" s="16"/>
      <c r="BT79" s="16"/>
      <c r="BU79" s="16"/>
      <c r="BV79" s="16"/>
      <c r="BW79" s="16"/>
    </row>
    <row r="80" spans="1:75" ht="30" hidden="1">
      <c r="A80" s="165" t="s">
        <v>993</v>
      </c>
      <c r="B80" s="165" t="s">
        <v>1084</v>
      </c>
      <c r="C80" s="165" t="s">
        <v>1079</v>
      </c>
      <c r="D80" s="168" t="s">
        <v>1080</v>
      </c>
      <c r="E80"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80" s="168" t="str">
        <f>_xlfn.TEXTJOIN("; ",TRUE,Nahkampfwaffen[[#This Row],[Ausfall]:[Wuchtschlag]])</f>
        <v/>
      </c>
      <c r="G80" s="255" t="s">
        <v>113</v>
      </c>
      <c r="H80" s="167"/>
      <c r="I80" s="167"/>
      <c r="J80" s="167"/>
      <c r="K80" s="167"/>
      <c r="L80" s="167">
        <f>IF(Nahkampfwaffen[[#This Row],[Waffenmeister: TP/KK / INI/GE]]="TP/KK",1,0)</f>
        <v>0</v>
      </c>
      <c r="M80" s="167">
        <f>IF(Nahkampfwaffen[[#This Row],[Waffenmeister: TP/KK / INI/GE]]="INI/GE",1,0)</f>
        <v>0</v>
      </c>
      <c r="N80" s="167"/>
      <c r="O80" s="167"/>
      <c r="P80" s="16"/>
      <c r="Q80" s="16">
        <f>15-5*(Nahkampfwaffen[[#This Row],[Waffenmeister: AT]]+Nahkampfwaffen[[#This Row],[Waffenmeister: PA]])-3*(Nahkampfwaffen[[#This Row],[Waffenmeister: INI]])-IF(Nahkampfwaffen[[#This Row],[Waffenmeister: TP/KK / INI/GE]]="TP/KK",2,0)</f>
        <v>15</v>
      </c>
      <c r="R8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0" s="16"/>
      <c r="AX80" s="16"/>
      <c r="AY80" s="16"/>
      <c r="AZ80" s="16"/>
      <c r="BA80" s="16"/>
      <c r="BB80" s="16"/>
      <c r="BC80" s="16"/>
      <c r="BD80" s="16"/>
      <c r="BE80" s="16"/>
      <c r="BF80" s="16"/>
      <c r="BG80" s="16"/>
      <c r="BH80" s="16"/>
      <c r="BI80" s="16"/>
      <c r="BJ80" s="16"/>
      <c r="BK80" s="16"/>
      <c r="BL80" s="16"/>
      <c r="BM80" s="16"/>
      <c r="BN80" s="16"/>
      <c r="BO80" s="16"/>
      <c r="BP80" s="16"/>
      <c r="BQ80" s="16"/>
      <c r="BR8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0" s="16"/>
      <c r="BT80" s="16"/>
      <c r="BU80" s="16"/>
      <c r="BV80" s="16"/>
      <c r="BW80" s="16"/>
    </row>
    <row r="81" spans="1:75" ht="30" hidden="1">
      <c r="A81" s="165" t="s">
        <v>993</v>
      </c>
      <c r="B81" s="165" t="s">
        <v>1085</v>
      </c>
      <c r="C81" s="165" t="s">
        <v>1079</v>
      </c>
      <c r="D81" s="168" t="s">
        <v>1080</v>
      </c>
      <c r="E81"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81" s="168" t="str">
        <f>_xlfn.TEXTJOIN("; ",TRUE,Nahkampfwaffen[[#This Row],[Ausfall]:[Wuchtschlag]])</f>
        <v/>
      </c>
      <c r="G81" s="255" t="s">
        <v>113</v>
      </c>
      <c r="H81" s="167"/>
      <c r="I81" s="167"/>
      <c r="J81" s="167"/>
      <c r="K81" s="167"/>
      <c r="L81" s="167">
        <f>IF(Nahkampfwaffen[[#This Row],[Waffenmeister: TP/KK / INI/GE]]="TP/KK",1,0)</f>
        <v>0</v>
      </c>
      <c r="M81" s="167">
        <f>IF(Nahkampfwaffen[[#This Row],[Waffenmeister: TP/KK / INI/GE]]="INI/GE",1,0)</f>
        <v>0</v>
      </c>
      <c r="N81" s="167"/>
      <c r="O81" s="167"/>
      <c r="P81" s="16"/>
      <c r="Q81" s="16">
        <f>15-5*(Nahkampfwaffen[[#This Row],[Waffenmeister: AT]]+Nahkampfwaffen[[#This Row],[Waffenmeister: PA]])-3*(Nahkampfwaffen[[#This Row],[Waffenmeister: INI]])-IF(Nahkampfwaffen[[#This Row],[Waffenmeister: TP/KK / INI/GE]]="TP/KK",2,0)</f>
        <v>15</v>
      </c>
      <c r="R8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1" s="16"/>
      <c r="AX81" s="16"/>
      <c r="AY81" s="16"/>
      <c r="AZ81" s="16"/>
      <c r="BA81" s="16"/>
      <c r="BB81" s="16"/>
      <c r="BC81" s="16"/>
      <c r="BD81" s="16"/>
      <c r="BE81" s="16"/>
      <c r="BF81" s="16"/>
      <c r="BG81" s="16"/>
      <c r="BH81" s="16"/>
      <c r="BI81" s="16"/>
      <c r="BJ81" s="16"/>
      <c r="BK81" s="16"/>
      <c r="BL81" s="16"/>
      <c r="BM81" s="16"/>
      <c r="BN81" s="16"/>
      <c r="BO81" s="16"/>
      <c r="BP81" s="16"/>
      <c r="BQ81" s="16"/>
      <c r="BR8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1" s="16"/>
      <c r="BT81" s="16"/>
      <c r="BU81" s="16"/>
      <c r="BV81" s="16"/>
      <c r="BW81" s="16"/>
    </row>
    <row r="82" spans="1:75" hidden="1">
      <c r="A82" s="165" t="s">
        <v>993</v>
      </c>
      <c r="B82" s="165" t="s">
        <v>1086</v>
      </c>
      <c r="C82" s="165" t="s">
        <v>1087</v>
      </c>
      <c r="D82" s="168" t="s">
        <v>1088</v>
      </c>
      <c r="E82" s="168" t="str">
        <f>IF(ISTEXT(Nahkampfwaffen[[#This Row],[Waffenmeister: Manöver]]),_xlfn.CONCAT(Nahkampfwaffen[[#This Row],[Mögliche Manöver]]," ",Nahkampfwaffen[[#This Row],[Waffenmeister: Manöver]],","),Nahkampfwaffen[[#This Row],[Mögliche Manöver]])</f>
        <v>angesagter Lanzenangriff,</v>
      </c>
      <c r="F82" s="168" t="str">
        <f>_xlfn.TEXTJOIN("; ",TRUE,Nahkampfwaffen[[#This Row],[Ausfall]:[Wuchtschlag]])</f>
        <v/>
      </c>
      <c r="G82" s="255" t="s">
        <v>429</v>
      </c>
      <c r="H82" s="167"/>
      <c r="I82" s="167"/>
      <c r="J82" s="167"/>
      <c r="K82" s="167"/>
      <c r="L82" s="167">
        <f>IF(Nahkampfwaffen[[#This Row],[Waffenmeister: TP/KK / INI/GE]]="TP/KK",1,0)</f>
        <v>0</v>
      </c>
      <c r="M82" s="167">
        <f>IF(Nahkampfwaffen[[#This Row],[Waffenmeister: TP/KK / INI/GE]]="INI/GE",1,0)</f>
        <v>0</v>
      </c>
      <c r="N82" s="167"/>
      <c r="O82" s="167"/>
      <c r="P82" s="16"/>
      <c r="Q82" s="16">
        <f>15-5*(Nahkampfwaffen[[#This Row],[Waffenmeister: AT]]+Nahkampfwaffen[[#This Row],[Waffenmeister: PA]])-3*(Nahkampfwaffen[[#This Row],[Waffenmeister: INI]])-IF(Nahkampfwaffen[[#This Row],[Waffenmeister: TP/KK / INI/GE]]="TP/KK",2,0)</f>
        <v>15</v>
      </c>
      <c r="R8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2" s="16"/>
      <c r="AX82" s="16"/>
      <c r="AY82" s="16"/>
      <c r="AZ82" s="16"/>
      <c r="BA82" s="16"/>
      <c r="BB82" s="16"/>
      <c r="BC82" s="16"/>
      <c r="BD82" s="16"/>
      <c r="BE82" s="16"/>
      <c r="BF82" s="16"/>
      <c r="BG82" s="16"/>
      <c r="BH82" s="16"/>
      <c r="BI82" s="16"/>
      <c r="BJ82" s="16"/>
      <c r="BK82" s="16"/>
      <c r="BL82" s="16"/>
      <c r="BM82" s="16"/>
      <c r="BN82" s="16"/>
      <c r="BO82" s="16"/>
      <c r="BP82" s="16"/>
      <c r="BQ82" s="16"/>
      <c r="BR8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2" s="16"/>
      <c r="BT82" s="16"/>
      <c r="BU82" s="16"/>
      <c r="BV82" s="16"/>
      <c r="BW82" s="16"/>
    </row>
    <row r="83" spans="1:75" hidden="1">
      <c r="A83" s="165" t="s">
        <v>993</v>
      </c>
      <c r="B83" s="165" t="s">
        <v>1089</v>
      </c>
      <c r="C83" s="165" t="s">
        <v>1087</v>
      </c>
      <c r="D83" s="168" t="s">
        <v>1088</v>
      </c>
      <c r="E83" s="168" t="str">
        <f>IF(ISTEXT(Nahkampfwaffen[[#This Row],[Waffenmeister: Manöver]]),_xlfn.CONCAT(Nahkampfwaffen[[#This Row],[Mögliche Manöver]]," ",Nahkampfwaffen[[#This Row],[Waffenmeister: Manöver]],","),Nahkampfwaffen[[#This Row],[Mögliche Manöver]])</f>
        <v>angesagter Lanzenangriff,</v>
      </c>
      <c r="F83" s="168" t="str">
        <f>_xlfn.TEXTJOIN("; ",TRUE,Nahkampfwaffen[[#This Row],[Ausfall]:[Wuchtschlag]])</f>
        <v/>
      </c>
      <c r="G83" s="255" t="s">
        <v>429</v>
      </c>
      <c r="H83" s="167"/>
      <c r="I83" s="167"/>
      <c r="J83" s="167"/>
      <c r="K83" s="167"/>
      <c r="L83" s="167">
        <f>IF(Nahkampfwaffen[[#This Row],[Waffenmeister: TP/KK / INI/GE]]="TP/KK",1,0)</f>
        <v>0</v>
      </c>
      <c r="M83" s="167">
        <f>IF(Nahkampfwaffen[[#This Row],[Waffenmeister: TP/KK / INI/GE]]="INI/GE",1,0)</f>
        <v>0</v>
      </c>
      <c r="N83" s="167"/>
      <c r="O83" s="167"/>
      <c r="P83" s="16"/>
      <c r="Q83" s="16">
        <f>15-5*(Nahkampfwaffen[[#This Row],[Waffenmeister: AT]]+Nahkampfwaffen[[#This Row],[Waffenmeister: PA]])-3*(Nahkampfwaffen[[#This Row],[Waffenmeister: INI]])-IF(Nahkampfwaffen[[#This Row],[Waffenmeister: TP/KK / INI/GE]]="TP/KK",2,0)</f>
        <v>15</v>
      </c>
      <c r="R8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3" s="16"/>
      <c r="AX83" s="16"/>
      <c r="AY83" s="16"/>
      <c r="AZ83" s="16"/>
      <c r="BA83" s="16"/>
      <c r="BB83" s="16"/>
      <c r="BC83" s="16"/>
      <c r="BD83" s="16"/>
      <c r="BE83" s="16"/>
      <c r="BF83" s="16"/>
      <c r="BG83" s="16"/>
      <c r="BH83" s="16"/>
      <c r="BI83" s="16"/>
      <c r="BJ83" s="16"/>
      <c r="BK83" s="16"/>
      <c r="BL83" s="16"/>
      <c r="BM83" s="16"/>
      <c r="BN83" s="16"/>
      <c r="BO83" s="16"/>
      <c r="BP83" s="16"/>
      <c r="BQ83" s="16"/>
      <c r="BR8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3" s="16"/>
      <c r="BT83" s="16"/>
      <c r="BU83" s="16"/>
      <c r="BV83" s="16"/>
      <c r="BW83" s="16"/>
    </row>
    <row r="84" spans="1:75" hidden="1">
      <c r="A84" s="165" t="s">
        <v>993</v>
      </c>
      <c r="B84" s="165" t="s">
        <v>1090</v>
      </c>
      <c r="C84" s="165" t="s">
        <v>1087</v>
      </c>
      <c r="D84" s="168" t="s">
        <v>1088</v>
      </c>
      <c r="E84" s="168" t="str">
        <f>IF(ISTEXT(Nahkampfwaffen[[#This Row],[Waffenmeister: Manöver]]),_xlfn.CONCAT(Nahkampfwaffen[[#This Row],[Mögliche Manöver]]," ",Nahkampfwaffen[[#This Row],[Waffenmeister: Manöver]],","),Nahkampfwaffen[[#This Row],[Mögliche Manöver]])</f>
        <v>angesagter Lanzenangriff,</v>
      </c>
      <c r="F84" s="168" t="str">
        <f>_xlfn.TEXTJOIN("; ",TRUE,Nahkampfwaffen[[#This Row],[Ausfall]:[Wuchtschlag]])</f>
        <v/>
      </c>
      <c r="G84" s="255" t="s">
        <v>429</v>
      </c>
      <c r="H84" s="167"/>
      <c r="I84" s="167"/>
      <c r="J84" s="167"/>
      <c r="K84" s="167"/>
      <c r="L84" s="167">
        <f>IF(Nahkampfwaffen[[#This Row],[Waffenmeister: TP/KK / INI/GE]]="TP/KK",1,0)</f>
        <v>0</v>
      </c>
      <c r="M84" s="167">
        <f>IF(Nahkampfwaffen[[#This Row],[Waffenmeister: TP/KK / INI/GE]]="INI/GE",1,0)</f>
        <v>0</v>
      </c>
      <c r="N84" s="167"/>
      <c r="O84" s="167"/>
      <c r="P84" s="16"/>
      <c r="Q84" s="16">
        <f>15-5*(Nahkampfwaffen[[#This Row],[Waffenmeister: AT]]+Nahkampfwaffen[[#This Row],[Waffenmeister: PA]])-3*(Nahkampfwaffen[[#This Row],[Waffenmeister: INI]])-IF(Nahkampfwaffen[[#This Row],[Waffenmeister: TP/KK / INI/GE]]="TP/KK",2,0)</f>
        <v>15</v>
      </c>
      <c r="R8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4" s="16"/>
      <c r="AX84" s="16"/>
      <c r="AY84" s="16"/>
      <c r="AZ84" s="16"/>
      <c r="BA84" s="16"/>
      <c r="BB84" s="16"/>
      <c r="BC84" s="16"/>
      <c r="BD84" s="16"/>
      <c r="BE84" s="16"/>
      <c r="BF84" s="16"/>
      <c r="BG84" s="16"/>
      <c r="BH84" s="16"/>
      <c r="BI84" s="16"/>
      <c r="BJ84" s="16"/>
      <c r="BK84" s="16"/>
      <c r="BL84" s="16"/>
      <c r="BM84" s="16"/>
      <c r="BN84" s="16"/>
      <c r="BO84" s="16"/>
      <c r="BP84" s="16"/>
      <c r="BQ84" s="16"/>
      <c r="BR8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4" s="16"/>
      <c r="BT84" s="16"/>
      <c r="BU84" s="16"/>
      <c r="BV84" s="16"/>
      <c r="BW84" s="16"/>
    </row>
    <row r="85" spans="1:75" hidden="1">
      <c r="A85" s="165" t="s">
        <v>993</v>
      </c>
      <c r="B85" s="165" t="s">
        <v>1091</v>
      </c>
      <c r="C85" s="165" t="s">
        <v>1091</v>
      </c>
      <c r="D85" s="168" t="s">
        <v>1092</v>
      </c>
      <c r="E85" s="168" t="str">
        <f>IF(ISTEXT(Nahkampfwaffen[[#This Row],[Waffenmeister: Manöver]]),_xlfn.CONCAT(Nahkampfwaffen[[#This Row],[Mögliche Manöver]]," ",Nahkampfwaffen[[#This Row],[Waffenmeister: Manöver]],","),Nahkampfwaffen[[#This Row],[Mögliche Manöver]])</f>
        <v>Entwaffnen, Umreißen,</v>
      </c>
      <c r="F85" s="168" t="str">
        <f>_xlfn.TEXTJOIN("; ",TRUE,Nahkampfwaffen[[#This Row],[Ausfall]:[Wuchtschlag]])</f>
        <v/>
      </c>
      <c r="G85" s="255" t="s">
        <v>429</v>
      </c>
      <c r="H85" s="167"/>
      <c r="I85" s="167"/>
      <c r="J85" s="167"/>
      <c r="K85" s="167"/>
      <c r="L85" s="167">
        <f>IF(Nahkampfwaffen[[#This Row],[Waffenmeister: TP/KK / INI/GE]]="TP/KK",1,0)</f>
        <v>0</v>
      </c>
      <c r="M85" s="167">
        <f>IF(Nahkampfwaffen[[#This Row],[Waffenmeister: TP/KK / INI/GE]]="INI/GE",1,0)</f>
        <v>0</v>
      </c>
      <c r="N85" s="167"/>
      <c r="O85" s="167"/>
      <c r="P85" s="16"/>
      <c r="Q85" s="16">
        <f>15-5*(Nahkampfwaffen[[#This Row],[Waffenmeister: AT]]+Nahkampfwaffen[[#This Row],[Waffenmeister: PA]])-3*(Nahkampfwaffen[[#This Row],[Waffenmeister: INI]])-IF(Nahkampfwaffen[[#This Row],[Waffenmeister: TP/KK / INI/GE]]="TP/KK",2,0)</f>
        <v>15</v>
      </c>
      <c r="R8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8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5" s="16"/>
      <c r="AX85" s="16"/>
      <c r="AY85" s="16"/>
      <c r="AZ85" s="16"/>
      <c r="BA85" s="16"/>
      <c r="BB85" s="16"/>
      <c r="BC85" s="16"/>
      <c r="BD85" s="16"/>
      <c r="BE85" s="16"/>
      <c r="BF85" s="16"/>
      <c r="BG85" s="16"/>
      <c r="BH85" s="16"/>
      <c r="BI85" s="16"/>
      <c r="BJ85" s="16"/>
      <c r="BK85" s="16"/>
      <c r="BL85" s="16"/>
      <c r="BM85" s="16"/>
      <c r="BN85" s="16"/>
      <c r="BO85" s="16"/>
      <c r="BP85" s="16"/>
      <c r="BQ85" s="16"/>
      <c r="BR8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5" s="16"/>
      <c r="BT85" s="16"/>
      <c r="BU85" s="16"/>
      <c r="BV85" s="16"/>
      <c r="BW85" s="16"/>
    </row>
    <row r="86" spans="1:75" ht="60">
      <c r="A86" s="165" t="s">
        <v>993</v>
      </c>
      <c r="B86" s="165" t="s">
        <v>1093</v>
      </c>
      <c r="C86" s="165" t="s">
        <v>1093</v>
      </c>
      <c r="D86" s="168" t="s">
        <v>1094</v>
      </c>
      <c r="E86"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86" s="168" t="str">
        <f>_xlfn.TEXTJOIN("; ",TRUE,Nahkampfwaffen[[#This Row],[Ausfall]:[Wuchtschlag]])</f>
        <v>Finte</v>
      </c>
      <c r="G86" s="255" t="s">
        <v>113</v>
      </c>
      <c r="H86" s="167"/>
      <c r="I86" s="167"/>
      <c r="J86" s="167"/>
      <c r="K86" s="167"/>
      <c r="L86" s="167">
        <f>IF(Nahkampfwaffen[[#This Row],[Waffenmeister: TP/KK / INI/GE]]="TP/KK",1,0)</f>
        <v>0</v>
      </c>
      <c r="M86" s="167">
        <f>IF(Nahkampfwaffen[[#This Row],[Waffenmeister: TP/KK / INI/GE]]="INI/GE",1,0)</f>
        <v>0</v>
      </c>
      <c r="N86" s="167"/>
      <c r="O86" s="167"/>
      <c r="P86" s="16"/>
      <c r="Q86" s="16">
        <f>15-5*(Nahkampfwaffen[[#This Row],[Waffenmeister: AT]]+Nahkampfwaffen[[#This Row],[Waffenmeister: PA]])-3*(Nahkampfwaffen[[#This Row],[Waffenmeister: INI]])-IF(Nahkampfwaffen[[#This Row],[Waffenmeister: TP/KK / INI/GE]]="TP/KK",2,0)</f>
        <v>15</v>
      </c>
      <c r="R8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8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6" s="16"/>
      <c r="AX86" s="16"/>
      <c r="AY86" s="16"/>
      <c r="AZ86" s="16"/>
      <c r="BA86" s="16"/>
      <c r="BB86" s="16"/>
      <c r="BC86" s="16"/>
      <c r="BD86" s="16"/>
      <c r="BE86" s="16"/>
      <c r="BF86" s="16"/>
      <c r="BG86" s="16"/>
      <c r="BH86" s="16"/>
      <c r="BI86" s="16"/>
      <c r="BJ86" s="16"/>
      <c r="BK86" s="16"/>
      <c r="BL86" s="16"/>
      <c r="BM86" s="16"/>
      <c r="BN86" s="16"/>
      <c r="BO86" s="16"/>
      <c r="BP86" s="16"/>
      <c r="BQ86" s="16"/>
      <c r="BR8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6" s="16"/>
      <c r="BT86" s="16"/>
      <c r="BU86" s="16"/>
      <c r="BV86" s="16"/>
      <c r="BW86" s="16"/>
    </row>
    <row r="87" spans="1:75" ht="75">
      <c r="A87" s="165" t="s">
        <v>993</v>
      </c>
      <c r="B87" s="165" t="s">
        <v>1095</v>
      </c>
      <c r="C87" s="165" t="s">
        <v>1093</v>
      </c>
      <c r="D87" s="168" t="s">
        <v>1096</v>
      </c>
      <c r="E87"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Entwaffnen (Meisterlich), Finte, Gegenhalten, Klingensturm, Klingenwand, Meisterparade, Stumpfer Schlag, Sturmangriff, Windmühle, Wuchtschlag, Binden+2, Betäubungsschlag+2,Entwaffnen+4,</v>
      </c>
      <c r="F87" s="168" t="str">
        <f>_xlfn.TEXTJOIN("; ",TRUE,Nahkampfwaffen[[#This Row],[Ausfall]:[Wuchtschlag]])</f>
        <v>Finte</v>
      </c>
      <c r="G87" s="255" t="s">
        <v>113</v>
      </c>
      <c r="H87" s="167"/>
      <c r="I87" s="167">
        <v>1</v>
      </c>
      <c r="J87" s="167"/>
      <c r="K87" s="167"/>
      <c r="L87" s="167">
        <f>IF(Nahkampfwaffen[[#This Row],[Waffenmeister: TP/KK / INI/GE]]="TP/KK",1,0)</f>
        <v>0</v>
      </c>
      <c r="M87" s="167">
        <f>IF(Nahkampfwaffen[[#This Row],[Waffenmeister: TP/KK / INI/GE]]="INI/GE",1,0)</f>
        <v>0</v>
      </c>
      <c r="N87" s="167" t="s">
        <v>1097</v>
      </c>
      <c r="O87" s="167"/>
      <c r="P87" s="16"/>
      <c r="Q87" s="16">
        <f>15-5*(Nahkampfwaffen[[#This Row],[Waffenmeister: AT]]+Nahkampfwaffen[[#This Row],[Waffenmeister: PA]])-3*(Nahkampfwaffen[[#This Row],[Waffenmeister: INI]])-IF(Nahkampfwaffen[[#This Row],[Waffenmeister: TP/KK / INI/GE]]="TP/KK",2,0)</f>
        <v>10</v>
      </c>
      <c r="R8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8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7" s="16"/>
      <c r="AX87" s="16"/>
      <c r="AY87" s="16"/>
      <c r="AZ87" s="16"/>
      <c r="BA87" s="16"/>
      <c r="BB87" s="16"/>
      <c r="BC87" s="16"/>
      <c r="BD87" s="16"/>
      <c r="BE87" s="16"/>
      <c r="BF87" s="16"/>
      <c r="BG87" s="16"/>
      <c r="BH87" s="16"/>
      <c r="BI87" s="16"/>
      <c r="BJ87" s="16"/>
      <c r="BK87" s="16"/>
      <c r="BL87" s="16"/>
      <c r="BM87" s="16"/>
      <c r="BN87" s="16"/>
      <c r="BO87" s="16"/>
      <c r="BP87" s="16"/>
      <c r="BQ87" s="16"/>
      <c r="BR8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7" s="16"/>
      <c r="BT87" s="16"/>
      <c r="BU87" s="16"/>
      <c r="BV87" s="16"/>
      <c r="BW87" s="16"/>
    </row>
    <row r="88" spans="1:75" ht="60">
      <c r="A88" s="165" t="s">
        <v>993</v>
      </c>
      <c r="B88" s="165" t="s">
        <v>1098</v>
      </c>
      <c r="C88" s="165" t="s">
        <v>1093</v>
      </c>
      <c r="D88" s="168" t="s">
        <v>1099</v>
      </c>
      <c r="E88"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v>
      </c>
      <c r="F88" s="168" t="str">
        <f>_xlfn.TEXTJOIN("; ",TRUE,Nahkampfwaffen[[#This Row],[Ausfall]:[Wuchtschlag]])</f>
        <v>Finte</v>
      </c>
      <c r="G88" s="255" t="s">
        <v>113</v>
      </c>
      <c r="H88" s="167"/>
      <c r="I88" s="167"/>
      <c r="J88" s="167"/>
      <c r="K88" s="167"/>
      <c r="L88" s="167">
        <f>IF(Nahkampfwaffen[[#This Row],[Waffenmeister: TP/KK / INI/GE]]="TP/KK",1,0)</f>
        <v>0</v>
      </c>
      <c r="M88" s="167">
        <f>IF(Nahkampfwaffen[[#This Row],[Waffenmeister: TP/KK / INI/GE]]="INI/GE",1,0)</f>
        <v>0</v>
      </c>
      <c r="N88" s="167"/>
      <c r="O88" s="167"/>
      <c r="P88" s="16"/>
      <c r="Q88" s="16">
        <f>15-5*(Nahkampfwaffen[[#This Row],[Waffenmeister: AT]]+Nahkampfwaffen[[#This Row],[Waffenmeister: PA]])-3*(Nahkampfwaffen[[#This Row],[Waffenmeister: INI]])-IF(Nahkampfwaffen[[#This Row],[Waffenmeister: TP/KK / INI/GE]]="TP/KK",2,0)</f>
        <v>15</v>
      </c>
      <c r="R8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8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8" s="16"/>
      <c r="AX88" s="16"/>
      <c r="AY88" s="16"/>
      <c r="AZ88" s="16"/>
      <c r="BA88" s="16"/>
      <c r="BB88" s="16"/>
      <c r="BC88" s="16"/>
      <c r="BD88" s="16"/>
      <c r="BE88" s="16"/>
      <c r="BF88" s="16"/>
      <c r="BG88" s="16"/>
      <c r="BH88" s="16"/>
      <c r="BI88" s="16"/>
      <c r="BJ88" s="16"/>
      <c r="BK88" s="16"/>
      <c r="BL88" s="16"/>
      <c r="BM88" s="16"/>
      <c r="BN88" s="16"/>
      <c r="BO88" s="16"/>
      <c r="BP88" s="16"/>
      <c r="BQ88" s="16"/>
      <c r="BR8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8" s="16"/>
      <c r="BT88" s="16"/>
      <c r="BU88" s="16"/>
      <c r="BV88" s="16"/>
      <c r="BW88" s="16"/>
    </row>
    <row r="89" spans="1:75" ht="60">
      <c r="A89" s="165" t="s">
        <v>993</v>
      </c>
      <c r="B89" s="165" t="s">
        <v>1100</v>
      </c>
      <c r="C89" s="165" t="s">
        <v>1093</v>
      </c>
      <c r="D89" s="168" t="s">
        <v>1094</v>
      </c>
      <c r="E89"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89" s="168" t="str">
        <f>_xlfn.TEXTJOIN("; ",TRUE,Nahkampfwaffen[[#This Row],[Ausfall]:[Wuchtschlag]])</f>
        <v>Finte</v>
      </c>
      <c r="G89" s="255" t="s">
        <v>113</v>
      </c>
      <c r="H89" s="167"/>
      <c r="I89" s="167"/>
      <c r="J89" s="167"/>
      <c r="K89" s="167"/>
      <c r="L89" s="167">
        <f>IF(Nahkampfwaffen[[#This Row],[Waffenmeister: TP/KK / INI/GE]]="TP/KK",1,0)</f>
        <v>0</v>
      </c>
      <c r="M89" s="167">
        <f>IF(Nahkampfwaffen[[#This Row],[Waffenmeister: TP/KK / INI/GE]]="INI/GE",1,0)</f>
        <v>0</v>
      </c>
      <c r="N89" s="167"/>
      <c r="O89" s="167"/>
      <c r="P89" s="16"/>
      <c r="Q89" s="16">
        <f>15-5*(Nahkampfwaffen[[#This Row],[Waffenmeister: AT]]+Nahkampfwaffen[[#This Row],[Waffenmeister: PA]])-3*(Nahkampfwaffen[[#This Row],[Waffenmeister: INI]])-IF(Nahkampfwaffen[[#This Row],[Waffenmeister: TP/KK / INI/GE]]="TP/KK",2,0)</f>
        <v>15</v>
      </c>
      <c r="R8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8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8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8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8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8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8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8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8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8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8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8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8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8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8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8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8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8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8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8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8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8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8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8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8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8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8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8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8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8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8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89" s="16"/>
      <c r="AX89" s="16"/>
      <c r="AY89" s="16"/>
      <c r="AZ89" s="16"/>
      <c r="BA89" s="16"/>
      <c r="BB89" s="16"/>
      <c r="BC89" s="16"/>
      <c r="BD89" s="16"/>
      <c r="BE89" s="16"/>
      <c r="BF89" s="16"/>
      <c r="BG89" s="16"/>
      <c r="BH89" s="16"/>
      <c r="BI89" s="16"/>
      <c r="BJ89" s="16"/>
      <c r="BK89" s="16"/>
      <c r="BL89" s="16"/>
      <c r="BM89" s="16"/>
      <c r="BN89" s="16"/>
      <c r="BO89" s="16"/>
      <c r="BP89" s="16"/>
      <c r="BQ89" s="16"/>
      <c r="BR8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89" s="16"/>
      <c r="BT89" s="16"/>
      <c r="BU89" s="16"/>
      <c r="BV89" s="16"/>
      <c r="BW89" s="16"/>
    </row>
    <row r="90" spans="1:75" ht="60">
      <c r="A90" s="165" t="s">
        <v>993</v>
      </c>
      <c r="B90" s="165" t="s">
        <v>1101</v>
      </c>
      <c r="C90" s="165" t="s">
        <v>1093</v>
      </c>
      <c r="D90" s="168" t="s">
        <v>1099</v>
      </c>
      <c r="E90"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v>
      </c>
      <c r="F90" s="168" t="str">
        <f>_xlfn.TEXTJOIN("; ",TRUE,Nahkampfwaffen[[#This Row],[Ausfall]:[Wuchtschlag]])</f>
        <v>Finte</v>
      </c>
      <c r="G90" s="255" t="s">
        <v>113</v>
      </c>
      <c r="H90" s="167"/>
      <c r="I90" s="167"/>
      <c r="J90" s="167"/>
      <c r="K90" s="167"/>
      <c r="L90" s="167">
        <f>IF(Nahkampfwaffen[[#This Row],[Waffenmeister: TP/KK / INI/GE]]="TP/KK",1,0)</f>
        <v>0</v>
      </c>
      <c r="M90" s="167">
        <f>IF(Nahkampfwaffen[[#This Row],[Waffenmeister: TP/KK / INI/GE]]="INI/GE",1,0)</f>
        <v>0</v>
      </c>
      <c r="N90" s="167"/>
      <c r="O90" s="167"/>
      <c r="P90" s="16"/>
      <c r="Q90" s="16">
        <f>15-5*(Nahkampfwaffen[[#This Row],[Waffenmeister: AT]]+Nahkampfwaffen[[#This Row],[Waffenmeister: PA]])-3*(Nahkampfwaffen[[#This Row],[Waffenmeister: INI]])-IF(Nahkampfwaffen[[#This Row],[Waffenmeister: TP/KK / INI/GE]]="TP/KK",2,0)</f>
        <v>15</v>
      </c>
      <c r="R9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0" s="16"/>
      <c r="AX90" s="16"/>
      <c r="AY90" s="16"/>
      <c r="AZ90" s="16"/>
      <c r="BA90" s="16"/>
      <c r="BB90" s="16"/>
      <c r="BC90" s="16"/>
      <c r="BD90" s="16"/>
      <c r="BE90" s="16"/>
      <c r="BF90" s="16"/>
      <c r="BG90" s="16"/>
      <c r="BH90" s="16"/>
      <c r="BI90" s="16"/>
      <c r="BJ90" s="16"/>
      <c r="BK90" s="16"/>
      <c r="BL90" s="16"/>
      <c r="BM90" s="16"/>
      <c r="BN90" s="16"/>
      <c r="BO90" s="16"/>
      <c r="BP90" s="16"/>
      <c r="BQ90" s="16"/>
      <c r="BR9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0" s="16"/>
      <c r="BT90" s="16"/>
      <c r="BU90" s="16"/>
      <c r="BV90" s="16"/>
      <c r="BW90" s="16"/>
    </row>
    <row r="91" spans="1:75" ht="60">
      <c r="A91" s="165" t="s">
        <v>993</v>
      </c>
      <c r="B91" s="165" t="s">
        <v>1102</v>
      </c>
      <c r="C91" s="165" t="s">
        <v>1093</v>
      </c>
      <c r="D91" s="168" t="s">
        <v>1099</v>
      </c>
      <c r="E91"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v>
      </c>
      <c r="F91" s="168" t="str">
        <f>_xlfn.TEXTJOIN("; ",TRUE,Nahkampfwaffen[[#This Row],[Ausfall]:[Wuchtschlag]])</f>
        <v>Finte</v>
      </c>
      <c r="G91" s="255" t="s">
        <v>113</v>
      </c>
      <c r="H91" s="167"/>
      <c r="I91" s="167"/>
      <c r="J91" s="167"/>
      <c r="K91" s="167"/>
      <c r="L91" s="167">
        <f>IF(Nahkampfwaffen[[#This Row],[Waffenmeister: TP/KK / INI/GE]]="TP/KK",1,0)</f>
        <v>0</v>
      </c>
      <c r="M91" s="167">
        <f>IF(Nahkampfwaffen[[#This Row],[Waffenmeister: TP/KK / INI/GE]]="INI/GE",1,0)</f>
        <v>0</v>
      </c>
      <c r="N91" s="167"/>
      <c r="O91" s="167"/>
      <c r="P91" s="16"/>
      <c r="Q91" s="16">
        <f>15-5*(Nahkampfwaffen[[#This Row],[Waffenmeister: AT]]+Nahkampfwaffen[[#This Row],[Waffenmeister: PA]])-3*(Nahkampfwaffen[[#This Row],[Waffenmeister: INI]])-IF(Nahkampfwaffen[[#This Row],[Waffenmeister: TP/KK / INI/GE]]="TP/KK",2,0)</f>
        <v>15</v>
      </c>
      <c r="R9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1" s="16"/>
      <c r="AX91" s="16"/>
      <c r="AY91" s="16"/>
      <c r="AZ91" s="16"/>
      <c r="BA91" s="16"/>
      <c r="BB91" s="16"/>
      <c r="BC91" s="16"/>
      <c r="BD91" s="16"/>
      <c r="BE91" s="16"/>
      <c r="BF91" s="16"/>
      <c r="BG91" s="16"/>
      <c r="BH91" s="16"/>
      <c r="BI91" s="16"/>
      <c r="BJ91" s="16"/>
      <c r="BK91" s="16"/>
      <c r="BL91" s="16"/>
      <c r="BM91" s="16"/>
      <c r="BN91" s="16"/>
      <c r="BO91" s="16"/>
      <c r="BP91" s="16"/>
      <c r="BQ91" s="16"/>
      <c r="BR9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1" s="16"/>
      <c r="BT91" s="16"/>
      <c r="BU91" s="16"/>
      <c r="BV91" s="16"/>
      <c r="BW91" s="16"/>
    </row>
    <row r="92" spans="1:75" ht="60">
      <c r="A92" s="165" t="s">
        <v>993</v>
      </c>
      <c r="B92" s="165" t="s">
        <v>1006</v>
      </c>
      <c r="C92" s="165" t="s">
        <v>1093</v>
      </c>
      <c r="D92" s="168" t="s">
        <v>1094</v>
      </c>
      <c r="E92"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2" s="168" t="str">
        <f>_xlfn.TEXTJOIN("; ",TRUE,Nahkampfwaffen[[#This Row],[Ausfall]:[Wuchtschlag]])</f>
        <v>Finte</v>
      </c>
      <c r="G92" s="255" t="s">
        <v>113</v>
      </c>
      <c r="H92" s="167"/>
      <c r="I92" s="167"/>
      <c r="J92" s="167"/>
      <c r="K92" s="167"/>
      <c r="L92" s="167">
        <f>IF(Nahkampfwaffen[[#This Row],[Waffenmeister: TP/KK / INI/GE]]="TP/KK",1,0)</f>
        <v>0</v>
      </c>
      <c r="M92" s="167">
        <f>IF(Nahkampfwaffen[[#This Row],[Waffenmeister: TP/KK / INI/GE]]="INI/GE",1,0)</f>
        <v>0</v>
      </c>
      <c r="N92" s="167"/>
      <c r="O92" s="167"/>
      <c r="P92" s="16"/>
      <c r="Q92" s="16">
        <f>15-5*(Nahkampfwaffen[[#This Row],[Waffenmeister: AT]]+Nahkampfwaffen[[#This Row],[Waffenmeister: PA]])-3*(Nahkampfwaffen[[#This Row],[Waffenmeister: INI]])-IF(Nahkampfwaffen[[#This Row],[Waffenmeister: TP/KK / INI/GE]]="TP/KK",2,0)</f>
        <v>15</v>
      </c>
      <c r="R9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2" s="16"/>
      <c r="AX92" s="16"/>
      <c r="AY92" s="16"/>
      <c r="AZ92" s="16"/>
      <c r="BA92" s="16"/>
      <c r="BB92" s="16"/>
      <c r="BC92" s="16"/>
      <c r="BD92" s="16"/>
      <c r="BE92" s="16"/>
      <c r="BF92" s="16"/>
      <c r="BG92" s="16"/>
      <c r="BH92" s="16"/>
      <c r="BI92" s="16"/>
      <c r="BJ92" s="16"/>
      <c r="BK92" s="16"/>
      <c r="BL92" s="16"/>
      <c r="BM92" s="16"/>
      <c r="BN92" s="16"/>
      <c r="BO92" s="16"/>
      <c r="BP92" s="16"/>
      <c r="BQ92" s="16"/>
      <c r="BR9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2" s="16"/>
      <c r="BT92" s="16"/>
      <c r="BU92" s="16"/>
      <c r="BV92" s="16"/>
      <c r="BW92" s="16"/>
    </row>
    <row r="93" spans="1:75" ht="60">
      <c r="A93" s="165" t="s">
        <v>993</v>
      </c>
      <c r="B93" s="165" t="s">
        <v>1103</v>
      </c>
      <c r="C93" s="165" t="s">
        <v>1093</v>
      </c>
      <c r="D93" s="168" t="s">
        <v>1094</v>
      </c>
      <c r="E93"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3" s="168" t="str">
        <f>_xlfn.TEXTJOIN("; ",TRUE,Nahkampfwaffen[[#This Row],[Ausfall]:[Wuchtschlag]])</f>
        <v>Finte</v>
      </c>
      <c r="G93" s="255" t="s">
        <v>113</v>
      </c>
      <c r="H93" s="167"/>
      <c r="I93" s="167"/>
      <c r="J93" s="167"/>
      <c r="K93" s="167"/>
      <c r="L93" s="167">
        <f>IF(Nahkampfwaffen[[#This Row],[Waffenmeister: TP/KK / INI/GE]]="TP/KK",1,0)</f>
        <v>0</v>
      </c>
      <c r="M93" s="167">
        <f>IF(Nahkampfwaffen[[#This Row],[Waffenmeister: TP/KK / INI/GE]]="INI/GE",1,0)</f>
        <v>0</v>
      </c>
      <c r="N93" s="167"/>
      <c r="O93" s="167"/>
      <c r="P93" s="16"/>
      <c r="Q93" s="16">
        <f>15-5*(Nahkampfwaffen[[#This Row],[Waffenmeister: AT]]+Nahkampfwaffen[[#This Row],[Waffenmeister: PA]])-3*(Nahkampfwaffen[[#This Row],[Waffenmeister: INI]])-IF(Nahkampfwaffen[[#This Row],[Waffenmeister: TP/KK / INI/GE]]="TP/KK",2,0)</f>
        <v>15</v>
      </c>
      <c r="R9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3" s="16"/>
      <c r="AX93" s="16"/>
      <c r="AY93" s="16"/>
      <c r="AZ93" s="16"/>
      <c r="BA93" s="16"/>
      <c r="BB93" s="16"/>
      <c r="BC93" s="16"/>
      <c r="BD93" s="16"/>
      <c r="BE93" s="16"/>
      <c r="BF93" s="16"/>
      <c r="BG93" s="16"/>
      <c r="BH93" s="16"/>
      <c r="BI93" s="16"/>
      <c r="BJ93" s="16"/>
      <c r="BK93" s="16"/>
      <c r="BL93" s="16"/>
      <c r="BM93" s="16"/>
      <c r="BN93" s="16"/>
      <c r="BO93" s="16"/>
      <c r="BP93" s="16"/>
      <c r="BQ93" s="16"/>
      <c r="BR9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3" s="16"/>
      <c r="BT93" s="16"/>
      <c r="BU93" s="16"/>
      <c r="BV93" s="16"/>
      <c r="BW93" s="16"/>
    </row>
    <row r="94" spans="1:75" ht="60">
      <c r="A94" s="165" t="s">
        <v>993</v>
      </c>
      <c r="B94" s="165" t="s">
        <v>1030</v>
      </c>
      <c r="C94" s="165" t="s">
        <v>1093</v>
      </c>
      <c r="D94" s="168" t="s">
        <v>1094</v>
      </c>
      <c r="E94"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4" s="168" t="str">
        <f>_xlfn.TEXTJOIN("; ",TRUE,Nahkampfwaffen[[#This Row],[Ausfall]:[Wuchtschlag]])</f>
        <v>Finte</v>
      </c>
      <c r="G94" s="255" t="s">
        <v>113</v>
      </c>
      <c r="H94" s="167"/>
      <c r="I94" s="167"/>
      <c r="J94" s="167"/>
      <c r="K94" s="167"/>
      <c r="L94" s="167">
        <f>IF(Nahkampfwaffen[[#This Row],[Waffenmeister: TP/KK / INI/GE]]="TP/KK",1,0)</f>
        <v>0</v>
      </c>
      <c r="M94" s="167">
        <f>IF(Nahkampfwaffen[[#This Row],[Waffenmeister: TP/KK / INI/GE]]="INI/GE",1,0)</f>
        <v>0</v>
      </c>
      <c r="N94" s="167"/>
      <c r="O94" s="167"/>
      <c r="P94" s="16"/>
      <c r="Q94" s="16">
        <f>15-5*(Nahkampfwaffen[[#This Row],[Waffenmeister: AT]]+Nahkampfwaffen[[#This Row],[Waffenmeister: PA]])-3*(Nahkampfwaffen[[#This Row],[Waffenmeister: INI]])-IF(Nahkampfwaffen[[#This Row],[Waffenmeister: TP/KK / INI/GE]]="TP/KK",2,0)</f>
        <v>15</v>
      </c>
      <c r="R9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4" s="16"/>
      <c r="AX94" s="16"/>
      <c r="AY94" s="16"/>
      <c r="AZ94" s="16"/>
      <c r="BA94" s="16"/>
      <c r="BB94" s="16"/>
      <c r="BC94" s="16"/>
      <c r="BD94" s="16"/>
      <c r="BE94" s="16"/>
      <c r="BF94" s="16"/>
      <c r="BG94" s="16"/>
      <c r="BH94" s="16"/>
      <c r="BI94" s="16"/>
      <c r="BJ94" s="16"/>
      <c r="BK94" s="16"/>
      <c r="BL94" s="16"/>
      <c r="BM94" s="16"/>
      <c r="BN94" s="16"/>
      <c r="BO94" s="16"/>
      <c r="BP94" s="16"/>
      <c r="BQ94" s="16"/>
      <c r="BR9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4" s="16"/>
      <c r="BT94" s="16"/>
      <c r="BU94" s="16"/>
      <c r="BV94" s="16"/>
      <c r="BW94" s="16"/>
    </row>
    <row r="95" spans="1:75" ht="60">
      <c r="A95" s="165" t="s">
        <v>993</v>
      </c>
      <c r="B95" s="165" t="s">
        <v>1093</v>
      </c>
      <c r="C95" s="165" t="s">
        <v>1093</v>
      </c>
      <c r="D95" s="168" t="s">
        <v>1094</v>
      </c>
      <c r="E95"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5" s="168" t="str">
        <f>_xlfn.TEXTJOIN("; ",TRUE,Nahkampfwaffen[[#This Row],[Ausfall]:[Wuchtschlag]])</f>
        <v>Finte</v>
      </c>
      <c r="G95" s="255" t="s">
        <v>113</v>
      </c>
      <c r="H95" s="167"/>
      <c r="I95" s="167"/>
      <c r="J95" s="167"/>
      <c r="K95" s="167"/>
      <c r="L95" s="167">
        <f>IF(Nahkampfwaffen[[#This Row],[Waffenmeister: TP/KK / INI/GE]]="TP/KK",1,0)</f>
        <v>0</v>
      </c>
      <c r="M95" s="167">
        <f>IF(Nahkampfwaffen[[#This Row],[Waffenmeister: TP/KK / INI/GE]]="INI/GE",1,0)</f>
        <v>0</v>
      </c>
      <c r="N95" s="167"/>
      <c r="O95" s="167"/>
      <c r="P95" s="16"/>
      <c r="Q95" s="16">
        <f>15-5*(Nahkampfwaffen[[#This Row],[Waffenmeister: AT]]+Nahkampfwaffen[[#This Row],[Waffenmeister: PA]])-3*(Nahkampfwaffen[[#This Row],[Waffenmeister: INI]])-IF(Nahkampfwaffen[[#This Row],[Waffenmeister: TP/KK / INI/GE]]="TP/KK",2,0)</f>
        <v>15</v>
      </c>
      <c r="R9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5" s="16"/>
      <c r="AX95" s="16"/>
      <c r="AY95" s="16"/>
      <c r="AZ95" s="16"/>
      <c r="BA95" s="16"/>
      <c r="BB95" s="16"/>
      <c r="BC95" s="16"/>
      <c r="BD95" s="16"/>
      <c r="BE95" s="16"/>
      <c r="BF95" s="16"/>
      <c r="BG95" s="16"/>
      <c r="BH95" s="16"/>
      <c r="BI95" s="16"/>
      <c r="BJ95" s="16"/>
      <c r="BK95" s="16"/>
      <c r="BL95" s="16"/>
      <c r="BM95" s="16"/>
      <c r="BN95" s="16"/>
      <c r="BO95" s="16"/>
      <c r="BP95" s="16"/>
      <c r="BQ95" s="16"/>
      <c r="BR9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5" s="16"/>
      <c r="BT95" s="16"/>
      <c r="BU95" s="16"/>
      <c r="BV95" s="16"/>
      <c r="BW95" s="16"/>
    </row>
    <row r="96" spans="1:75" ht="60">
      <c r="A96" s="165" t="s">
        <v>993</v>
      </c>
      <c r="B96" s="165" t="s">
        <v>1104</v>
      </c>
      <c r="C96" s="165" t="s">
        <v>1093</v>
      </c>
      <c r="D96" s="168" t="s">
        <v>1099</v>
      </c>
      <c r="E96"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Niederwerfen, Stumpfer Schlag, Sturmangriff, Windmühle, Wuchtschlag,</v>
      </c>
      <c r="F96" s="168" t="str">
        <f>_xlfn.TEXTJOIN("; ",TRUE,Nahkampfwaffen[[#This Row],[Ausfall]:[Wuchtschlag]])</f>
        <v>Finte</v>
      </c>
      <c r="G96" s="255" t="s">
        <v>113</v>
      </c>
      <c r="H96" s="167"/>
      <c r="I96" s="167"/>
      <c r="J96" s="167"/>
      <c r="K96" s="167"/>
      <c r="L96" s="167">
        <f>IF(Nahkampfwaffen[[#This Row],[Waffenmeister: TP/KK / INI/GE]]="TP/KK",1,0)</f>
        <v>0</v>
      </c>
      <c r="M96" s="167">
        <f>IF(Nahkampfwaffen[[#This Row],[Waffenmeister: TP/KK / INI/GE]]="INI/GE",1,0)</f>
        <v>0</v>
      </c>
      <c r="N96" s="167"/>
      <c r="O96" s="167"/>
      <c r="P96" s="16"/>
      <c r="Q96" s="16">
        <f>15-5*(Nahkampfwaffen[[#This Row],[Waffenmeister: AT]]+Nahkampfwaffen[[#This Row],[Waffenmeister: PA]])-3*(Nahkampfwaffen[[#This Row],[Waffenmeister: INI]])-IF(Nahkampfwaffen[[#This Row],[Waffenmeister: TP/KK / INI/GE]]="TP/KK",2,0)</f>
        <v>15</v>
      </c>
      <c r="R9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6" s="16"/>
      <c r="AX96" s="16"/>
      <c r="AY96" s="16"/>
      <c r="AZ96" s="16"/>
      <c r="BA96" s="16"/>
      <c r="BB96" s="16"/>
      <c r="BC96" s="16"/>
      <c r="BD96" s="16"/>
      <c r="BE96" s="16"/>
      <c r="BF96" s="16"/>
      <c r="BG96" s="16"/>
      <c r="BH96" s="16"/>
      <c r="BI96" s="16"/>
      <c r="BJ96" s="16"/>
      <c r="BK96" s="16"/>
      <c r="BL96" s="16"/>
      <c r="BM96" s="16"/>
      <c r="BN96" s="16"/>
      <c r="BO96" s="16"/>
      <c r="BP96" s="16"/>
      <c r="BQ96" s="16"/>
      <c r="BR9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6" s="16"/>
      <c r="BT96" s="16"/>
      <c r="BU96" s="16"/>
      <c r="BV96" s="16"/>
      <c r="BW96" s="16"/>
    </row>
    <row r="97" spans="1:75" ht="60">
      <c r="A97" s="165" t="s">
        <v>993</v>
      </c>
      <c r="B97" s="165" t="s">
        <v>1105</v>
      </c>
      <c r="C97" s="165" t="s">
        <v>1093</v>
      </c>
      <c r="D97" s="168" t="s">
        <v>1094</v>
      </c>
      <c r="E97"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7" s="168" t="str">
        <f>_xlfn.TEXTJOIN("; ",TRUE,Nahkampfwaffen[[#This Row],[Ausfall]:[Wuchtschlag]])</f>
        <v>Finte</v>
      </c>
      <c r="G97" s="255" t="s">
        <v>113</v>
      </c>
      <c r="H97" s="167"/>
      <c r="I97" s="167"/>
      <c r="J97" s="167"/>
      <c r="K97" s="167"/>
      <c r="L97" s="167">
        <f>IF(Nahkampfwaffen[[#This Row],[Waffenmeister: TP/KK / INI/GE]]="TP/KK",1,0)</f>
        <v>0</v>
      </c>
      <c r="M97" s="167">
        <f>IF(Nahkampfwaffen[[#This Row],[Waffenmeister: TP/KK / INI/GE]]="INI/GE",1,0)</f>
        <v>0</v>
      </c>
      <c r="N97" s="167"/>
      <c r="O97" s="167"/>
      <c r="P97" s="16"/>
      <c r="Q97" s="16">
        <f>15-5*(Nahkampfwaffen[[#This Row],[Waffenmeister: AT]]+Nahkampfwaffen[[#This Row],[Waffenmeister: PA]])-3*(Nahkampfwaffen[[#This Row],[Waffenmeister: INI]])-IF(Nahkampfwaffen[[#This Row],[Waffenmeister: TP/KK / INI/GE]]="TP/KK",2,0)</f>
        <v>15</v>
      </c>
      <c r="R9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7" s="16"/>
      <c r="AX97" s="16"/>
      <c r="AY97" s="16"/>
      <c r="AZ97" s="16"/>
      <c r="BA97" s="16"/>
      <c r="BB97" s="16"/>
      <c r="BC97" s="16"/>
      <c r="BD97" s="16"/>
      <c r="BE97" s="16"/>
      <c r="BF97" s="16"/>
      <c r="BG97" s="16"/>
      <c r="BH97" s="16"/>
      <c r="BI97" s="16"/>
      <c r="BJ97" s="16"/>
      <c r="BK97" s="16"/>
      <c r="BL97" s="16"/>
      <c r="BM97" s="16"/>
      <c r="BN97" s="16"/>
      <c r="BO97" s="16"/>
      <c r="BP97" s="16"/>
      <c r="BQ97" s="16"/>
      <c r="BR9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7" s="16"/>
      <c r="BT97" s="16"/>
      <c r="BU97" s="16"/>
      <c r="BV97" s="16"/>
      <c r="BW97" s="16"/>
    </row>
    <row r="98" spans="1:75" ht="60">
      <c r="A98" s="165" t="s">
        <v>993</v>
      </c>
      <c r="B98" s="165" t="s">
        <v>1027</v>
      </c>
      <c r="C98" s="165" t="s">
        <v>1093</v>
      </c>
      <c r="D98" s="168" t="s">
        <v>1094</v>
      </c>
      <c r="E98"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Entwaffnen (Meisterlich), Finte, Gegenhalten, Klingensturm, Klingenwand, Meisterparade, Stumpfer Schlag, Sturmangriff, Windmühle, Wuchtschlag,</v>
      </c>
      <c r="F98" s="168" t="str">
        <f>_xlfn.TEXTJOIN("; ",TRUE,Nahkampfwaffen[[#This Row],[Ausfall]:[Wuchtschlag]])</f>
        <v>Finte</v>
      </c>
      <c r="G98" s="255" t="s">
        <v>113</v>
      </c>
      <c r="H98" s="167"/>
      <c r="I98" s="167"/>
      <c r="J98" s="167"/>
      <c r="K98" s="167"/>
      <c r="L98" s="167">
        <f>IF(Nahkampfwaffen[[#This Row],[Waffenmeister: TP/KK / INI/GE]]="TP/KK",1,0)</f>
        <v>0</v>
      </c>
      <c r="M98" s="167">
        <f>IF(Nahkampfwaffen[[#This Row],[Waffenmeister: TP/KK / INI/GE]]="INI/GE",1,0)</f>
        <v>0</v>
      </c>
      <c r="N98" s="167"/>
      <c r="O98" s="167"/>
      <c r="P98" s="16"/>
      <c r="Q98" s="16">
        <f>15-5*(Nahkampfwaffen[[#This Row],[Waffenmeister: AT]]+Nahkampfwaffen[[#This Row],[Waffenmeister: PA]])-3*(Nahkampfwaffen[[#This Row],[Waffenmeister: INI]])-IF(Nahkampfwaffen[[#This Row],[Waffenmeister: TP/KK / INI/GE]]="TP/KK",2,0)</f>
        <v>15</v>
      </c>
      <c r="R9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8" s="16"/>
      <c r="AX98" s="16"/>
      <c r="AY98" s="16"/>
      <c r="AZ98" s="16"/>
      <c r="BA98" s="16"/>
      <c r="BB98" s="16"/>
      <c r="BC98" s="16"/>
      <c r="BD98" s="16"/>
      <c r="BE98" s="16"/>
      <c r="BF98" s="16"/>
      <c r="BG98" s="16"/>
      <c r="BH98" s="16"/>
      <c r="BI98" s="16"/>
      <c r="BJ98" s="16"/>
      <c r="BK98" s="16"/>
      <c r="BL98" s="16"/>
      <c r="BM98" s="16"/>
      <c r="BN98" s="16"/>
      <c r="BO98" s="16"/>
      <c r="BP98" s="16"/>
      <c r="BQ98" s="16"/>
      <c r="BR9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8" s="16"/>
      <c r="BT98" s="16"/>
      <c r="BU98" s="16"/>
      <c r="BV98" s="16"/>
      <c r="BW98" s="16"/>
    </row>
    <row r="99" spans="1:75" ht="60" hidden="1">
      <c r="A99" s="165" t="s">
        <v>993</v>
      </c>
      <c r="B99" s="165" t="s">
        <v>1095</v>
      </c>
      <c r="C99" s="165" t="s">
        <v>1106</v>
      </c>
      <c r="D99" s="168" t="s">
        <v>1107</v>
      </c>
      <c r="E99"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Stumpfer Schlag, Sturmangriff, Windmühle, Wuchtschlag,</v>
      </c>
      <c r="F99" s="168" t="str">
        <f>_xlfn.TEXTJOIN("; ",TRUE,Nahkampfwaffen[[#This Row],[Ausfall]:[Wuchtschlag]])</f>
        <v>Finte</v>
      </c>
      <c r="G99" s="255" t="s">
        <v>429</v>
      </c>
      <c r="H99" s="167"/>
      <c r="I99" s="167"/>
      <c r="J99" s="167"/>
      <c r="K99" s="167"/>
      <c r="L99" s="167">
        <f>IF(Nahkampfwaffen[[#This Row],[Waffenmeister: TP/KK / INI/GE]]="TP/KK",1,0)</f>
        <v>0</v>
      </c>
      <c r="M99" s="167">
        <f>IF(Nahkampfwaffen[[#This Row],[Waffenmeister: TP/KK / INI/GE]]="INI/GE",1,0)</f>
        <v>0</v>
      </c>
      <c r="N99" s="167"/>
      <c r="O99" s="167"/>
      <c r="P99" s="16"/>
      <c r="Q99" s="16">
        <f>15-5*(Nahkampfwaffen[[#This Row],[Waffenmeister: AT]]+Nahkampfwaffen[[#This Row],[Waffenmeister: PA]])-3*(Nahkampfwaffen[[#This Row],[Waffenmeister: INI]])-IF(Nahkampfwaffen[[#This Row],[Waffenmeister: TP/KK / INI/GE]]="TP/KK",2,0)</f>
        <v>15</v>
      </c>
      <c r="R9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9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9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9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9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9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9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9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9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9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9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9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9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9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9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9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9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9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9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9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9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9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9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9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9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9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9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9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9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9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9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99" s="16"/>
      <c r="AX99" s="16"/>
      <c r="AY99" s="16"/>
      <c r="AZ99" s="16"/>
      <c r="BA99" s="16"/>
      <c r="BB99" s="16"/>
      <c r="BC99" s="16"/>
      <c r="BD99" s="16"/>
      <c r="BE99" s="16"/>
      <c r="BF99" s="16"/>
      <c r="BG99" s="16"/>
      <c r="BH99" s="16"/>
      <c r="BI99" s="16"/>
      <c r="BJ99" s="16"/>
      <c r="BK99" s="16"/>
      <c r="BL99" s="16"/>
      <c r="BM99" s="16"/>
      <c r="BN99" s="16"/>
      <c r="BO99" s="16"/>
      <c r="BP99" s="16"/>
      <c r="BQ99" s="16"/>
      <c r="BR9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99" s="16"/>
      <c r="BT99" s="16"/>
      <c r="BU99" s="16"/>
      <c r="BV99" s="16"/>
      <c r="BW99" s="16"/>
    </row>
    <row r="100" spans="1:75" ht="60" hidden="1">
      <c r="A100" s="165" t="s">
        <v>993</v>
      </c>
      <c r="B100" s="165" t="s">
        <v>1098</v>
      </c>
      <c r="C100" s="165" t="s">
        <v>1106</v>
      </c>
      <c r="D100" s="168" t="s">
        <v>1108</v>
      </c>
      <c r="E100"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Niederwerfen, Stumpfer Schlag, Sturmangriff, Todesstoß, Windmühle, Wuchtschlag,</v>
      </c>
      <c r="F100" s="168" t="str">
        <f>_xlfn.TEXTJOIN("; ",TRUE,Nahkampfwaffen[[#This Row],[Ausfall]:[Wuchtschlag]])</f>
        <v>Finte</v>
      </c>
      <c r="G100" s="255" t="s">
        <v>429</v>
      </c>
      <c r="H100" s="167"/>
      <c r="I100" s="167"/>
      <c r="J100" s="167"/>
      <c r="K100" s="167"/>
      <c r="L100" s="167">
        <f>IF(Nahkampfwaffen[[#This Row],[Waffenmeister: TP/KK / INI/GE]]="TP/KK",1,0)</f>
        <v>0</v>
      </c>
      <c r="M100" s="167">
        <f>IF(Nahkampfwaffen[[#This Row],[Waffenmeister: TP/KK / INI/GE]]="INI/GE",1,0)</f>
        <v>0</v>
      </c>
      <c r="N100" s="167"/>
      <c r="O100" s="167"/>
      <c r="P100" s="16"/>
      <c r="Q100" s="16">
        <f>15-5*(Nahkampfwaffen[[#This Row],[Waffenmeister: AT]]+Nahkampfwaffen[[#This Row],[Waffenmeister: PA]])-3*(Nahkampfwaffen[[#This Row],[Waffenmeister: INI]])-IF(Nahkampfwaffen[[#This Row],[Waffenmeister: TP/KK / INI/GE]]="TP/KK",2,0)</f>
        <v>15</v>
      </c>
      <c r="R10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0" s="16"/>
      <c r="BT100" s="16"/>
      <c r="BU100" s="16"/>
      <c r="BV100" s="16"/>
      <c r="BW100" s="16"/>
    </row>
    <row r="101" spans="1:75" ht="75" hidden="1">
      <c r="A101" s="165" t="s">
        <v>993</v>
      </c>
      <c r="B101" s="165" t="s">
        <v>1109</v>
      </c>
      <c r="C101" s="165" t="s">
        <v>1106</v>
      </c>
      <c r="D101" s="168" t="s">
        <v>1110</v>
      </c>
      <c r="E101"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01" s="168" t="str">
        <f>_xlfn.TEXTJOIN("; ",TRUE,Nahkampfwaffen[[#This Row],[Ausfall]:[Wuchtschlag]])</f>
        <v>Finte</v>
      </c>
      <c r="G101" s="255" t="s">
        <v>429</v>
      </c>
      <c r="H101" s="167"/>
      <c r="I101" s="167"/>
      <c r="J101" s="167"/>
      <c r="K101" s="167"/>
      <c r="L101" s="167">
        <f>IF(Nahkampfwaffen[[#This Row],[Waffenmeister: TP/KK / INI/GE]]="TP/KK",1,0)</f>
        <v>0</v>
      </c>
      <c r="M101" s="167">
        <f>IF(Nahkampfwaffen[[#This Row],[Waffenmeister: TP/KK / INI/GE]]="INI/GE",1,0)</f>
        <v>0</v>
      </c>
      <c r="N101" s="167"/>
      <c r="O101" s="167"/>
      <c r="P101" s="16"/>
      <c r="Q101" s="16">
        <f>15-5*(Nahkampfwaffen[[#This Row],[Waffenmeister: AT]]+Nahkampfwaffen[[#This Row],[Waffenmeister: PA]])-3*(Nahkampfwaffen[[#This Row],[Waffenmeister: INI]])-IF(Nahkampfwaffen[[#This Row],[Waffenmeister: TP/KK / INI/GE]]="TP/KK",2,0)</f>
        <v>15</v>
      </c>
      <c r="R10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1" s="16"/>
      <c r="BT101" s="16"/>
      <c r="BU101" s="16"/>
      <c r="BV101" s="16"/>
      <c r="BW101" s="16"/>
    </row>
    <row r="102" spans="1:75" ht="75" hidden="1">
      <c r="A102" s="165" t="s">
        <v>993</v>
      </c>
      <c r="B102" s="165" t="s">
        <v>1111</v>
      </c>
      <c r="C102" s="165" t="s">
        <v>1106</v>
      </c>
      <c r="D102" s="168" t="s">
        <v>1110</v>
      </c>
      <c r="E102"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02" s="168" t="str">
        <f>_xlfn.TEXTJOIN("; ",TRUE,Nahkampfwaffen[[#This Row],[Ausfall]:[Wuchtschlag]])</f>
        <v>Finte</v>
      </c>
      <c r="G102" s="255" t="s">
        <v>429</v>
      </c>
      <c r="H102" s="167"/>
      <c r="I102" s="167"/>
      <c r="J102" s="167"/>
      <c r="K102" s="167"/>
      <c r="L102" s="167">
        <f>IF(Nahkampfwaffen[[#This Row],[Waffenmeister: TP/KK / INI/GE]]="TP/KK",1,0)</f>
        <v>0</v>
      </c>
      <c r="M102" s="167">
        <f>IF(Nahkampfwaffen[[#This Row],[Waffenmeister: TP/KK / INI/GE]]="INI/GE",1,0)</f>
        <v>0</v>
      </c>
      <c r="N102" s="167"/>
      <c r="O102" s="167"/>
      <c r="P102" s="16"/>
      <c r="Q102" s="16">
        <f>15-5*(Nahkampfwaffen[[#This Row],[Waffenmeister: AT]]+Nahkampfwaffen[[#This Row],[Waffenmeister: PA]])-3*(Nahkampfwaffen[[#This Row],[Waffenmeister: INI]])-IF(Nahkampfwaffen[[#This Row],[Waffenmeister: TP/KK / INI/GE]]="TP/KK",2,0)</f>
        <v>15</v>
      </c>
      <c r="R10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2" s="16"/>
      <c r="BT102" s="16"/>
      <c r="BU102" s="16"/>
      <c r="BV102" s="16"/>
      <c r="BW102" s="16"/>
    </row>
    <row r="103" spans="1:75" ht="75" hidden="1">
      <c r="A103" s="165" t="s">
        <v>993</v>
      </c>
      <c r="B103" s="165" t="s">
        <v>1112</v>
      </c>
      <c r="C103" s="165" t="s">
        <v>1106</v>
      </c>
      <c r="D103" s="168" t="s">
        <v>1110</v>
      </c>
      <c r="E103"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03" s="168" t="str">
        <f>_xlfn.TEXTJOIN("; ",TRUE,Nahkampfwaffen[[#This Row],[Ausfall]:[Wuchtschlag]])</f>
        <v>Finte</v>
      </c>
      <c r="G103" s="255" t="s">
        <v>429</v>
      </c>
      <c r="H103" s="167"/>
      <c r="I103" s="167"/>
      <c r="J103" s="167"/>
      <c r="K103" s="167"/>
      <c r="L103" s="167">
        <f>IF(Nahkampfwaffen[[#This Row],[Waffenmeister: TP/KK / INI/GE]]="TP/KK",1,0)</f>
        <v>0</v>
      </c>
      <c r="M103" s="167">
        <f>IF(Nahkampfwaffen[[#This Row],[Waffenmeister: TP/KK / INI/GE]]="INI/GE",1,0)</f>
        <v>0</v>
      </c>
      <c r="N103" s="167"/>
      <c r="O103" s="167"/>
      <c r="P103" s="16"/>
      <c r="Q103" s="16">
        <f>15-5*(Nahkampfwaffen[[#This Row],[Waffenmeister: AT]]+Nahkampfwaffen[[#This Row],[Waffenmeister: PA]])-3*(Nahkampfwaffen[[#This Row],[Waffenmeister: INI]])-IF(Nahkampfwaffen[[#This Row],[Waffenmeister: TP/KK / INI/GE]]="TP/KK",2,0)</f>
        <v>15</v>
      </c>
      <c r="R10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3" s="16"/>
      <c r="BT103" s="16"/>
      <c r="BU103" s="16"/>
      <c r="BV103" s="16"/>
      <c r="BW103" s="16"/>
    </row>
    <row r="104" spans="1:75" ht="60" hidden="1">
      <c r="A104" s="165" t="s">
        <v>993</v>
      </c>
      <c r="B104" s="165" t="s">
        <v>1006</v>
      </c>
      <c r="C104" s="165" t="s">
        <v>1106</v>
      </c>
      <c r="D104" s="168" t="s">
        <v>1113</v>
      </c>
      <c r="E104" s="168" t="str">
        <f>IF(ISTEXT(Nahkampfwaffen[[#This Row],[Waffenmeister: Manöver]]),_xlfn.CONCAT(Nahkampfwaffen[[#This Row],[Mögliche Manöver]]," ",Nahkampfwaffen[[#This Row],[Waffenmeister: Manöver]],","),Nahkampfwaffen[[#This Row],[Mögliche Manöver]])</f>
        <v>Ausfall, Betäubungsschlag, Binden, Seitenwechsel, Offensiver Distanzklassenwechsel, Defensiver Kampfstil, Offensiver Kampfstil, Doppelangriff, Entwaffnen, Finte, Gegenhalten, Gezielter Stich, Klingensturm, Klingenwand, Meisterparade, Niederwerfen, Stumpfer Schlag, Sturmangriff, Todesstoß , Windmühle, Wuchtschlag,</v>
      </c>
      <c r="F104" s="168" t="str">
        <f>_xlfn.TEXTJOIN("; ",TRUE,Nahkampfwaffen[[#This Row],[Ausfall]:[Wuchtschlag]])</f>
        <v>Finte</v>
      </c>
      <c r="G104" s="255" t="s">
        <v>429</v>
      </c>
      <c r="H104" s="167"/>
      <c r="I104" s="167"/>
      <c r="J104" s="167"/>
      <c r="K104" s="167"/>
      <c r="L104" s="167">
        <f>IF(Nahkampfwaffen[[#This Row],[Waffenmeister: TP/KK / INI/GE]]="TP/KK",1,0)</f>
        <v>0</v>
      </c>
      <c r="M104" s="167">
        <f>IF(Nahkampfwaffen[[#This Row],[Waffenmeister: TP/KK / INI/GE]]="INI/GE",1,0)</f>
        <v>0</v>
      </c>
      <c r="N104" s="167"/>
      <c r="O104" s="167"/>
      <c r="P104" s="16"/>
      <c r="Q104" s="16">
        <f>15-5*(Nahkampfwaffen[[#This Row],[Waffenmeister: AT]]+Nahkampfwaffen[[#This Row],[Waffenmeister: PA]])-3*(Nahkampfwaffen[[#This Row],[Waffenmeister: INI]])-IF(Nahkampfwaffen[[#This Row],[Waffenmeister: TP/KK / INI/GE]]="TP/KK",2,0)</f>
        <v>15</v>
      </c>
      <c r="R10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4" s="16"/>
      <c r="BT104" s="16"/>
      <c r="BU104" s="16"/>
      <c r="BV104" s="16"/>
      <c r="BW104" s="16"/>
    </row>
    <row r="105" spans="1:75" ht="60" hidden="1">
      <c r="A105" s="165" t="s">
        <v>993</v>
      </c>
      <c r="B105" s="165" t="s">
        <v>1103</v>
      </c>
      <c r="C105" s="165" t="s">
        <v>1106</v>
      </c>
      <c r="D105" s="168" t="s">
        <v>1107</v>
      </c>
      <c r="E105"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Stumpfer Schlag, Sturmangriff, Windmühle, Wuchtschlag,</v>
      </c>
      <c r="F105" s="168" t="str">
        <f>_xlfn.TEXTJOIN("; ",TRUE,Nahkampfwaffen[[#This Row],[Ausfall]:[Wuchtschlag]])</f>
        <v>Finte</v>
      </c>
      <c r="G105" s="255" t="s">
        <v>429</v>
      </c>
      <c r="H105" s="167"/>
      <c r="I105" s="167"/>
      <c r="J105" s="167"/>
      <c r="K105" s="167"/>
      <c r="L105" s="167">
        <f>IF(Nahkampfwaffen[[#This Row],[Waffenmeister: TP/KK / INI/GE]]="TP/KK",1,0)</f>
        <v>0</v>
      </c>
      <c r="M105" s="167">
        <f>IF(Nahkampfwaffen[[#This Row],[Waffenmeister: TP/KK / INI/GE]]="INI/GE",1,0)</f>
        <v>0</v>
      </c>
      <c r="N105" s="167"/>
      <c r="O105" s="167"/>
      <c r="P105" s="16"/>
      <c r="Q105" s="16">
        <f>15-5*(Nahkampfwaffen[[#This Row],[Waffenmeister: AT]]+Nahkampfwaffen[[#This Row],[Waffenmeister: PA]])-3*(Nahkampfwaffen[[#This Row],[Waffenmeister: INI]])-IF(Nahkampfwaffen[[#This Row],[Waffenmeister: TP/KK / INI/GE]]="TP/KK",2,0)</f>
        <v>15</v>
      </c>
      <c r="R10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5" s="16"/>
      <c r="BT105" s="16"/>
      <c r="BU105" s="16"/>
      <c r="BV105" s="16"/>
      <c r="BW105" s="16"/>
    </row>
    <row r="106" spans="1:75" ht="75" hidden="1">
      <c r="A106" s="165" t="s">
        <v>993</v>
      </c>
      <c r="B106" s="165" t="s">
        <v>1114</v>
      </c>
      <c r="C106" s="165" t="s">
        <v>1106</v>
      </c>
      <c r="D106" s="168" t="s">
        <v>1110</v>
      </c>
      <c r="E106"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06" s="168" t="str">
        <f>_xlfn.TEXTJOIN("; ",TRUE,Nahkampfwaffen[[#This Row],[Ausfall]:[Wuchtschlag]])</f>
        <v>Finte</v>
      </c>
      <c r="G106" s="255" t="s">
        <v>429</v>
      </c>
      <c r="H106" s="167"/>
      <c r="I106" s="167"/>
      <c r="J106" s="167"/>
      <c r="K106" s="167"/>
      <c r="L106" s="167">
        <f>IF(Nahkampfwaffen[[#This Row],[Waffenmeister: TP/KK / INI/GE]]="TP/KK",1,0)</f>
        <v>0</v>
      </c>
      <c r="M106" s="167">
        <f>IF(Nahkampfwaffen[[#This Row],[Waffenmeister: TP/KK / INI/GE]]="INI/GE",1,0)</f>
        <v>0</v>
      </c>
      <c r="N106" s="167"/>
      <c r="O106" s="167"/>
      <c r="P106" s="16"/>
      <c r="Q106" s="16">
        <f>15-5*(Nahkampfwaffen[[#This Row],[Waffenmeister: AT]]+Nahkampfwaffen[[#This Row],[Waffenmeister: PA]])-3*(Nahkampfwaffen[[#This Row],[Waffenmeister: INI]])-IF(Nahkampfwaffen[[#This Row],[Waffenmeister: TP/KK / INI/GE]]="TP/KK",2,0)</f>
        <v>15</v>
      </c>
      <c r="R10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6" s="16"/>
      <c r="BT106" s="16"/>
      <c r="BU106" s="16"/>
      <c r="BV106" s="16"/>
      <c r="BW106" s="16"/>
    </row>
    <row r="107" spans="1:75" ht="75" hidden="1">
      <c r="A107" s="165" t="s">
        <v>993</v>
      </c>
      <c r="B107" s="165" t="s">
        <v>998</v>
      </c>
      <c r="C107" s="165" t="s">
        <v>1106</v>
      </c>
      <c r="D107" s="168" t="s">
        <v>1110</v>
      </c>
      <c r="E107"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07" s="168" t="str">
        <f>_xlfn.TEXTJOIN("; ",TRUE,Nahkampfwaffen[[#This Row],[Ausfall]:[Wuchtschlag]])</f>
        <v>Finte</v>
      </c>
      <c r="G107" s="255" t="s">
        <v>429</v>
      </c>
      <c r="H107" s="167"/>
      <c r="I107" s="167"/>
      <c r="J107" s="167"/>
      <c r="K107" s="167"/>
      <c r="L107" s="167">
        <f>IF(Nahkampfwaffen[[#This Row],[Waffenmeister: TP/KK / INI/GE]]="TP/KK",1,0)</f>
        <v>0</v>
      </c>
      <c r="M107" s="167">
        <f>IF(Nahkampfwaffen[[#This Row],[Waffenmeister: TP/KK / INI/GE]]="INI/GE",1,0)</f>
        <v>0</v>
      </c>
      <c r="N107" s="167"/>
      <c r="O107" s="167"/>
      <c r="P107" s="16"/>
      <c r="Q107" s="16">
        <f>15-5*(Nahkampfwaffen[[#This Row],[Waffenmeister: AT]]+Nahkampfwaffen[[#This Row],[Waffenmeister: PA]])-3*(Nahkampfwaffen[[#This Row],[Waffenmeister: INI]])-IF(Nahkampfwaffen[[#This Row],[Waffenmeister: TP/KK / INI/GE]]="TP/KK",2,0)</f>
        <v>15</v>
      </c>
      <c r="R10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7" s="16"/>
      <c r="BT107" s="16"/>
      <c r="BU107" s="16"/>
      <c r="BV107" s="16"/>
      <c r="BW107" s="16"/>
    </row>
    <row r="108" spans="1:75" ht="60" hidden="1">
      <c r="A108" s="165" t="s">
        <v>993</v>
      </c>
      <c r="B108" s="165" t="s">
        <v>1026</v>
      </c>
      <c r="C108" s="165" t="s">
        <v>1106</v>
      </c>
      <c r="D108" s="168" t="s">
        <v>1107</v>
      </c>
      <c r="E108"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Stumpfer Schlag, Sturmangriff, Windmühle, Wuchtschlag,</v>
      </c>
      <c r="F108" s="168" t="str">
        <f>_xlfn.TEXTJOIN("; ",TRUE,Nahkampfwaffen[[#This Row],[Ausfall]:[Wuchtschlag]])</f>
        <v>Finte</v>
      </c>
      <c r="G108" s="255" t="s">
        <v>429</v>
      </c>
      <c r="H108" s="167"/>
      <c r="I108" s="167"/>
      <c r="J108" s="167"/>
      <c r="K108" s="167"/>
      <c r="L108" s="167">
        <f>IF(Nahkampfwaffen[[#This Row],[Waffenmeister: TP/KK / INI/GE]]="TP/KK",1,0)</f>
        <v>0</v>
      </c>
      <c r="M108" s="167">
        <f>IF(Nahkampfwaffen[[#This Row],[Waffenmeister: TP/KK / INI/GE]]="INI/GE",1,0)</f>
        <v>0</v>
      </c>
      <c r="N108" s="167"/>
      <c r="O108" s="167"/>
      <c r="P108" s="16"/>
      <c r="Q108" s="16">
        <f>15-5*(Nahkampfwaffen[[#This Row],[Waffenmeister: AT]]+Nahkampfwaffen[[#This Row],[Waffenmeister: PA]])-3*(Nahkampfwaffen[[#This Row],[Waffenmeister: INI]])-IF(Nahkampfwaffen[[#This Row],[Waffenmeister: TP/KK / INI/GE]]="TP/KK",2,0)</f>
        <v>15</v>
      </c>
      <c r="R10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8" s="16"/>
      <c r="BT108" s="16"/>
      <c r="BU108" s="16"/>
      <c r="BV108" s="16"/>
      <c r="BW108" s="16"/>
    </row>
    <row r="109" spans="1:75" ht="60" hidden="1">
      <c r="A109" s="165" t="s">
        <v>993</v>
      </c>
      <c r="B109" s="165" t="s">
        <v>1030</v>
      </c>
      <c r="C109" s="165" t="s">
        <v>1106</v>
      </c>
      <c r="D109" s="168" t="s">
        <v>1115</v>
      </c>
      <c r="E109"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Klingensturm, Klingenwand, Meisterparade, Stumpfer Schlag, Sturmangriff, Todesstoß, Windmühle, Wuchtschlag,</v>
      </c>
      <c r="F109" s="168" t="str">
        <f>_xlfn.TEXTJOIN("; ",TRUE,Nahkampfwaffen[[#This Row],[Ausfall]:[Wuchtschlag]])</f>
        <v>Finte</v>
      </c>
      <c r="G109" s="255" t="s">
        <v>429</v>
      </c>
      <c r="H109" s="167"/>
      <c r="I109" s="167"/>
      <c r="J109" s="167"/>
      <c r="K109" s="167"/>
      <c r="L109" s="167">
        <f>IF(Nahkampfwaffen[[#This Row],[Waffenmeister: TP/KK / INI/GE]]="TP/KK",1,0)</f>
        <v>0</v>
      </c>
      <c r="M109" s="167">
        <f>IF(Nahkampfwaffen[[#This Row],[Waffenmeister: TP/KK / INI/GE]]="INI/GE",1,0)</f>
        <v>0</v>
      </c>
      <c r="N109" s="167"/>
      <c r="O109" s="167"/>
      <c r="P109" s="16"/>
      <c r="Q109" s="16">
        <f>15-5*(Nahkampfwaffen[[#This Row],[Waffenmeister: AT]]+Nahkampfwaffen[[#This Row],[Waffenmeister: PA]])-3*(Nahkampfwaffen[[#This Row],[Waffenmeister: INI]])-IF(Nahkampfwaffen[[#This Row],[Waffenmeister: TP/KK / INI/GE]]="TP/KK",2,0)</f>
        <v>15</v>
      </c>
      <c r="R10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0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0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0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0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0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0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0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0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0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0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0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0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0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0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0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0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0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0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0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0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0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0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0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0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0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0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0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0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0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0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09" s="16"/>
      <c r="BT109" s="16"/>
      <c r="BU109" s="16"/>
      <c r="BV109" s="16"/>
      <c r="BW109" s="16"/>
    </row>
    <row r="110" spans="1:75" ht="60" hidden="1">
      <c r="A110" s="165" t="s">
        <v>993</v>
      </c>
      <c r="B110" s="165" t="s">
        <v>1093</v>
      </c>
      <c r="C110" s="165" t="s">
        <v>1106</v>
      </c>
      <c r="D110" s="168" t="s">
        <v>1107</v>
      </c>
      <c r="E110"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Stumpfer Schlag, Sturmangriff, Windmühle, Wuchtschlag,</v>
      </c>
      <c r="F110" s="168" t="str">
        <f>_xlfn.TEXTJOIN("; ",TRUE,Nahkampfwaffen[[#This Row],[Ausfall]:[Wuchtschlag]])</f>
        <v>Finte</v>
      </c>
      <c r="G110" s="255" t="s">
        <v>429</v>
      </c>
      <c r="H110" s="167"/>
      <c r="I110" s="167"/>
      <c r="J110" s="167"/>
      <c r="K110" s="167"/>
      <c r="L110" s="167">
        <f>IF(Nahkampfwaffen[[#This Row],[Waffenmeister: TP/KK / INI/GE]]="TP/KK",1,0)</f>
        <v>0</v>
      </c>
      <c r="M110" s="167">
        <f>IF(Nahkampfwaffen[[#This Row],[Waffenmeister: TP/KK / INI/GE]]="INI/GE",1,0)</f>
        <v>0</v>
      </c>
      <c r="N110" s="167"/>
      <c r="O110" s="167"/>
      <c r="P110" s="16"/>
      <c r="Q110" s="16">
        <f>15-5*(Nahkampfwaffen[[#This Row],[Waffenmeister: AT]]+Nahkampfwaffen[[#This Row],[Waffenmeister: PA]])-3*(Nahkampfwaffen[[#This Row],[Waffenmeister: INI]])-IF(Nahkampfwaffen[[#This Row],[Waffenmeister: TP/KK / INI/GE]]="TP/KK",2,0)</f>
        <v>15</v>
      </c>
      <c r="R11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0" s="16"/>
      <c r="BT110" s="16"/>
      <c r="BU110" s="16"/>
      <c r="BV110" s="16"/>
      <c r="BW110" s="16"/>
    </row>
    <row r="111" spans="1:75" ht="75" hidden="1">
      <c r="A111" s="165" t="s">
        <v>993</v>
      </c>
      <c r="B111" s="165" t="s">
        <v>1116</v>
      </c>
      <c r="C111" s="165" t="s">
        <v>1106</v>
      </c>
      <c r="D111" s="168" t="s">
        <v>1110</v>
      </c>
      <c r="E111"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Gezielter Stich (nur mit Kenntnis von halbschwert), Halbschwert, Klingensturm, Klingenwand, Meisterparade, Niederwerfen, Stumpfer Schlag, Sturmangriff, Todesstoß (nur mit Kenntnis von halbschwert), Windmühle, Wuchtschlag,</v>
      </c>
      <c r="F111" s="168" t="str">
        <f>_xlfn.TEXTJOIN("; ",TRUE,Nahkampfwaffen[[#This Row],[Ausfall]:[Wuchtschlag]])</f>
        <v>Finte</v>
      </c>
      <c r="G111" s="255" t="s">
        <v>429</v>
      </c>
      <c r="H111" s="167"/>
      <c r="I111" s="167"/>
      <c r="J111" s="167"/>
      <c r="K111" s="167"/>
      <c r="L111" s="167">
        <f>IF(Nahkampfwaffen[[#This Row],[Waffenmeister: TP/KK / INI/GE]]="TP/KK",1,0)</f>
        <v>0</v>
      </c>
      <c r="M111" s="167">
        <f>IF(Nahkampfwaffen[[#This Row],[Waffenmeister: TP/KK / INI/GE]]="INI/GE",1,0)</f>
        <v>0</v>
      </c>
      <c r="N111" s="167"/>
      <c r="O111" s="167"/>
      <c r="P111" s="16"/>
      <c r="Q111" s="16">
        <f>15-5*(Nahkampfwaffen[[#This Row],[Waffenmeister: AT]]+Nahkampfwaffen[[#This Row],[Waffenmeister: PA]])-3*(Nahkampfwaffen[[#This Row],[Waffenmeister: INI]])-IF(Nahkampfwaffen[[#This Row],[Waffenmeister: TP/KK / INI/GE]]="TP/KK",2,0)</f>
        <v>15</v>
      </c>
      <c r="R11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1" s="16"/>
      <c r="BT111" s="16"/>
      <c r="BU111" s="16"/>
      <c r="BV111" s="16"/>
      <c r="BW111" s="16"/>
    </row>
    <row r="112" spans="1:75" ht="60" hidden="1">
      <c r="A112" s="165" t="s">
        <v>993</v>
      </c>
      <c r="B112" s="165" t="s">
        <v>1117</v>
      </c>
      <c r="C112" s="165" t="s">
        <v>1106</v>
      </c>
      <c r="D112" s="168" t="s">
        <v>1107</v>
      </c>
      <c r="E112"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Doppelangriff, Entwaffnen, Finte, Gegenhalten, Klingensturm, Klingenwand, Meisterparade, Stumpfer Schlag, Sturmangriff, Windmühle, Wuchtschlag,</v>
      </c>
      <c r="F112" s="168" t="str">
        <f>_xlfn.TEXTJOIN("; ",TRUE,Nahkampfwaffen[[#This Row],[Ausfall]:[Wuchtschlag]])</f>
        <v>Finte</v>
      </c>
      <c r="G112" s="255" t="s">
        <v>429</v>
      </c>
      <c r="H112" s="167"/>
      <c r="I112" s="167"/>
      <c r="J112" s="167"/>
      <c r="K112" s="167"/>
      <c r="L112" s="167">
        <f>IF(Nahkampfwaffen[[#This Row],[Waffenmeister: TP/KK / INI/GE]]="TP/KK",1,0)</f>
        <v>0</v>
      </c>
      <c r="M112" s="167">
        <f>IF(Nahkampfwaffen[[#This Row],[Waffenmeister: TP/KK / INI/GE]]="INI/GE",1,0)</f>
        <v>0</v>
      </c>
      <c r="N112" s="167"/>
      <c r="O112" s="167"/>
      <c r="P112" s="16"/>
      <c r="Q112" s="16">
        <f>15-5*(Nahkampfwaffen[[#This Row],[Waffenmeister: AT]]+Nahkampfwaffen[[#This Row],[Waffenmeister: PA]])-3*(Nahkampfwaffen[[#This Row],[Waffenmeister: INI]])-IF(Nahkampfwaffen[[#This Row],[Waffenmeister: TP/KK / INI/GE]]="TP/KK",2,0)</f>
        <v>15</v>
      </c>
      <c r="R11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2" s="16"/>
      <c r="BT112" s="16"/>
      <c r="BU112" s="16"/>
      <c r="BV112" s="16"/>
      <c r="BW112" s="16"/>
    </row>
    <row r="113" spans="1:75" ht="60" hidden="1">
      <c r="A113" s="165" t="s">
        <v>993</v>
      </c>
      <c r="B113" s="165" t="s">
        <v>1118</v>
      </c>
      <c r="C113" s="165" t="s">
        <v>1119</v>
      </c>
      <c r="D113" s="168" t="s">
        <v>1120</v>
      </c>
      <c r="E113"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3" s="168" t="str">
        <f>_xlfn.TEXTJOIN("; ",TRUE,Nahkampfwaffen[[#This Row],[Ausfall]:[Wuchtschlag]])</f>
        <v>Finte</v>
      </c>
      <c r="G113" s="255" t="s">
        <v>113</v>
      </c>
      <c r="H113" s="167"/>
      <c r="I113" s="167"/>
      <c r="J113" s="167"/>
      <c r="K113" s="167"/>
      <c r="L113" s="167">
        <f>IF(Nahkampfwaffen[[#This Row],[Waffenmeister: TP/KK / INI/GE]]="TP/KK",1,0)</f>
        <v>0</v>
      </c>
      <c r="M113" s="167">
        <f>IF(Nahkampfwaffen[[#This Row],[Waffenmeister: TP/KK / INI/GE]]="INI/GE",1,0)</f>
        <v>0</v>
      </c>
      <c r="N113" s="167"/>
      <c r="O113" s="167"/>
      <c r="P113" s="16"/>
      <c r="Q113" s="16">
        <f>15-5*(Nahkampfwaffen[[#This Row],[Waffenmeister: AT]]+Nahkampfwaffen[[#This Row],[Waffenmeister: PA]])-3*(Nahkampfwaffen[[#This Row],[Waffenmeister: INI]])-IF(Nahkampfwaffen[[#This Row],[Waffenmeister: TP/KK / INI/GE]]="TP/KK",2,0)</f>
        <v>15</v>
      </c>
      <c r="R11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3" s="16"/>
      <c r="BT113" s="16"/>
      <c r="BU113" s="16"/>
      <c r="BV113" s="16"/>
      <c r="BW113" s="16"/>
    </row>
    <row r="114" spans="1:75" ht="60" hidden="1">
      <c r="A114" s="165" t="s">
        <v>993</v>
      </c>
      <c r="B114" s="165" t="s">
        <v>1121</v>
      </c>
      <c r="C114" s="165" t="s">
        <v>1119</v>
      </c>
      <c r="D114" s="168" t="s">
        <v>1120</v>
      </c>
      <c r="E114"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4" s="168" t="str">
        <f>_xlfn.TEXTJOIN("; ",TRUE,Nahkampfwaffen[[#This Row],[Ausfall]:[Wuchtschlag]])</f>
        <v>Finte</v>
      </c>
      <c r="G114" s="255" t="s">
        <v>113</v>
      </c>
      <c r="H114" s="167"/>
      <c r="I114" s="167"/>
      <c r="J114" s="167"/>
      <c r="K114" s="167"/>
      <c r="L114" s="167">
        <f>IF(Nahkampfwaffen[[#This Row],[Waffenmeister: TP/KK / INI/GE]]="TP/KK",1,0)</f>
        <v>0</v>
      </c>
      <c r="M114" s="167">
        <f>IF(Nahkampfwaffen[[#This Row],[Waffenmeister: TP/KK / INI/GE]]="INI/GE",1,0)</f>
        <v>0</v>
      </c>
      <c r="N114" s="167"/>
      <c r="O114" s="167"/>
      <c r="P114" s="16"/>
      <c r="Q114" s="16">
        <f>15-5*(Nahkampfwaffen[[#This Row],[Waffenmeister: AT]]+Nahkampfwaffen[[#This Row],[Waffenmeister: PA]])-3*(Nahkampfwaffen[[#This Row],[Waffenmeister: INI]])-IF(Nahkampfwaffen[[#This Row],[Waffenmeister: TP/KK / INI/GE]]="TP/KK",2,0)</f>
        <v>15</v>
      </c>
      <c r="R11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4" s="16"/>
      <c r="BT114" s="16"/>
      <c r="BU114" s="16"/>
      <c r="BV114" s="16"/>
      <c r="BW114" s="16"/>
    </row>
    <row r="115" spans="1:75" ht="60" hidden="1">
      <c r="A115" s="165" t="s">
        <v>993</v>
      </c>
      <c r="B115" s="165" t="s">
        <v>1122</v>
      </c>
      <c r="C115" s="165" t="s">
        <v>1119</v>
      </c>
      <c r="D115" s="168" t="s">
        <v>1120</v>
      </c>
      <c r="E115"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5" s="168" t="str">
        <f>_xlfn.TEXTJOIN("; ",TRUE,Nahkampfwaffen[[#This Row],[Ausfall]:[Wuchtschlag]])</f>
        <v>Finte</v>
      </c>
      <c r="G115" s="255" t="s">
        <v>113</v>
      </c>
      <c r="H115" s="167"/>
      <c r="I115" s="167"/>
      <c r="J115" s="167"/>
      <c r="K115" s="167"/>
      <c r="L115" s="167">
        <f>IF(Nahkampfwaffen[[#This Row],[Waffenmeister: TP/KK / INI/GE]]="TP/KK",1,0)</f>
        <v>0</v>
      </c>
      <c r="M115" s="167">
        <f>IF(Nahkampfwaffen[[#This Row],[Waffenmeister: TP/KK / INI/GE]]="INI/GE",1,0)</f>
        <v>0</v>
      </c>
      <c r="N115" s="167"/>
      <c r="O115" s="167"/>
      <c r="P115" s="16"/>
      <c r="Q115" s="16">
        <f>15-5*(Nahkampfwaffen[[#This Row],[Waffenmeister: AT]]+Nahkampfwaffen[[#This Row],[Waffenmeister: PA]])-3*(Nahkampfwaffen[[#This Row],[Waffenmeister: INI]])-IF(Nahkampfwaffen[[#This Row],[Waffenmeister: TP/KK / INI/GE]]="TP/KK",2,0)</f>
        <v>15</v>
      </c>
      <c r="R11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5" s="16"/>
      <c r="BT115" s="16"/>
      <c r="BU115" s="16"/>
      <c r="BV115" s="16"/>
      <c r="BW115" s="16"/>
    </row>
    <row r="116" spans="1:75" ht="60" hidden="1">
      <c r="A116" s="165" t="s">
        <v>993</v>
      </c>
      <c r="B116" s="165" t="s">
        <v>1123</v>
      </c>
      <c r="C116" s="165" t="s">
        <v>1119</v>
      </c>
      <c r="D116" s="168" t="s">
        <v>1120</v>
      </c>
      <c r="E116"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6" s="168" t="str">
        <f>_xlfn.TEXTJOIN("; ",TRUE,Nahkampfwaffen[[#This Row],[Ausfall]:[Wuchtschlag]])</f>
        <v>Finte</v>
      </c>
      <c r="G116" s="255" t="s">
        <v>113</v>
      </c>
      <c r="H116" s="167"/>
      <c r="I116" s="167"/>
      <c r="J116" s="167"/>
      <c r="K116" s="167"/>
      <c r="L116" s="167">
        <f>IF(Nahkampfwaffen[[#This Row],[Waffenmeister: TP/KK / INI/GE]]="TP/KK",1,0)</f>
        <v>0</v>
      </c>
      <c r="M116" s="167">
        <f>IF(Nahkampfwaffen[[#This Row],[Waffenmeister: TP/KK / INI/GE]]="INI/GE",1,0)</f>
        <v>0</v>
      </c>
      <c r="N116" s="167"/>
      <c r="O116" s="167"/>
      <c r="P116" s="16"/>
      <c r="Q116" s="16">
        <f>15-5*(Nahkampfwaffen[[#This Row],[Waffenmeister: AT]]+Nahkampfwaffen[[#This Row],[Waffenmeister: PA]])-3*(Nahkampfwaffen[[#This Row],[Waffenmeister: INI]])-IF(Nahkampfwaffen[[#This Row],[Waffenmeister: TP/KK / INI/GE]]="TP/KK",2,0)</f>
        <v>15</v>
      </c>
      <c r="R11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6" s="16"/>
      <c r="BT116" s="16"/>
      <c r="BU116" s="16"/>
      <c r="BV116" s="16"/>
      <c r="BW116" s="16"/>
    </row>
    <row r="117" spans="1:75" ht="60" hidden="1">
      <c r="A117" s="165" t="s">
        <v>993</v>
      </c>
      <c r="B117" s="165" t="s">
        <v>1124</v>
      </c>
      <c r="C117" s="165" t="s">
        <v>1119</v>
      </c>
      <c r="D117" s="168" t="s">
        <v>1120</v>
      </c>
      <c r="E117"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7" s="168" t="str">
        <f>_xlfn.TEXTJOIN("; ",TRUE,Nahkampfwaffen[[#This Row],[Ausfall]:[Wuchtschlag]])</f>
        <v>Finte</v>
      </c>
      <c r="G117" s="255" t="s">
        <v>113</v>
      </c>
      <c r="H117" s="167"/>
      <c r="I117" s="167"/>
      <c r="J117" s="167"/>
      <c r="K117" s="167"/>
      <c r="L117" s="167">
        <f>IF(Nahkampfwaffen[[#This Row],[Waffenmeister: TP/KK / INI/GE]]="TP/KK",1,0)</f>
        <v>0</v>
      </c>
      <c r="M117" s="167">
        <f>IF(Nahkampfwaffen[[#This Row],[Waffenmeister: TP/KK / INI/GE]]="INI/GE",1,0)</f>
        <v>0</v>
      </c>
      <c r="N117" s="167"/>
      <c r="O117" s="167"/>
      <c r="P117" s="16"/>
      <c r="Q117" s="16">
        <f>15-5*(Nahkampfwaffen[[#This Row],[Waffenmeister: AT]]+Nahkampfwaffen[[#This Row],[Waffenmeister: PA]])-3*(Nahkampfwaffen[[#This Row],[Waffenmeister: INI]])-IF(Nahkampfwaffen[[#This Row],[Waffenmeister: TP/KK / INI/GE]]="TP/KK",2,0)</f>
        <v>15</v>
      </c>
      <c r="R11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7" s="16"/>
      <c r="BT117" s="16"/>
      <c r="BU117" s="16"/>
      <c r="BV117" s="16"/>
      <c r="BW117" s="16"/>
    </row>
    <row r="118" spans="1:75" ht="60" hidden="1">
      <c r="A118" s="165" t="s">
        <v>993</v>
      </c>
      <c r="B118" s="165" t="s">
        <v>1125</v>
      </c>
      <c r="C118" s="165" t="s">
        <v>1119</v>
      </c>
      <c r="D118" s="168" t="s">
        <v>1120</v>
      </c>
      <c r="E118"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8" s="168" t="str">
        <f>_xlfn.TEXTJOIN("; ",TRUE,Nahkampfwaffen[[#This Row],[Ausfall]:[Wuchtschlag]])</f>
        <v>Finte</v>
      </c>
      <c r="G118" s="255" t="s">
        <v>113</v>
      </c>
      <c r="H118" s="167"/>
      <c r="I118" s="167"/>
      <c r="J118" s="167"/>
      <c r="K118" s="167"/>
      <c r="L118" s="167">
        <f>IF(Nahkampfwaffen[[#This Row],[Waffenmeister: TP/KK / INI/GE]]="TP/KK",1,0)</f>
        <v>0</v>
      </c>
      <c r="M118" s="167">
        <f>IF(Nahkampfwaffen[[#This Row],[Waffenmeister: TP/KK / INI/GE]]="INI/GE",1,0)</f>
        <v>0</v>
      </c>
      <c r="N118" s="167"/>
      <c r="O118" s="167"/>
      <c r="P118" s="16"/>
      <c r="Q118" s="16">
        <f>15-5*(Nahkampfwaffen[[#This Row],[Waffenmeister: AT]]+Nahkampfwaffen[[#This Row],[Waffenmeister: PA]])-3*(Nahkampfwaffen[[#This Row],[Waffenmeister: INI]])-IF(Nahkampfwaffen[[#This Row],[Waffenmeister: TP/KK / INI/GE]]="TP/KK",2,0)</f>
        <v>15</v>
      </c>
      <c r="R11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8" s="16"/>
      <c r="BT118" s="16"/>
      <c r="BU118" s="16"/>
      <c r="BV118" s="16"/>
      <c r="BW118" s="16"/>
    </row>
    <row r="119" spans="1:75" ht="60" hidden="1">
      <c r="A119" s="165" t="s">
        <v>993</v>
      </c>
      <c r="B119" s="165" t="s">
        <v>1126</v>
      </c>
      <c r="C119" s="165" t="s">
        <v>1119</v>
      </c>
      <c r="D119" s="168" t="s">
        <v>1120</v>
      </c>
      <c r="E119"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19" s="168" t="str">
        <f>_xlfn.TEXTJOIN("; ",TRUE,Nahkampfwaffen[[#This Row],[Ausfall]:[Wuchtschlag]])</f>
        <v>Finte</v>
      </c>
      <c r="G119" s="255" t="s">
        <v>113</v>
      </c>
      <c r="H119" s="167"/>
      <c r="I119" s="167"/>
      <c r="J119" s="167"/>
      <c r="K119" s="167"/>
      <c r="L119" s="167">
        <f>IF(Nahkampfwaffen[[#This Row],[Waffenmeister: TP/KK / INI/GE]]="TP/KK",1,0)</f>
        <v>0</v>
      </c>
      <c r="M119" s="167">
        <f>IF(Nahkampfwaffen[[#This Row],[Waffenmeister: TP/KK / INI/GE]]="INI/GE",1,0)</f>
        <v>0</v>
      </c>
      <c r="N119" s="167"/>
      <c r="O119" s="167"/>
      <c r="P119" s="16"/>
      <c r="Q119" s="16">
        <f>15-5*(Nahkampfwaffen[[#This Row],[Waffenmeister: AT]]+Nahkampfwaffen[[#This Row],[Waffenmeister: PA]])-3*(Nahkampfwaffen[[#This Row],[Waffenmeister: INI]])-IF(Nahkampfwaffen[[#This Row],[Waffenmeister: TP/KK / INI/GE]]="TP/KK",2,0)</f>
        <v>15</v>
      </c>
      <c r="R11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1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1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1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1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1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1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1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1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1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1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1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1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1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1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1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1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1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1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1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1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1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1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1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1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1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1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1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1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1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1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19" s="16"/>
      <c r="BT119" s="16"/>
      <c r="BU119" s="16"/>
      <c r="BV119" s="16"/>
      <c r="BW119" s="16"/>
    </row>
    <row r="120" spans="1:75" ht="60" hidden="1">
      <c r="A120" s="165" t="s">
        <v>993</v>
      </c>
      <c r="B120" s="165" t="s">
        <v>1127</v>
      </c>
      <c r="C120" s="165" t="s">
        <v>1119</v>
      </c>
      <c r="D120" s="168" t="s">
        <v>1120</v>
      </c>
      <c r="E120"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0" s="168" t="str">
        <f>_xlfn.TEXTJOIN("; ",TRUE,Nahkampfwaffen[[#This Row],[Ausfall]:[Wuchtschlag]])</f>
        <v>Finte</v>
      </c>
      <c r="G120" s="255" t="s">
        <v>113</v>
      </c>
      <c r="H120" s="167"/>
      <c r="I120" s="167"/>
      <c r="J120" s="167"/>
      <c r="K120" s="167"/>
      <c r="L120" s="167">
        <f>IF(Nahkampfwaffen[[#This Row],[Waffenmeister: TP/KK / INI/GE]]="TP/KK",1,0)</f>
        <v>0</v>
      </c>
      <c r="M120" s="167">
        <f>IF(Nahkampfwaffen[[#This Row],[Waffenmeister: TP/KK / INI/GE]]="INI/GE",1,0)</f>
        <v>0</v>
      </c>
      <c r="N120" s="167"/>
      <c r="O120" s="167"/>
      <c r="P120" s="16"/>
      <c r="Q120" s="16">
        <f>15-5*(Nahkampfwaffen[[#This Row],[Waffenmeister: AT]]+Nahkampfwaffen[[#This Row],[Waffenmeister: PA]])-3*(Nahkampfwaffen[[#This Row],[Waffenmeister: INI]])-IF(Nahkampfwaffen[[#This Row],[Waffenmeister: TP/KK / INI/GE]]="TP/KK",2,0)</f>
        <v>15</v>
      </c>
      <c r="R12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0" s="16"/>
      <c r="BT120" s="16"/>
      <c r="BU120" s="16"/>
      <c r="BV120" s="16"/>
      <c r="BW120" s="16"/>
    </row>
    <row r="121" spans="1:75" ht="60" hidden="1">
      <c r="A121" s="165" t="s">
        <v>993</v>
      </c>
      <c r="B121" s="165" t="s">
        <v>1128</v>
      </c>
      <c r="C121" s="165" t="s">
        <v>1119</v>
      </c>
      <c r="D121" s="168" t="s">
        <v>1120</v>
      </c>
      <c r="E121"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1" s="168" t="str">
        <f>_xlfn.TEXTJOIN("; ",TRUE,Nahkampfwaffen[[#This Row],[Ausfall]:[Wuchtschlag]])</f>
        <v>Finte</v>
      </c>
      <c r="G121" s="255" t="s">
        <v>113</v>
      </c>
      <c r="H121" s="167"/>
      <c r="I121" s="167"/>
      <c r="J121" s="167"/>
      <c r="K121" s="167"/>
      <c r="L121" s="167">
        <f>IF(Nahkampfwaffen[[#This Row],[Waffenmeister: TP/KK / INI/GE]]="TP/KK",1,0)</f>
        <v>0</v>
      </c>
      <c r="M121" s="167">
        <f>IF(Nahkampfwaffen[[#This Row],[Waffenmeister: TP/KK / INI/GE]]="INI/GE",1,0)</f>
        <v>0</v>
      </c>
      <c r="N121" s="167"/>
      <c r="O121" s="167"/>
      <c r="P121" s="16"/>
      <c r="Q121" s="16">
        <f>15-5*(Nahkampfwaffen[[#This Row],[Waffenmeister: AT]]+Nahkampfwaffen[[#This Row],[Waffenmeister: PA]])-3*(Nahkampfwaffen[[#This Row],[Waffenmeister: INI]])-IF(Nahkampfwaffen[[#This Row],[Waffenmeister: TP/KK / INI/GE]]="TP/KK",2,0)</f>
        <v>15</v>
      </c>
      <c r="R12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1" s="16"/>
      <c r="BT121" s="16"/>
      <c r="BU121" s="16"/>
      <c r="BV121" s="16"/>
      <c r="BW121" s="16"/>
    </row>
    <row r="122" spans="1:75" ht="60" hidden="1">
      <c r="A122" s="165" t="s">
        <v>993</v>
      </c>
      <c r="B122" s="165" t="s">
        <v>1129</v>
      </c>
      <c r="C122" s="165" t="s">
        <v>1119</v>
      </c>
      <c r="D122" s="168" t="s">
        <v>1120</v>
      </c>
      <c r="E122"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2" s="168" t="str">
        <f>_xlfn.TEXTJOIN("; ",TRUE,Nahkampfwaffen[[#This Row],[Ausfall]:[Wuchtschlag]])</f>
        <v>Finte</v>
      </c>
      <c r="G122" s="255" t="s">
        <v>113</v>
      </c>
      <c r="H122" s="167"/>
      <c r="I122" s="167"/>
      <c r="J122" s="167"/>
      <c r="K122" s="167"/>
      <c r="L122" s="167">
        <f>IF(Nahkampfwaffen[[#This Row],[Waffenmeister: TP/KK / INI/GE]]="TP/KK",1,0)</f>
        <v>0</v>
      </c>
      <c r="M122" s="167">
        <f>IF(Nahkampfwaffen[[#This Row],[Waffenmeister: TP/KK / INI/GE]]="INI/GE",1,0)</f>
        <v>0</v>
      </c>
      <c r="N122" s="167"/>
      <c r="O122" s="167"/>
      <c r="P122" s="16"/>
      <c r="Q122" s="16">
        <f>15-5*(Nahkampfwaffen[[#This Row],[Waffenmeister: AT]]+Nahkampfwaffen[[#This Row],[Waffenmeister: PA]])-3*(Nahkampfwaffen[[#This Row],[Waffenmeister: INI]])-IF(Nahkampfwaffen[[#This Row],[Waffenmeister: TP/KK / INI/GE]]="TP/KK",2,0)</f>
        <v>15</v>
      </c>
      <c r="R12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2" s="16"/>
      <c r="BT122" s="16"/>
      <c r="BU122" s="16"/>
      <c r="BV122" s="16"/>
      <c r="BW122" s="16"/>
    </row>
    <row r="123" spans="1:75" ht="60" hidden="1">
      <c r="A123" s="165" t="s">
        <v>993</v>
      </c>
      <c r="B123" s="165" t="s">
        <v>1130</v>
      </c>
      <c r="C123" s="165" t="s">
        <v>1119</v>
      </c>
      <c r="D123" s="168" t="s">
        <v>1120</v>
      </c>
      <c r="E123"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3" s="168" t="str">
        <f>_xlfn.TEXTJOIN("; ",TRUE,Nahkampfwaffen[[#This Row],[Ausfall]:[Wuchtschlag]])</f>
        <v>Finte</v>
      </c>
      <c r="G123" s="255" t="s">
        <v>113</v>
      </c>
      <c r="H123" s="167"/>
      <c r="I123" s="167"/>
      <c r="J123" s="167"/>
      <c r="K123" s="167"/>
      <c r="L123" s="167">
        <f>IF(Nahkampfwaffen[[#This Row],[Waffenmeister: TP/KK / INI/GE]]="TP/KK",1,0)</f>
        <v>0</v>
      </c>
      <c r="M123" s="167">
        <f>IF(Nahkampfwaffen[[#This Row],[Waffenmeister: TP/KK / INI/GE]]="INI/GE",1,0)</f>
        <v>0</v>
      </c>
      <c r="N123" s="167"/>
      <c r="O123" s="167"/>
      <c r="P123" s="16"/>
      <c r="Q123" s="16">
        <f>15-5*(Nahkampfwaffen[[#This Row],[Waffenmeister: AT]]+Nahkampfwaffen[[#This Row],[Waffenmeister: PA]])-3*(Nahkampfwaffen[[#This Row],[Waffenmeister: INI]])-IF(Nahkampfwaffen[[#This Row],[Waffenmeister: TP/KK / INI/GE]]="TP/KK",2,0)</f>
        <v>15</v>
      </c>
      <c r="R12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3" s="16"/>
      <c r="BT123" s="16"/>
      <c r="BU123" s="16"/>
      <c r="BV123" s="16"/>
      <c r="BW123" s="16"/>
    </row>
    <row r="124" spans="1:75" ht="60" hidden="1">
      <c r="A124" s="165" t="s">
        <v>993</v>
      </c>
      <c r="B124" s="165" t="s">
        <v>1131</v>
      </c>
      <c r="C124" s="165" t="s">
        <v>1119</v>
      </c>
      <c r="D124" s="168" t="s">
        <v>1120</v>
      </c>
      <c r="E124"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4" s="168" t="str">
        <f>_xlfn.TEXTJOIN("; ",TRUE,Nahkampfwaffen[[#This Row],[Ausfall]:[Wuchtschlag]])</f>
        <v>Finte</v>
      </c>
      <c r="G124" s="255" t="s">
        <v>113</v>
      </c>
      <c r="H124" s="167"/>
      <c r="I124" s="167"/>
      <c r="J124" s="167"/>
      <c r="K124" s="167"/>
      <c r="L124" s="167">
        <f>IF(Nahkampfwaffen[[#This Row],[Waffenmeister: TP/KK / INI/GE]]="TP/KK",1,0)</f>
        <v>0</v>
      </c>
      <c r="M124" s="167">
        <f>IF(Nahkampfwaffen[[#This Row],[Waffenmeister: TP/KK / INI/GE]]="INI/GE",1,0)</f>
        <v>0</v>
      </c>
      <c r="N124" s="167"/>
      <c r="O124" s="167"/>
      <c r="P124" s="16"/>
      <c r="Q124" s="16">
        <f>15-5*(Nahkampfwaffen[[#This Row],[Waffenmeister: AT]]+Nahkampfwaffen[[#This Row],[Waffenmeister: PA]])-3*(Nahkampfwaffen[[#This Row],[Waffenmeister: INI]])-IF(Nahkampfwaffen[[#This Row],[Waffenmeister: TP/KK / INI/GE]]="TP/KK",2,0)</f>
        <v>15</v>
      </c>
      <c r="R12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4" s="16"/>
      <c r="BT124" s="16"/>
      <c r="BU124" s="16"/>
      <c r="BV124" s="16"/>
      <c r="BW124" s="16"/>
    </row>
    <row r="125" spans="1:75" ht="60" hidden="1">
      <c r="A125" s="165" t="s">
        <v>993</v>
      </c>
      <c r="B125" s="165" t="s">
        <v>1132</v>
      </c>
      <c r="C125" s="165" t="s">
        <v>1119</v>
      </c>
      <c r="D125" s="168" t="s">
        <v>1120</v>
      </c>
      <c r="E125"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5" s="168" t="str">
        <f>_xlfn.TEXTJOIN("; ",TRUE,Nahkampfwaffen[[#This Row],[Ausfall]:[Wuchtschlag]])</f>
        <v>Finte</v>
      </c>
      <c r="G125" s="255" t="s">
        <v>113</v>
      </c>
      <c r="H125" s="167"/>
      <c r="I125" s="167"/>
      <c r="J125" s="167"/>
      <c r="K125" s="167"/>
      <c r="L125" s="167">
        <f>IF(Nahkampfwaffen[[#This Row],[Waffenmeister: TP/KK / INI/GE]]="TP/KK",1,0)</f>
        <v>0</v>
      </c>
      <c r="M125" s="167">
        <f>IF(Nahkampfwaffen[[#This Row],[Waffenmeister: TP/KK / INI/GE]]="INI/GE",1,0)</f>
        <v>0</v>
      </c>
      <c r="N125" s="167"/>
      <c r="O125" s="167"/>
      <c r="P125" s="16"/>
      <c r="Q125" s="16">
        <f>15-5*(Nahkampfwaffen[[#This Row],[Waffenmeister: AT]]+Nahkampfwaffen[[#This Row],[Waffenmeister: PA]])-3*(Nahkampfwaffen[[#This Row],[Waffenmeister: INI]])-IF(Nahkampfwaffen[[#This Row],[Waffenmeister: TP/KK / INI/GE]]="TP/KK",2,0)</f>
        <v>15</v>
      </c>
      <c r="R12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5" s="16"/>
      <c r="BT125" s="16"/>
      <c r="BU125" s="16"/>
      <c r="BV125" s="16"/>
      <c r="BW125" s="16"/>
    </row>
    <row r="126" spans="1:75" ht="60" hidden="1">
      <c r="A126" s="165" t="s">
        <v>993</v>
      </c>
      <c r="B126" s="165" t="s">
        <v>1133</v>
      </c>
      <c r="C126" s="165" t="s">
        <v>1119</v>
      </c>
      <c r="D126" s="168" t="s">
        <v>1120</v>
      </c>
      <c r="E126"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6" s="168" t="str">
        <f>_xlfn.TEXTJOIN("; ",TRUE,Nahkampfwaffen[[#This Row],[Ausfall]:[Wuchtschlag]])</f>
        <v>Finte</v>
      </c>
      <c r="G126" s="255" t="s">
        <v>113</v>
      </c>
      <c r="H126" s="167"/>
      <c r="I126" s="167"/>
      <c r="J126" s="167"/>
      <c r="K126" s="167"/>
      <c r="L126" s="167">
        <f>IF(Nahkampfwaffen[[#This Row],[Waffenmeister: TP/KK / INI/GE]]="TP/KK",1,0)</f>
        <v>0</v>
      </c>
      <c r="M126" s="167">
        <f>IF(Nahkampfwaffen[[#This Row],[Waffenmeister: TP/KK / INI/GE]]="INI/GE",1,0)</f>
        <v>0</v>
      </c>
      <c r="N126" s="167"/>
      <c r="O126" s="167"/>
      <c r="P126" s="16"/>
      <c r="Q126" s="16">
        <f>15-5*(Nahkampfwaffen[[#This Row],[Waffenmeister: AT]]+Nahkampfwaffen[[#This Row],[Waffenmeister: PA]])-3*(Nahkampfwaffen[[#This Row],[Waffenmeister: INI]])-IF(Nahkampfwaffen[[#This Row],[Waffenmeister: TP/KK / INI/GE]]="TP/KK",2,0)</f>
        <v>15</v>
      </c>
      <c r="R12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6" s="16"/>
      <c r="BT126" s="16"/>
      <c r="BU126" s="16"/>
      <c r="BV126" s="16"/>
      <c r="BW126" s="16"/>
    </row>
    <row r="127" spans="1:75" ht="60" hidden="1">
      <c r="A127" s="165" t="s">
        <v>993</v>
      </c>
      <c r="B127" s="165" t="s">
        <v>1134</v>
      </c>
      <c r="C127" s="165" t="s">
        <v>1119</v>
      </c>
      <c r="D127" s="168" t="s">
        <v>1120</v>
      </c>
      <c r="E127" s="168" t="str">
        <f>IF(ISTEXT(Nahkampfwaffen[[#This Row],[Waffenmeister: Manöver]]),_xlfn.CONCAT(Nahkampfwaffen[[#This Row],[Mögliche Manöver]]," ",Nahkampfwaffen[[#This Row],[Waffenmeister: Manöver]],","),Nahkampfwaffen[[#This Row],[Mögliche Manöver]])</f>
        <v>Ausfall, Binden, Seitenwechsel, Offensiver Distanzklassenwechsel, Defensiver Kampfstil, Offensiver Kampfstil, Entwaffnen, Festnageln (nicht alle Speere), Finte, Formation, Gegenhalten, Gezielter Stich, Klingensturm, Klingenwand, Meisterparade, Todesstoß, Umreißen,</v>
      </c>
      <c r="F127" s="168" t="str">
        <f>_xlfn.TEXTJOIN("; ",TRUE,Nahkampfwaffen[[#This Row],[Ausfall]:[Wuchtschlag]])</f>
        <v>Finte</v>
      </c>
      <c r="G127" s="255" t="s">
        <v>113</v>
      </c>
      <c r="H127" s="167"/>
      <c r="I127" s="167"/>
      <c r="J127" s="167"/>
      <c r="K127" s="167"/>
      <c r="L127" s="167">
        <f>IF(Nahkampfwaffen[[#This Row],[Waffenmeister: TP/KK / INI/GE]]="TP/KK",1,0)</f>
        <v>0</v>
      </c>
      <c r="M127" s="167">
        <f>IF(Nahkampfwaffen[[#This Row],[Waffenmeister: TP/KK / INI/GE]]="INI/GE",1,0)</f>
        <v>0</v>
      </c>
      <c r="N127" s="167"/>
      <c r="O127" s="167"/>
      <c r="P127" s="16"/>
      <c r="Q127" s="16">
        <f>15-5*(Nahkampfwaffen[[#This Row],[Waffenmeister: AT]]+Nahkampfwaffen[[#This Row],[Waffenmeister: PA]])-3*(Nahkampfwaffen[[#This Row],[Waffenmeister: INI]])-IF(Nahkampfwaffen[[#This Row],[Waffenmeister: TP/KK / INI/GE]]="TP/KK",2,0)</f>
        <v>15</v>
      </c>
      <c r="R12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7" s="16"/>
      <c r="BT127" s="16"/>
      <c r="BU127" s="16"/>
      <c r="BV127" s="16"/>
      <c r="BW127" s="16"/>
    </row>
    <row r="128" spans="1:75" ht="60" hidden="1">
      <c r="A128" s="165" t="s">
        <v>993</v>
      </c>
      <c r="B128" s="165" t="s">
        <v>1135</v>
      </c>
      <c r="C128" s="165" t="s">
        <v>1136</v>
      </c>
      <c r="D128" s="168" t="s">
        <v>1137</v>
      </c>
      <c r="E128"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Halbschwert, Klingensturm, Klingenwand, Meisterparade, Niederwerfen, Stumpfer Schlag, Sturmangriff, Umreißen, Windmühle, Wuchtschlag,</v>
      </c>
      <c r="F128" s="168" t="str">
        <f>_xlfn.TEXTJOIN("; ",TRUE,Nahkampfwaffen[[#This Row],[Ausfall]:[Wuchtschlag]])</f>
        <v>Finte</v>
      </c>
      <c r="G128" s="255" t="s">
        <v>113</v>
      </c>
      <c r="H128" s="167"/>
      <c r="I128" s="167"/>
      <c r="J128" s="167"/>
      <c r="K128" s="167"/>
      <c r="L128" s="167">
        <f>IF(Nahkampfwaffen[[#This Row],[Waffenmeister: TP/KK / INI/GE]]="TP/KK",1,0)</f>
        <v>0</v>
      </c>
      <c r="M128" s="167">
        <f>IF(Nahkampfwaffen[[#This Row],[Waffenmeister: TP/KK / INI/GE]]="INI/GE",1,0)</f>
        <v>0</v>
      </c>
      <c r="N128" s="167"/>
      <c r="O128" s="167"/>
      <c r="P128" s="16"/>
      <c r="Q128" s="16">
        <f>15-5*(Nahkampfwaffen[[#This Row],[Waffenmeister: AT]]+Nahkampfwaffen[[#This Row],[Waffenmeister: PA]])-3*(Nahkampfwaffen[[#This Row],[Waffenmeister: INI]])-IF(Nahkampfwaffen[[#This Row],[Waffenmeister: TP/KK / INI/GE]]="TP/KK",2,0)</f>
        <v>15</v>
      </c>
      <c r="R12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8" s="16"/>
      <c r="BT128" s="16"/>
      <c r="BU128" s="16"/>
      <c r="BV128" s="16"/>
      <c r="BW128" s="16"/>
    </row>
    <row r="129" spans="1:75" ht="60" hidden="1">
      <c r="A129" s="165" t="s">
        <v>993</v>
      </c>
      <c r="B129" s="165" t="s">
        <v>1138</v>
      </c>
      <c r="C129" s="165" t="s">
        <v>1136</v>
      </c>
      <c r="D129" s="168" t="s">
        <v>1137</v>
      </c>
      <c r="E129"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Halbschwert, Klingensturm, Klingenwand, Meisterparade, Niederwerfen, Stumpfer Schlag, Sturmangriff, Umreißen, Windmühle, Wuchtschlag,</v>
      </c>
      <c r="F129" s="168" t="str">
        <f>_xlfn.TEXTJOIN("; ",TRUE,Nahkampfwaffen[[#This Row],[Ausfall]:[Wuchtschlag]])</f>
        <v>Finte</v>
      </c>
      <c r="G129" s="255" t="s">
        <v>113</v>
      </c>
      <c r="H129" s="167"/>
      <c r="I129" s="167"/>
      <c r="J129" s="167"/>
      <c r="K129" s="167"/>
      <c r="L129" s="167">
        <f>IF(Nahkampfwaffen[[#This Row],[Waffenmeister: TP/KK / INI/GE]]="TP/KK",1,0)</f>
        <v>0</v>
      </c>
      <c r="M129" s="167">
        <f>IF(Nahkampfwaffen[[#This Row],[Waffenmeister: TP/KK / INI/GE]]="INI/GE",1,0)</f>
        <v>0</v>
      </c>
      <c r="N129" s="167"/>
      <c r="O129" s="167"/>
      <c r="P129" s="16"/>
      <c r="Q129" s="16">
        <f>15-5*(Nahkampfwaffen[[#This Row],[Waffenmeister: AT]]+Nahkampfwaffen[[#This Row],[Waffenmeister: PA]])-3*(Nahkampfwaffen[[#This Row],[Waffenmeister: INI]])-IF(Nahkampfwaffen[[#This Row],[Waffenmeister: TP/KK / INI/GE]]="TP/KK",2,0)</f>
        <v>15</v>
      </c>
      <c r="R12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2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2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2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2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2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2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2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2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2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2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2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2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2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2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2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2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2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2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2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2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2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2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2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2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2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2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2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2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2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2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29" s="16"/>
      <c r="BT129" s="16"/>
      <c r="BU129" s="16"/>
      <c r="BV129" s="16"/>
      <c r="BW129" s="16"/>
    </row>
    <row r="130" spans="1:75" ht="60" hidden="1">
      <c r="A130" s="165" t="s">
        <v>993</v>
      </c>
      <c r="B130" s="165" t="s">
        <v>1139</v>
      </c>
      <c r="C130" s="165" t="s">
        <v>1136</v>
      </c>
      <c r="D130" s="168" t="s">
        <v>1137</v>
      </c>
      <c r="E130" s="168" t="str">
        <f>IF(ISTEXT(Nahkampfwaffen[[#This Row],[Waffenmeister: Manöver]]),_xlfn.CONCAT(Nahkampfwaffen[[#This Row],[Mögliche Manöver]]," ",Nahkampfwaffen[[#This Row],[Waffenmeister: Manöver]],","),Nahkampfwaffen[[#This Row],[Mögliche Manöver]])</f>
        <v>Ausfall, Befreiungsschlag, Betäubungsschlag, Binden, Seitenwechsel, Offensiver Distanzklassenwechsel, Defensiver Kampfstil, Offensiver Kampfstil, Entwaffnen, Finte, Gegenhalten, Halbschwert, Klingensturm, Klingenwand, Meisterparade, Niederwerfen, Stumpfer Schlag, Sturmangriff, Umreißen, Windmühle, Wuchtschlag,</v>
      </c>
      <c r="F130" s="168" t="str">
        <f>_xlfn.TEXTJOIN("; ",TRUE,Nahkampfwaffen[[#This Row],[Ausfall]:[Wuchtschlag]])</f>
        <v>Finte</v>
      </c>
      <c r="G130" s="255" t="s">
        <v>113</v>
      </c>
      <c r="H130" s="167"/>
      <c r="I130" s="167"/>
      <c r="J130" s="167"/>
      <c r="K130" s="167"/>
      <c r="L130" s="167">
        <f>IF(Nahkampfwaffen[[#This Row],[Waffenmeister: TP/KK / INI/GE]]="TP/KK",1,0)</f>
        <v>0</v>
      </c>
      <c r="M130" s="167">
        <f>IF(Nahkampfwaffen[[#This Row],[Waffenmeister: TP/KK / INI/GE]]="INI/GE",1,0)</f>
        <v>0</v>
      </c>
      <c r="N130" s="167"/>
      <c r="O130" s="167"/>
      <c r="P130" s="16"/>
      <c r="Q130" s="16">
        <f>15-5*(Nahkampfwaffen[[#This Row],[Waffenmeister: AT]]+Nahkampfwaffen[[#This Row],[Waffenmeister: PA]])-3*(Nahkampfwaffen[[#This Row],[Waffenmeister: INI]])-IF(Nahkampfwaffen[[#This Row],[Waffenmeister: TP/KK / INI/GE]]="TP/KK",2,0)</f>
        <v>15</v>
      </c>
      <c r="R13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3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0" s="16"/>
      <c r="BT130" s="16"/>
      <c r="BU130" s="16"/>
      <c r="BV130" s="16"/>
      <c r="BW130" s="16"/>
    </row>
    <row r="131" spans="1:75" ht="30" hidden="1">
      <c r="A131" s="165" t="s">
        <v>993</v>
      </c>
      <c r="B131" s="165" t="s">
        <v>1140</v>
      </c>
      <c r="C131" s="165" t="s">
        <v>1141</v>
      </c>
      <c r="D131" s="168" t="s">
        <v>1080</v>
      </c>
      <c r="E131"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131" s="168" t="str">
        <f>_xlfn.TEXTJOIN("; ",TRUE,Nahkampfwaffen[[#This Row],[Ausfall]:[Wuchtschlag]])</f>
        <v/>
      </c>
      <c r="G131" s="255" t="s">
        <v>113</v>
      </c>
      <c r="H131" s="167"/>
      <c r="I131" s="167"/>
      <c r="J131" s="167"/>
      <c r="K131" s="167"/>
      <c r="L131" s="167">
        <f>IF(Nahkampfwaffen[[#This Row],[Waffenmeister: TP/KK / INI/GE]]="TP/KK",1,0)</f>
        <v>0</v>
      </c>
      <c r="M131" s="167">
        <f>IF(Nahkampfwaffen[[#This Row],[Waffenmeister: TP/KK / INI/GE]]="INI/GE",1,0)</f>
        <v>0</v>
      </c>
      <c r="N131" s="167"/>
      <c r="O131" s="167"/>
      <c r="P131" s="16"/>
      <c r="Q131" s="16">
        <f>15-5*(Nahkampfwaffen[[#This Row],[Waffenmeister: AT]]+Nahkampfwaffen[[#This Row],[Waffenmeister: PA]])-3*(Nahkampfwaffen[[#This Row],[Waffenmeister: INI]])-IF(Nahkampfwaffen[[#This Row],[Waffenmeister: TP/KK / INI/GE]]="TP/KK",2,0)</f>
        <v>15</v>
      </c>
      <c r="R13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1" s="16"/>
      <c r="BT131" s="16"/>
      <c r="BU131" s="16"/>
      <c r="BV131" s="16"/>
      <c r="BW131" s="16"/>
    </row>
    <row r="132" spans="1:75" ht="30" hidden="1">
      <c r="A132" s="165" t="s">
        <v>993</v>
      </c>
      <c r="B132" s="165" t="s">
        <v>1142</v>
      </c>
      <c r="C132" s="165" t="s">
        <v>1141</v>
      </c>
      <c r="D132" s="168" t="s">
        <v>1080</v>
      </c>
      <c r="E132" s="168" t="str">
        <f>IF(ISTEXT(Nahkampfwaffen[[#This Row],[Waffenmeister: Manöver]]),_xlfn.CONCAT(Nahkampfwaffen[[#This Row],[Mögliche Manöver]]," ",Nahkampfwaffen[[#This Row],[Waffenmeister: Manöver]],","),Nahkampfwaffen[[#This Row],[Mögliche Manöver]])</f>
        <v>Befreiungsschlag, Hammerschlag, Niederwerfen, Schildspalter, Sturmangriff, Windmühle, Wuchtschlag,</v>
      </c>
      <c r="F132" s="168" t="str">
        <f>_xlfn.TEXTJOIN("; ",TRUE,Nahkampfwaffen[[#This Row],[Ausfall]:[Wuchtschlag]])</f>
        <v/>
      </c>
      <c r="G132" s="255" t="s">
        <v>113</v>
      </c>
      <c r="H132" s="167"/>
      <c r="I132" s="167"/>
      <c r="J132" s="167"/>
      <c r="K132" s="167"/>
      <c r="L132" s="167">
        <f>IF(Nahkampfwaffen[[#This Row],[Waffenmeister: TP/KK / INI/GE]]="TP/KK",1,0)</f>
        <v>0</v>
      </c>
      <c r="M132" s="167">
        <f>IF(Nahkampfwaffen[[#This Row],[Waffenmeister: TP/KK / INI/GE]]="INI/GE",1,0)</f>
        <v>0</v>
      </c>
      <c r="N132" s="167"/>
      <c r="O132" s="167"/>
      <c r="P132" s="16"/>
      <c r="Q132" s="16">
        <f>15-5*(Nahkampfwaffen[[#This Row],[Waffenmeister: AT]]+Nahkampfwaffen[[#This Row],[Waffenmeister: PA]])-3*(Nahkampfwaffen[[#This Row],[Waffenmeister: INI]])-IF(Nahkampfwaffen[[#This Row],[Waffenmeister: TP/KK / INI/GE]]="TP/KK",2,0)</f>
        <v>15</v>
      </c>
      <c r="R13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2" s="16"/>
      <c r="BT132" s="16"/>
      <c r="BU132" s="16"/>
      <c r="BV132" s="16"/>
      <c r="BW132" s="16"/>
    </row>
    <row r="133" spans="1:75" ht="30" hidden="1">
      <c r="A133" s="165" t="s">
        <v>993</v>
      </c>
      <c r="B133" s="165" t="s">
        <v>1143</v>
      </c>
      <c r="C133" s="165" t="s">
        <v>1144</v>
      </c>
      <c r="D133" s="168" t="s">
        <v>1145</v>
      </c>
      <c r="E133"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3" s="168" t="str">
        <f>_xlfn.TEXTJOIN("; ",TRUE,Nahkampfwaffen[[#This Row],[Ausfall]:[Wuchtschlag]])</f>
        <v/>
      </c>
      <c r="G133" s="255" t="s">
        <v>113</v>
      </c>
      <c r="H133" s="167"/>
      <c r="I133" s="167"/>
      <c r="J133" s="167"/>
      <c r="K133" s="167"/>
      <c r="L133" s="167">
        <f>IF(Nahkampfwaffen[[#This Row],[Waffenmeister: TP/KK / INI/GE]]="TP/KK",1,0)</f>
        <v>0</v>
      </c>
      <c r="M133" s="167">
        <f>IF(Nahkampfwaffen[[#This Row],[Waffenmeister: TP/KK / INI/GE]]="INI/GE",1,0)</f>
        <v>0</v>
      </c>
      <c r="N133" s="167"/>
      <c r="O133" s="167"/>
      <c r="P133" s="16"/>
      <c r="Q133" s="16">
        <f>15-5*(Nahkampfwaffen[[#This Row],[Waffenmeister: AT]]+Nahkampfwaffen[[#This Row],[Waffenmeister: PA]])-3*(Nahkampfwaffen[[#This Row],[Waffenmeister: INI]])-IF(Nahkampfwaffen[[#This Row],[Waffenmeister: TP/KK / INI/GE]]="TP/KK",2,0)</f>
        <v>15</v>
      </c>
      <c r="R13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3" s="16"/>
      <c r="BT133" s="16"/>
      <c r="BU133" s="16"/>
      <c r="BV133" s="16"/>
      <c r="BW133" s="16"/>
    </row>
    <row r="134" spans="1:75" ht="30" hidden="1">
      <c r="A134" s="165" t="s">
        <v>993</v>
      </c>
      <c r="B134" s="165" t="s">
        <v>1146</v>
      </c>
      <c r="C134" s="165" t="s">
        <v>1144</v>
      </c>
      <c r="D134" s="168" t="s">
        <v>1145</v>
      </c>
      <c r="E134"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4" s="168" t="str">
        <f>_xlfn.TEXTJOIN("; ",TRUE,Nahkampfwaffen[[#This Row],[Ausfall]:[Wuchtschlag]])</f>
        <v/>
      </c>
      <c r="G134" s="255" t="s">
        <v>113</v>
      </c>
      <c r="H134" s="167"/>
      <c r="I134" s="167"/>
      <c r="J134" s="167"/>
      <c r="K134" s="167"/>
      <c r="L134" s="167">
        <f>IF(Nahkampfwaffen[[#This Row],[Waffenmeister: TP/KK / INI/GE]]="TP/KK",1,0)</f>
        <v>0</v>
      </c>
      <c r="M134" s="167">
        <f>IF(Nahkampfwaffen[[#This Row],[Waffenmeister: TP/KK / INI/GE]]="INI/GE",1,0)</f>
        <v>0</v>
      </c>
      <c r="N134" s="167"/>
      <c r="O134" s="167"/>
      <c r="P134" s="16"/>
      <c r="Q134" s="16">
        <f>15-5*(Nahkampfwaffen[[#This Row],[Waffenmeister: AT]]+Nahkampfwaffen[[#This Row],[Waffenmeister: PA]])-3*(Nahkampfwaffen[[#This Row],[Waffenmeister: INI]])-IF(Nahkampfwaffen[[#This Row],[Waffenmeister: TP/KK / INI/GE]]="TP/KK",2,0)</f>
        <v>15</v>
      </c>
      <c r="R13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4" s="16"/>
      <c r="BT134" s="16"/>
      <c r="BU134" s="16"/>
      <c r="BV134" s="16"/>
      <c r="BW134" s="16"/>
    </row>
    <row r="135" spans="1:75" ht="30" hidden="1">
      <c r="A135" s="165" t="s">
        <v>993</v>
      </c>
      <c r="B135" s="165" t="s">
        <v>1147</v>
      </c>
      <c r="C135" s="165" t="s">
        <v>1144</v>
      </c>
      <c r="D135" s="168" t="s">
        <v>1145</v>
      </c>
      <c r="E135"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5" s="168" t="str">
        <f>_xlfn.TEXTJOIN("; ",TRUE,Nahkampfwaffen[[#This Row],[Ausfall]:[Wuchtschlag]])</f>
        <v/>
      </c>
      <c r="G135" s="255" t="s">
        <v>113</v>
      </c>
      <c r="H135" s="167"/>
      <c r="I135" s="167"/>
      <c r="J135" s="167"/>
      <c r="K135" s="167"/>
      <c r="L135" s="167">
        <f>IF(Nahkampfwaffen[[#This Row],[Waffenmeister: TP/KK / INI/GE]]="TP/KK",1,0)</f>
        <v>0</v>
      </c>
      <c r="M135" s="167">
        <f>IF(Nahkampfwaffen[[#This Row],[Waffenmeister: TP/KK / INI/GE]]="INI/GE",1,0)</f>
        <v>0</v>
      </c>
      <c r="N135" s="167"/>
      <c r="O135" s="167"/>
      <c r="P135" s="16"/>
      <c r="Q135" s="16">
        <f>15-5*(Nahkampfwaffen[[#This Row],[Waffenmeister: AT]]+Nahkampfwaffen[[#This Row],[Waffenmeister: PA]])-3*(Nahkampfwaffen[[#This Row],[Waffenmeister: INI]])-IF(Nahkampfwaffen[[#This Row],[Waffenmeister: TP/KK / INI/GE]]="TP/KK",2,0)</f>
        <v>15</v>
      </c>
      <c r="R13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5" s="16"/>
      <c r="BT135" s="16"/>
      <c r="BU135" s="16"/>
      <c r="BV135" s="16"/>
      <c r="BW135" s="16"/>
    </row>
    <row r="136" spans="1:75" ht="30" hidden="1">
      <c r="A136" s="165" t="s">
        <v>993</v>
      </c>
      <c r="B136" s="165" t="s">
        <v>1148</v>
      </c>
      <c r="C136" s="165" t="s">
        <v>1144</v>
      </c>
      <c r="D136" s="168" t="s">
        <v>1145</v>
      </c>
      <c r="E136"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6" s="168" t="str">
        <f>_xlfn.TEXTJOIN("; ",TRUE,Nahkampfwaffen[[#This Row],[Ausfall]:[Wuchtschlag]])</f>
        <v/>
      </c>
      <c r="G136" s="255" t="s">
        <v>113</v>
      </c>
      <c r="H136" s="167"/>
      <c r="I136" s="167"/>
      <c r="J136" s="167"/>
      <c r="K136" s="167"/>
      <c r="L136" s="167">
        <f>IF(Nahkampfwaffen[[#This Row],[Waffenmeister: TP/KK / INI/GE]]="TP/KK",1,0)</f>
        <v>0</v>
      </c>
      <c r="M136" s="167">
        <f>IF(Nahkampfwaffen[[#This Row],[Waffenmeister: TP/KK / INI/GE]]="INI/GE",1,0)</f>
        <v>0</v>
      </c>
      <c r="N136" s="167"/>
      <c r="O136" s="167"/>
      <c r="P136" s="16"/>
      <c r="Q136" s="16">
        <f>15-5*(Nahkampfwaffen[[#This Row],[Waffenmeister: AT]]+Nahkampfwaffen[[#This Row],[Waffenmeister: PA]])-3*(Nahkampfwaffen[[#This Row],[Waffenmeister: INI]])-IF(Nahkampfwaffen[[#This Row],[Waffenmeister: TP/KK / INI/GE]]="TP/KK",2,0)</f>
        <v>15</v>
      </c>
      <c r="R13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6" s="16"/>
      <c r="BT136" s="16"/>
      <c r="BU136" s="16"/>
      <c r="BV136" s="16"/>
      <c r="BW136" s="16"/>
    </row>
    <row r="137" spans="1:75" ht="30" hidden="1">
      <c r="A137" s="165" t="s">
        <v>993</v>
      </c>
      <c r="B137" s="165" t="s">
        <v>1149</v>
      </c>
      <c r="C137" s="165" t="s">
        <v>1144</v>
      </c>
      <c r="D137" s="168" t="s">
        <v>1145</v>
      </c>
      <c r="E137"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7" s="168" t="str">
        <f>_xlfn.TEXTJOIN("; ",TRUE,Nahkampfwaffen[[#This Row],[Ausfall]:[Wuchtschlag]])</f>
        <v/>
      </c>
      <c r="G137" s="255" t="s">
        <v>113</v>
      </c>
      <c r="H137" s="167"/>
      <c r="I137" s="167"/>
      <c r="J137" s="167"/>
      <c r="K137" s="167"/>
      <c r="L137" s="167">
        <f>IF(Nahkampfwaffen[[#This Row],[Waffenmeister: TP/KK / INI/GE]]="TP/KK",1,0)</f>
        <v>0</v>
      </c>
      <c r="M137" s="167">
        <f>IF(Nahkampfwaffen[[#This Row],[Waffenmeister: TP/KK / INI/GE]]="INI/GE",1,0)</f>
        <v>0</v>
      </c>
      <c r="N137" s="167"/>
      <c r="O137" s="167"/>
      <c r="P137" s="16"/>
      <c r="Q137" s="16">
        <f>15-5*(Nahkampfwaffen[[#This Row],[Waffenmeister: AT]]+Nahkampfwaffen[[#This Row],[Waffenmeister: PA]])-3*(Nahkampfwaffen[[#This Row],[Waffenmeister: INI]])-IF(Nahkampfwaffen[[#This Row],[Waffenmeister: TP/KK / INI/GE]]="TP/KK",2,0)</f>
        <v>15</v>
      </c>
      <c r="R13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7" s="16"/>
      <c r="BT137" s="16"/>
      <c r="BU137" s="16"/>
      <c r="BV137" s="16"/>
      <c r="BW137" s="16"/>
    </row>
    <row r="138" spans="1:75" ht="30" hidden="1">
      <c r="A138" s="165" t="s">
        <v>993</v>
      </c>
      <c r="B138" s="165" t="s">
        <v>1150</v>
      </c>
      <c r="C138" s="165" t="s">
        <v>1144</v>
      </c>
      <c r="D138" s="168" t="s">
        <v>1145</v>
      </c>
      <c r="E138"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8" s="168" t="str">
        <f>_xlfn.TEXTJOIN("; ",TRUE,Nahkampfwaffen[[#This Row],[Ausfall]:[Wuchtschlag]])</f>
        <v/>
      </c>
      <c r="G138" s="255" t="s">
        <v>113</v>
      </c>
      <c r="H138" s="167"/>
      <c r="I138" s="167"/>
      <c r="J138" s="167"/>
      <c r="K138" s="167"/>
      <c r="L138" s="167">
        <f>IF(Nahkampfwaffen[[#This Row],[Waffenmeister: TP/KK / INI/GE]]="TP/KK",1,0)</f>
        <v>0</v>
      </c>
      <c r="M138" s="167">
        <f>IF(Nahkampfwaffen[[#This Row],[Waffenmeister: TP/KK / INI/GE]]="INI/GE",1,0)</f>
        <v>0</v>
      </c>
      <c r="N138" s="167"/>
      <c r="O138" s="167"/>
      <c r="P138" s="16"/>
      <c r="Q138" s="16">
        <f>15-5*(Nahkampfwaffen[[#This Row],[Waffenmeister: AT]]+Nahkampfwaffen[[#This Row],[Waffenmeister: PA]])-3*(Nahkampfwaffen[[#This Row],[Waffenmeister: INI]])-IF(Nahkampfwaffen[[#This Row],[Waffenmeister: TP/KK / INI/GE]]="TP/KK",2,0)</f>
        <v>15</v>
      </c>
      <c r="R13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8" s="16"/>
      <c r="BT138" s="16"/>
      <c r="BU138" s="16"/>
      <c r="BV138" s="16"/>
      <c r="BW138" s="16"/>
    </row>
    <row r="139" spans="1:75" ht="30" hidden="1">
      <c r="A139" s="165" t="s">
        <v>993</v>
      </c>
      <c r="B139" s="165" t="s">
        <v>1151</v>
      </c>
      <c r="C139" s="165" t="s">
        <v>1144</v>
      </c>
      <c r="D139" s="168" t="s">
        <v>1145</v>
      </c>
      <c r="E139"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39" s="168" t="str">
        <f>_xlfn.TEXTJOIN("; ",TRUE,Nahkampfwaffen[[#This Row],[Ausfall]:[Wuchtschlag]])</f>
        <v/>
      </c>
      <c r="G139" s="255" t="s">
        <v>113</v>
      </c>
      <c r="H139" s="167"/>
      <c r="I139" s="167"/>
      <c r="J139" s="167"/>
      <c r="K139" s="167"/>
      <c r="L139" s="167">
        <f>IF(Nahkampfwaffen[[#This Row],[Waffenmeister: TP/KK / INI/GE]]="TP/KK",1,0)</f>
        <v>0</v>
      </c>
      <c r="M139" s="167">
        <f>IF(Nahkampfwaffen[[#This Row],[Waffenmeister: TP/KK / INI/GE]]="INI/GE",1,0)</f>
        <v>0</v>
      </c>
      <c r="N139" s="167"/>
      <c r="O139" s="167"/>
      <c r="P139" s="16"/>
      <c r="Q139" s="16">
        <f>15-5*(Nahkampfwaffen[[#This Row],[Waffenmeister: AT]]+Nahkampfwaffen[[#This Row],[Waffenmeister: PA]])-3*(Nahkampfwaffen[[#This Row],[Waffenmeister: INI]])-IF(Nahkampfwaffen[[#This Row],[Waffenmeister: TP/KK / INI/GE]]="TP/KK",2,0)</f>
        <v>15</v>
      </c>
      <c r="R13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3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3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3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3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3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3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3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3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3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3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3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3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3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3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3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3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3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3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3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3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3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3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3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3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3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3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3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3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3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3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39" s="16"/>
      <c r="BT139" s="16"/>
      <c r="BU139" s="16"/>
      <c r="BV139" s="16"/>
      <c r="BW139" s="16"/>
    </row>
    <row r="140" spans="1:75" ht="30" hidden="1">
      <c r="A140" s="165" t="s">
        <v>993</v>
      </c>
      <c r="B140" s="165" t="s">
        <v>1152</v>
      </c>
      <c r="C140" s="165" t="s">
        <v>1144</v>
      </c>
      <c r="D140" s="168" t="s">
        <v>1145</v>
      </c>
      <c r="E140"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0" s="168" t="str">
        <f>_xlfn.TEXTJOIN("; ",TRUE,Nahkampfwaffen[[#This Row],[Ausfall]:[Wuchtschlag]])</f>
        <v/>
      </c>
      <c r="G140" s="255" t="s">
        <v>113</v>
      </c>
      <c r="H140" s="167"/>
      <c r="I140" s="167"/>
      <c r="J140" s="167"/>
      <c r="K140" s="167"/>
      <c r="L140" s="167">
        <f>IF(Nahkampfwaffen[[#This Row],[Waffenmeister: TP/KK / INI/GE]]="TP/KK",1,0)</f>
        <v>0</v>
      </c>
      <c r="M140" s="167">
        <f>IF(Nahkampfwaffen[[#This Row],[Waffenmeister: TP/KK / INI/GE]]="INI/GE",1,0)</f>
        <v>0</v>
      </c>
      <c r="N140" s="167"/>
      <c r="O140" s="167"/>
      <c r="P140" s="16"/>
      <c r="Q140" s="16">
        <f>15-5*(Nahkampfwaffen[[#This Row],[Waffenmeister: AT]]+Nahkampfwaffen[[#This Row],[Waffenmeister: PA]])-3*(Nahkampfwaffen[[#This Row],[Waffenmeister: INI]])-IF(Nahkampfwaffen[[#This Row],[Waffenmeister: TP/KK / INI/GE]]="TP/KK",2,0)</f>
        <v>15</v>
      </c>
      <c r="R14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0" s="16"/>
      <c r="BT140" s="16"/>
      <c r="BU140" s="16"/>
      <c r="BV140" s="16"/>
      <c r="BW140" s="16"/>
    </row>
    <row r="141" spans="1:75" ht="30" hidden="1">
      <c r="A141" s="165" t="s">
        <v>993</v>
      </c>
      <c r="B141" s="165" t="s">
        <v>1069</v>
      </c>
      <c r="C141" s="165" t="s">
        <v>1144</v>
      </c>
      <c r="D141" s="168" t="s">
        <v>1145</v>
      </c>
      <c r="E141"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1" s="168" t="str">
        <f>_xlfn.TEXTJOIN("; ",TRUE,Nahkampfwaffen[[#This Row],[Ausfall]:[Wuchtschlag]])</f>
        <v/>
      </c>
      <c r="G141" s="255" t="s">
        <v>113</v>
      </c>
      <c r="H141" s="167"/>
      <c r="I141" s="167"/>
      <c r="J141" s="167"/>
      <c r="K141" s="167"/>
      <c r="L141" s="167">
        <f>IF(Nahkampfwaffen[[#This Row],[Waffenmeister: TP/KK / INI/GE]]="TP/KK",1,0)</f>
        <v>0</v>
      </c>
      <c r="M141" s="167">
        <f>IF(Nahkampfwaffen[[#This Row],[Waffenmeister: TP/KK / INI/GE]]="INI/GE",1,0)</f>
        <v>0</v>
      </c>
      <c r="N141" s="167"/>
      <c r="O141" s="167"/>
      <c r="P141" s="16"/>
      <c r="Q141" s="16">
        <f>15-5*(Nahkampfwaffen[[#This Row],[Waffenmeister: AT]]+Nahkampfwaffen[[#This Row],[Waffenmeister: PA]])-3*(Nahkampfwaffen[[#This Row],[Waffenmeister: INI]])-IF(Nahkampfwaffen[[#This Row],[Waffenmeister: TP/KK / INI/GE]]="TP/KK",2,0)</f>
        <v>15</v>
      </c>
      <c r="R14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1" s="16"/>
      <c r="BT141" s="16"/>
      <c r="BU141" s="16"/>
      <c r="BV141" s="16"/>
      <c r="BW141" s="16"/>
    </row>
    <row r="142" spans="1:75" ht="30" hidden="1">
      <c r="A142" s="165" t="s">
        <v>993</v>
      </c>
      <c r="B142" s="165" t="s">
        <v>1153</v>
      </c>
      <c r="C142" s="165" t="s">
        <v>1144</v>
      </c>
      <c r="D142" s="168" t="s">
        <v>1145</v>
      </c>
      <c r="E142"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2" s="168" t="str">
        <f>_xlfn.TEXTJOIN("; ",TRUE,Nahkampfwaffen[[#This Row],[Ausfall]:[Wuchtschlag]])</f>
        <v/>
      </c>
      <c r="G142" s="255" t="s">
        <v>113</v>
      </c>
      <c r="H142" s="167"/>
      <c r="I142" s="167"/>
      <c r="J142" s="167"/>
      <c r="K142" s="167"/>
      <c r="L142" s="167">
        <f>IF(Nahkampfwaffen[[#This Row],[Waffenmeister: TP/KK / INI/GE]]="TP/KK",1,0)</f>
        <v>0</v>
      </c>
      <c r="M142" s="167">
        <f>IF(Nahkampfwaffen[[#This Row],[Waffenmeister: TP/KK / INI/GE]]="INI/GE",1,0)</f>
        <v>0</v>
      </c>
      <c r="N142" s="167"/>
      <c r="O142" s="167"/>
      <c r="P142" s="16"/>
      <c r="Q142" s="16">
        <f>15-5*(Nahkampfwaffen[[#This Row],[Waffenmeister: AT]]+Nahkampfwaffen[[#This Row],[Waffenmeister: PA]])-3*(Nahkampfwaffen[[#This Row],[Waffenmeister: INI]])-IF(Nahkampfwaffen[[#This Row],[Waffenmeister: TP/KK / INI/GE]]="TP/KK",2,0)</f>
        <v>15</v>
      </c>
      <c r="R14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2" s="16"/>
      <c r="BT142" s="16"/>
      <c r="BU142" s="16"/>
      <c r="BV142" s="16"/>
      <c r="BW142" s="16"/>
    </row>
    <row r="143" spans="1:75" ht="30" hidden="1">
      <c r="A143" s="165" t="s">
        <v>993</v>
      </c>
      <c r="B143" s="165" t="s">
        <v>1154</v>
      </c>
      <c r="C143" s="165" t="s">
        <v>1144</v>
      </c>
      <c r="D143" s="168" t="s">
        <v>1145</v>
      </c>
      <c r="E143"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3" s="168" t="str">
        <f>_xlfn.TEXTJOIN("; ",TRUE,Nahkampfwaffen[[#This Row],[Ausfall]:[Wuchtschlag]])</f>
        <v/>
      </c>
      <c r="G143" s="255" t="s">
        <v>113</v>
      </c>
      <c r="H143" s="167"/>
      <c r="I143" s="167"/>
      <c r="J143" s="167"/>
      <c r="K143" s="167"/>
      <c r="L143" s="167">
        <f>IF(Nahkampfwaffen[[#This Row],[Waffenmeister: TP/KK / INI/GE]]="TP/KK",1,0)</f>
        <v>0</v>
      </c>
      <c r="M143" s="167">
        <f>IF(Nahkampfwaffen[[#This Row],[Waffenmeister: TP/KK / INI/GE]]="INI/GE",1,0)</f>
        <v>0</v>
      </c>
      <c r="N143" s="167"/>
      <c r="O143" s="167"/>
      <c r="P143" s="16"/>
      <c r="Q143" s="16">
        <f>15-5*(Nahkampfwaffen[[#This Row],[Waffenmeister: AT]]+Nahkampfwaffen[[#This Row],[Waffenmeister: PA]])-3*(Nahkampfwaffen[[#This Row],[Waffenmeister: INI]])-IF(Nahkampfwaffen[[#This Row],[Waffenmeister: TP/KK / INI/GE]]="TP/KK",2,0)</f>
        <v>15</v>
      </c>
      <c r="R14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3" s="16"/>
      <c r="BT143" s="16"/>
      <c r="BU143" s="16"/>
      <c r="BV143" s="16"/>
      <c r="BW143" s="16"/>
    </row>
    <row r="144" spans="1:75" ht="30" hidden="1">
      <c r="A144" s="165" t="s">
        <v>993</v>
      </c>
      <c r="B144" s="165" t="s">
        <v>1155</v>
      </c>
      <c r="C144" s="165" t="s">
        <v>1144</v>
      </c>
      <c r="D144" s="168" t="s">
        <v>1145</v>
      </c>
      <c r="E144"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4" s="168" t="str">
        <f>_xlfn.TEXTJOIN("; ",TRUE,Nahkampfwaffen[[#This Row],[Ausfall]:[Wuchtschlag]])</f>
        <v/>
      </c>
      <c r="G144" s="255" t="s">
        <v>113</v>
      </c>
      <c r="H144" s="167"/>
      <c r="I144" s="167"/>
      <c r="J144" s="167"/>
      <c r="K144" s="167"/>
      <c r="L144" s="167">
        <f>IF(Nahkampfwaffen[[#This Row],[Waffenmeister: TP/KK / INI/GE]]="TP/KK",1,0)</f>
        <v>0</v>
      </c>
      <c r="M144" s="167">
        <f>IF(Nahkampfwaffen[[#This Row],[Waffenmeister: TP/KK / INI/GE]]="INI/GE",1,0)</f>
        <v>0</v>
      </c>
      <c r="N144" s="167"/>
      <c r="O144" s="167"/>
      <c r="P144" s="16"/>
      <c r="Q144" s="16">
        <f>15-5*(Nahkampfwaffen[[#This Row],[Waffenmeister: AT]]+Nahkampfwaffen[[#This Row],[Waffenmeister: PA]])-3*(Nahkampfwaffen[[#This Row],[Waffenmeister: INI]])-IF(Nahkampfwaffen[[#This Row],[Waffenmeister: TP/KK / INI/GE]]="TP/KK",2,0)</f>
        <v>15</v>
      </c>
      <c r="R14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4" s="16"/>
      <c r="BT144" s="16"/>
      <c r="BU144" s="16"/>
      <c r="BV144" s="16"/>
      <c r="BW144" s="16"/>
    </row>
    <row r="145" spans="1:75" ht="30" hidden="1">
      <c r="A145" s="165" t="s">
        <v>993</v>
      </c>
      <c r="B145" s="165" t="s">
        <v>1156</v>
      </c>
      <c r="C145" s="165" t="s">
        <v>1144</v>
      </c>
      <c r="D145" s="168" t="s">
        <v>1145</v>
      </c>
      <c r="E145"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5" s="168" t="str">
        <f>_xlfn.TEXTJOIN("; ",TRUE,Nahkampfwaffen[[#This Row],[Ausfall]:[Wuchtschlag]])</f>
        <v/>
      </c>
      <c r="G145" s="255" t="s">
        <v>113</v>
      </c>
      <c r="H145" s="167"/>
      <c r="I145" s="167"/>
      <c r="J145" s="167"/>
      <c r="K145" s="167"/>
      <c r="L145" s="167">
        <f>IF(Nahkampfwaffen[[#This Row],[Waffenmeister: TP/KK / INI/GE]]="TP/KK",1,0)</f>
        <v>0</v>
      </c>
      <c r="M145" s="167">
        <f>IF(Nahkampfwaffen[[#This Row],[Waffenmeister: TP/KK / INI/GE]]="INI/GE",1,0)</f>
        <v>0</v>
      </c>
      <c r="N145" s="167"/>
      <c r="O145" s="167"/>
      <c r="P145" s="16"/>
      <c r="Q145" s="16">
        <f>15-5*(Nahkampfwaffen[[#This Row],[Waffenmeister: AT]]+Nahkampfwaffen[[#This Row],[Waffenmeister: PA]])-3*(Nahkampfwaffen[[#This Row],[Waffenmeister: INI]])-IF(Nahkampfwaffen[[#This Row],[Waffenmeister: TP/KK / INI/GE]]="TP/KK",2,0)</f>
        <v>15</v>
      </c>
      <c r="R14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5" s="16"/>
      <c r="BT145" s="16"/>
      <c r="BU145" s="16"/>
      <c r="BV145" s="16"/>
      <c r="BW145" s="16"/>
    </row>
    <row r="146" spans="1:75" ht="30" hidden="1">
      <c r="A146" s="165" t="s">
        <v>993</v>
      </c>
      <c r="B146" s="165" t="s">
        <v>1157</v>
      </c>
      <c r="C146" s="165" t="s">
        <v>1144</v>
      </c>
      <c r="D146" s="168" t="s">
        <v>1145</v>
      </c>
      <c r="E146" s="168" t="str">
        <f>IF(ISTEXT(Nahkampfwaffen[[#This Row],[Waffenmeister: Manöver]]),_xlfn.CONCAT(Nahkampfwaffen[[#This Row],[Mögliche Manöver]]," ",Nahkampfwaffen[[#This Row],[Waffenmeister: Manöver]],","),Nahkampfwaffen[[#This Row],[Mögliche Manöver]])</f>
        <v>Befreiungsschlag, Defensiver Kampfstil, Offensiver Kampfstil, Gegenhalten, Hammerschlag, Meisterparade, Niederwerfen, Schildspalter, Sturmangriff, Windmühle, Wuchtschlag,</v>
      </c>
      <c r="F146" s="168" t="str">
        <f>_xlfn.TEXTJOIN("; ",TRUE,Nahkampfwaffen[[#This Row],[Ausfall]:[Wuchtschlag]])</f>
        <v/>
      </c>
      <c r="G146" s="255" t="s">
        <v>113</v>
      </c>
      <c r="H146" s="167"/>
      <c r="I146" s="167"/>
      <c r="J146" s="167"/>
      <c r="K146" s="167"/>
      <c r="L146" s="167">
        <f>IF(Nahkampfwaffen[[#This Row],[Waffenmeister: TP/KK / INI/GE]]="TP/KK",1,0)</f>
        <v>0</v>
      </c>
      <c r="M146" s="167">
        <f>IF(Nahkampfwaffen[[#This Row],[Waffenmeister: TP/KK / INI/GE]]="INI/GE",1,0)</f>
        <v>0</v>
      </c>
      <c r="N146" s="167"/>
      <c r="O146" s="167"/>
      <c r="P146" s="16"/>
      <c r="Q146" s="16">
        <f>15-5*(Nahkampfwaffen[[#This Row],[Waffenmeister: AT]]+Nahkampfwaffen[[#This Row],[Waffenmeister: PA]])-3*(Nahkampfwaffen[[#This Row],[Waffenmeister: INI]])-IF(Nahkampfwaffen[[#This Row],[Waffenmeister: TP/KK / INI/GE]]="TP/KK",2,0)</f>
        <v>15</v>
      </c>
      <c r="R14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4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6"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6" s="16"/>
      <c r="BT146" s="16"/>
      <c r="BU146" s="16"/>
      <c r="BV146" s="16"/>
      <c r="BW146" s="16"/>
    </row>
    <row r="147" spans="1:75" ht="60" hidden="1">
      <c r="A147" s="165" t="s">
        <v>993</v>
      </c>
      <c r="B147" s="165" t="s">
        <v>1158</v>
      </c>
      <c r="C147" s="165" t="s">
        <v>1159</v>
      </c>
      <c r="D147" s="168" t="s">
        <v>1160</v>
      </c>
      <c r="E147"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47" s="168" t="str">
        <f>_xlfn.TEXTJOIN("; ",TRUE,Nahkampfwaffen[[#This Row],[Ausfall]:[Wuchtschlag]])</f>
        <v>Finte</v>
      </c>
      <c r="G147" s="255" t="s">
        <v>429</v>
      </c>
      <c r="H147" s="167"/>
      <c r="I147" s="167"/>
      <c r="J147" s="167"/>
      <c r="K147" s="167"/>
      <c r="L147" s="167">
        <f>IF(Nahkampfwaffen[[#This Row],[Waffenmeister: TP/KK / INI/GE]]="TP/KK",1,0)</f>
        <v>0</v>
      </c>
      <c r="M147" s="167">
        <f>IF(Nahkampfwaffen[[#This Row],[Waffenmeister: TP/KK / INI/GE]]="INI/GE",1,0)</f>
        <v>0</v>
      </c>
      <c r="N147" s="167"/>
      <c r="O147" s="167"/>
      <c r="P147" s="16"/>
      <c r="Q147" s="16">
        <f>15-5*(Nahkampfwaffen[[#This Row],[Waffenmeister: AT]]+Nahkampfwaffen[[#This Row],[Waffenmeister: PA]])-3*(Nahkampfwaffen[[#This Row],[Waffenmeister: INI]])-IF(Nahkampfwaffen[[#This Row],[Waffenmeister: TP/KK / INI/GE]]="TP/KK",2,0)</f>
        <v>15</v>
      </c>
      <c r="R14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4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7"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7" s="16"/>
      <c r="BT147" s="16"/>
      <c r="BU147" s="16"/>
      <c r="BV147" s="16"/>
      <c r="BW147" s="16"/>
    </row>
    <row r="148" spans="1:75" ht="60" hidden="1">
      <c r="A148" s="165" t="s">
        <v>993</v>
      </c>
      <c r="B148" s="165" t="s">
        <v>994</v>
      </c>
      <c r="C148" s="165" t="s">
        <v>1159</v>
      </c>
      <c r="D148" s="168" t="s">
        <v>1160</v>
      </c>
      <c r="E148"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48" s="168" t="str">
        <f>_xlfn.TEXTJOIN("; ",TRUE,Nahkampfwaffen[[#This Row],[Ausfall]:[Wuchtschlag]])</f>
        <v>Finte</v>
      </c>
      <c r="G148" s="255" t="s">
        <v>429</v>
      </c>
      <c r="H148" s="167"/>
      <c r="I148" s="167"/>
      <c r="J148" s="167"/>
      <c r="K148" s="167"/>
      <c r="L148" s="167">
        <f>IF(Nahkampfwaffen[[#This Row],[Waffenmeister: TP/KK / INI/GE]]="TP/KK",1,0)</f>
        <v>0</v>
      </c>
      <c r="M148" s="167">
        <f>IF(Nahkampfwaffen[[#This Row],[Waffenmeister: TP/KK / INI/GE]]="INI/GE",1,0)</f>
        <v>0</v>
      </c>
      <c r="N148" s="167"/>
      <c r="O148" s="167"/>
      <c r="P148" s="16"/>
      <c r="Q148" s="16">
        <f>15-5*(Nahkampfwaffen[[#This Row],[Waffenmeister: AT]]+Nahkampfwaffen[[#This Row],[Waffenmeister: PA]])-3*(Nahkampfwaffen[[#This Row],[Waffenmeister: INI]])-IF(Nahkampfwaffen[[#This Row],[Waffenmeister: TP/KK / INI/GE]]="TP/KK",2,0)</f>
        <v>15</v>
      </c>
      <c r="R148"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8"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8"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8"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8"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8"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8"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8"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8"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8"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48"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8"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8"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8"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8"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8"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8"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8"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8"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8"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8"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8"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8"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8"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8"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8"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8"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8"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8"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8"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8" s="16"/>
      <c r="BT148" s="16"/>
      <c r="BU148" s="16"/>
      <c r="BV148" s="16"/>
      <c r="BW148" s="16"/>
    </row>
    <row r="149" spans="1:75" ht="60" hidden="1">
      <c r="A149" s="165" t="s">
        <v>993</v>
      </c>
      <c r="B149" s="165" t="s">
        <v>1161</v>
      </c>
      <c r="C149" s="165" t="s">
        <v>1159</v>
      </c>
      <c r="D149" s="168" t="s">
        <v>1160</v>
      </c>
      <c r="E149"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49" s="168" t="str">
        <f>_xlfn.TEXTJOIN("; ",TRUE,Nahkampfwaffen[[#This Row],[Ausfall]:[Wuchtschlag]])</f>
        <v>Finte</v>
      </c>
      <c r="G149" s="255" t="s">
        <v>429</v>
      </c>
      <c r="H149" s="167"/>
      <c r="I149" s="167"/>
      <c r="J149" s="167"/>
      <c r="K149" s="167"/>
      <c r="L149" s="167">
        <f>IF(Nahkampfwaffen[[#This Row],[Waffenmeister: TP/KK / INI/GE]]="TP/KK",1,0)</f>
        <v>0</v>
      </c>
      <c r="M149" s="167">
        <f>IF(Nahkampfwaffen[[#This Row],[Waffenmeister: TP/KK / INI/GE]]="INI/GE",1,0)</f>
        <v>0</v>
      </c>
      <c r="N149" s="167"/>
      <c r="O149" s="167"/>
      <c r="P149" s="16"/>
      <c r="Q149" s="16">
        <f>15-5*(Nahkampfwaffen[[#This Row],[Waffenmeister: AT]]+Nahkampfwaffen[[#This Row],[Waffenmeister: PA]])-3*(Nahkampfwaffen[[#This Row],[Waffenmeister: INI]])-IF(Nahkampfwaffen[[#This Row],[Waffenmeister: TP/KK / INI/GE]]="TP/KK",2,0)</f>
        <v>15</v>
      </c>
      <c r="R149"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49"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49"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49"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49"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49"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49"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49"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49"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49"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49"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49"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49"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49"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49"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49"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49"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49"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49"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49"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4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49"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49"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49"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49"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49"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49"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49"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49"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49"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49"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49" s="16"/>
      <c r="BT149" s="16"/>
      <c r="BU149" s="16"/>
      <c r="BV149" s="16"/>
      <c r="BW149" s="16"/>
    </row>
    <row r="150" spans="1:75" ht="60" hidden="1">
      <c r="A150" s="165" t="s">
        <v>993</v>
      </c>
      <c r="B150" s="165" t="s">
        <v>1162</v>
      </c>
      <c r="C150" s="165" t="s">
        <v>1159</v>
      </c>
      <c r="D150" s="168" t="s">
        <v>1160</v>
      </c>
      <c r="E150"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0" s="168" t="str">
        <f>_xlfn.TEXTJOIN("; ",TRUE,Nahkampfwaffen[[#This Row],[Ausfall]:[Wuchtschlag]])</f>
        <v>Finte</v>
      </c>
      <c r="G150" s="255" t="s">
        <v>429</v>
      </c>
      <c r="H150" s="167"/>
      <c r="I150" s="167"/>
      <c r="J150" s="167"/>
      <c r="K150" s="167"/>
      <c r="L150" s="167">
        <f>IF(Nahkampfwaffen[[#This Row],[Waffenmeister: TP/KK / INI/GE]]="TP/KK",1,0)</f>
        <v>0</v>
      </c>
      <c r="M150" s="167">
        <f>IF(Nahkampfwaffen[[#This Row],[Waffenmeister: TP/KK / INI/GE]]="INI/GE",1,0)</f>
        <v>0</v>
      </c>
      <c r="N150" s="167"/>
      <c r="O150" s="167"/>
      <c r="P150" s="16"/>
      <c r="Q150" s="16">
        <f>15-5*(Nahkampfwaffen[[#This Row],[Waffenmeister: AT]]+Nahkampfwaffen[[#This Row],[Waffenmeister: PA]])-3*(Nahkampfwaffen[[#This Row],[Waffenmeister: INI]])-IF(Nahkampfwaffen[[#This Row],[Waffenmeister: TP/KK / INI/GE]]="TP/KK",2,0)</f>
        <v>15</v>
      </c>
      <c r="R150"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0"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0"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0"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0"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0"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0"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0"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0"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0"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0"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0"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0"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0"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0"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0"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0"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0"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0"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0"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0"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0"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0"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0"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0"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0"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0"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0"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0"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0"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0" s="16"/>
      <c r="BT150" s="16"/>
      <c r="BU150" s="16"/>
      <c r="BV150" s="16"/>
      <c r="BW150" s="16"/>
    </row>
    <row r="151" spans="1:75" ht="60" hidden="1">
      <c r="A151" s="165" t="s">
        <v>993</v>
      </c>
      <c r="B151" s="165" t="s">
        <v>1163</v>
      </c>
      <c r="C151" s="165" t="s">
        <v>1159</v>
      </c>
      <c r="D151" s="168" t="s">
        <v>1160</v>
      </c>
      <c r="E151"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1" s="168" t="str">
        <f>_xlfn.TEXTJOIN("; ",TRUE,Nahkampfwaffen[[#This Row],[Ausfall]:[Wuchtschlag]])</f>
        <v>Finte</v>
      </c>
      <c r="G151" s="255" t="s">
        <v>429</v>
      </c>
      <c r="H151" s="167"/>
      <c r="I151" s="167"/>
      <c r="J151" s="167"/>
      <c r="K151" s="167"/>
      <c r="L151" s="167">
        <f>IF(Nahkampfwaffen[[#This Row],[Waffenmeister: TP/KK / INI/GE]]="TP/KK",1,0)</f>
        <v>0</v>
      </c>
      <c r="M151" s="167">
        <f>IF(Nahkampfwaffen[[#This Row],[Waffenmeister: TP/KK / INI/GE]]="INI/GE",1,0)</f>
        <v>0</v>
      </c>
      <c r="N151" s="167"/>
      <c r="O151" s="167"/>
      <c r="P151" s="16"/>
      <c r="Q151" s="16">
        <f>15-5*(Nahkampfwaffen[[#This Row],[Waffenmeister: AT]]+Nahkampfwaffen[[#This Row],[Waffenmeister: PA]])-3*(Nahkampfwaffen[[#This Row],[Waffenmeister: INI]])-IF(Nahkampfwaffen[[#This Row],[Waffenmeister: TP/KK / INI/GE]]="TP/KK",2,0)</f>
        <v>15</v>
      </c>
      <c r="R151"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1"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1"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1"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1"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1"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1"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1"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1"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1"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1"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1"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1"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1"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1"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1"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1"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1"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1"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1"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1"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1"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1"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1"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1"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1"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1"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1"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1"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1"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1" s="16"/>
      <c r="BT151" s="16"/>
      <c r="BU151" s="16"/>
      <c r="BV151" s="16"/>
      <c r="BW151" s="16"/>
    </row>
    <row r="152" spans="1:75" ht="60" hidden="1">
      <c r="A152" s="165" t="s">
        <v>993</v>
      </c>
      <c r="B152" s="165" t="s">
        <v>1164</v>
      </c>
      <c r="C152" s="165" t="s">
        <v>1159</v>
      </c>
      <c r="D152" s="168" t="s">
        <v>1160</v>
      </c>
      <c r="E152"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2" s="168" t="str">
        <f>_xlfn.TEXTJOIN("; ",TRUE,Nahkampfwaffen[[#This Row],[Ausfall]:[Wuchtschlag]])</f>
        <v>Finte</v>
      </c>
      <c r="G152" s="255" t="s">
        <v>429</v>
      </c>
      <c r="H152" s="167"/>
      <c r="I152" s="167"/>
      <c r="J152" s="167"/>
      <c r="K152" s="167"/>
      <c r="L152" s="167">
        <f>IF(Nahkampfwaffen[[#This Row],[Waffenmeister: TP/KK / INI/GE]]="TP/KK",1,0)</f>
        <v>0</v>
      </c>
      <c r="M152" s="167">
        <f>IF(Nahkampfwaffen[[#This Row],[Waffenmeister: TP/KK / INI/GE]]="INI/GE",1,0)</f>
        <v>0</v>
      </c>
      <c r="N152" s="167"/>
      <c r="O152" s="167"/>
      <c r="P152" s="16"/>
      <c r="Q152" s="16">
        <f>15-5*(Nahkampfwaffen[[#This Row],[Waffenmeister: AT]]+Nahkampfwaffen[[#This Row],[Waffenmeister: PA]])-3*(Nahkampfwaffen[[#This Row],[Waffenmeister: INI]])-IF(Nahkampfwaffen[[#This Row],[Waffenmeister: TP/KK / INI/GE]]="TP/KK",2,0)</f>
        <v>15</v>
      </c>
      <c r="R152"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2"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2"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2"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2"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2"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2"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2"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2"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2"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2"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2"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2"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2"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2"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2"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2"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2"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2"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2"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2"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2"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2"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2"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2"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2"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2"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2"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2"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2"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2" s="16"/>
      <c r="BT152" s="16"/>
      <c r="BU152" s="16"/>
      <c r="BV152" s="16"/>
      <c r="BW152" s="16"/>
    </row>
    <row r="153" spans="1:75" ht="60" hidden="1">
      <c r="A153" s="165" t="s">
        <v>993</v>
      </c>
      <c r="B153" s="165" t="s">
        <v>1000</v>
      </c>
      <c r="C153" s="165" t="s">
        <v>1159</v>
      </c>
      <c r="D153" s="168" t="s">
        <v>1160</v>
      </c>
      <c r="E153"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3" s="168" t="str">
        <f>_xlfn.TEXTJOIN("; ",TRUE,Nahkampfwaffen[[#This Row],[Ausfall]:[Wuchtschlag]])</f>
        <v>Finte</v>
      </c>
      <c r="G153" s="255" t="s">
        <v>429</v>
      </c>
      <c r="H153" s="167"/>
      <c r="I153" s="167"/>
      <c r="J153" s="167"/>
      <c r="K153" s="167"/>
      <c r="L153" s="167">
        <f>IF(Nahkampfwaffen[[#This Row],[Waffenmeister: TP/KK / INI/GE]]="TP/KK",1,0)</f>
        <v>0</v>
      </c>
      <c r="M153" s="167">
        <f>IF(Nahkampfwaffen[[#This Row],[Waffenmeister: TP/KK / INI/GE]]="INI/GE",1,0)</f>
        <v>0</v>
      </c>
      <c r="N153" s="167"/>
      <c r="O153" s="167"/>
      <c r="P153" s="16"/>
      <c r="Q153" s="16">
        <f>15-5*(Nahkampfwaffen[[#This Row],[Waffenmeister: AT]]+Nahkampfwaffen[[#This Row],[Waffenmeister: PA]])-3*(Nahkampfwaffen[[#This Row],[Waffenmeister: INI]])-IF(Nahkampfwaffen[[#This Row],[Waffenmeister: TP/KK / INI/GE]]="TP/KK",2,0)</f>
        <v>15</v>
      </c>
      <c r="R153"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3"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3"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3"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3"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3"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3"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3"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3"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3"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3"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3"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3"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3"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3"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3"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3"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3"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3"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3"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3"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3"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3"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3"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3"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3"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3"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3"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3"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3"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3" s="16"/>
      <c r="BT153" s="16"/>
      <c r="BU153" s="16"/>
      <c r="BV153" s="16"/>
      <c r="BW153" s="16"/>
    </row>
    <row r="154" spans="1:75" ht="60" hidden="1">
      <c r="A154" s="165" t="s">
        <v>993</v>
      </c>
      <c r="B154" s="165" t="s">
        <v>1165</v>
      </c>
      <c r="C154" s="165" t="s">
        <v>1159</v>
      </c>
      <c r="D154" s="168" t="s">
        <v>1160</v>
      </c>
      <c r="E154"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4" s="168" t="str">
        <f>_xlfn.TEXTJOIN("; ",TRUE,Nahkampfwaffen[[#This Row],[Ausfall]:[Wuchtschlag]])</f>
        <v>Finte</v>
      </c>
      <c r="G154" s="255" t="s">
        <v>429</v>
      </c>
      <c r="H154" s="167"/>
      <c r="I154" s="167"/>
      <c r="J154" s="167"/>
      <c r="K154" s="167"/>
      <c r="L154" s="167">
        <f>IF(Nahkampfwaffen[[#This Row],[Waffenmeister: TP/KK / INI/GE]]="TP/KK",1,0)</f>
        <v>0</v>
      </c>
      <c r="M154" s="167">
        <f>IF(Nahkampfwaffen[[#This Row],[Waffenmeister: TP/KK / INI/GE]]="INI/GE",1,0)</f>
        <v>0</v>
      </c>
      <c r="N154" s="167"/>
      <c r="O154" s="167"/>
      <c r="P154" s="16"/>
      <c r="Q154" s="16">
        <f>15-5*(Nahkampfwaffen[[#This Row],[Waffenmeister: AT]]+Nahkampfwaffen[[#This Row],[Waffenmeister: PA]])-3*(Nahkampfwaffen[[#This Row],[Waffenmeister: INI]])-IF(Nahkampfwaffen[[#This Row],[Waffenmeister: TP/KK / INI/GE]]="TP/KK",2,0)</f>
        <v>15</v>
      </c>
      <c r="R154"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4"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4"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4"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4"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4"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4"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4"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4"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4"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4"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4"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4"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4"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4"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4"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4"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4"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4"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4"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4"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4"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4"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4"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4"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4"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4"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4"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4"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4"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4" s="16"/>
      <c r="BT154" s="16"/>
      <c r="BU154" s="16"/>
      <c r="BV154" s="16"/>
      <c r="BW154" s="16"/>
    </row>
    <row r="155" spans="1:75" ht="60" hidden="1">
      <c r="A155" s="165" t="s">
        <v>993</v>
      </c>
      <c r="B155" s="165" t="s">
        <v>1166</v>
      </c>
      <c r="C155" s="165" t="s">
        <v>1159</v>
      </c>
      <c r="D155" s="168" t="s">
        <v>1160</v>
      </c>
      <c r="E155" s="168" t="str">
        <f>IF(ISTEXT(Nahkampfwaffen[[#This Row],[Waffenmeister: Manöver]]),_xlfn.CONCAT(Nahkampfwaffen[[#This Row],[Mögliche Manöver]]," ",Nahkampfwaffen[[#This Row],[Waffenmeister: Manöver]],","),Nahkampfwaffen[[#This Row],[Mögliche Manöver]])</f>
        <v>Befreiungsschlag, Defensiver Kampfstil, Offensiver Kampfstil, Finte, Formations-Parade, Gegenhalten, Halbschwert, Hammerschlag, Meisterparade, Niederwerfen, Schildspalter, Sturmangriff, Windmühle, Wuchtschlag, Entwaffnen (nur mit Kenntnis von halbschwert), Umreißen (nur mit Kenntnis von halbschwert),</v>
      </c>
      <c r="F155" s="168" t="str">
        <f>_xlfn.TEXTJOIN("; ",TRUE,Nahkampfwaffen[[#This Row],[Ausfall]:[Wuchtschlag]])</f>
        <v>Finte</v>
      </c>
      <c r="G155" s="255" t="s">
        <v>429</v>
      </c>
      <c r="H155" s="167"/>
      <c r="I155" s="167"/>
      <c r="J155" s="167"/>
      <c r="K155" s="167"/>
      <c r="L155" s="167">
        <f>IF(Nahkampfwaffen[[#This Row],[Waffenmeister: TP/KK / INI/GE]]="TP/KK",1,0)</f>
        <v>0</v>
      </c>
      <c r="M155" s="167">
        <f>IF(Nahkampfwaffen[[#This Row],[Waffenmeister: TP/KK / INI/GE]]="INI/GE",1,0)</f>
        <v>0</v>
      </c>
      <c r="N155" s="167"/>
      <c r="O155" s="167"/>
      <c r="P155" s="16"/>
      <c r="Q155" s="16">
        <f>15-5*(Nahkampfwaffen[[#This Row],[Waffenmeister: AT]]+Nahkampfwaffen[[#This Row],[Waffenmeister: PA]])-3*(Nahkampfwaffen[[#This Row],[Waffenmeister: INI]])-IF(Nahkampfwaffen[[#This Row],[Waffenmeister: TP/KK / INI/GE]]="TP/KK",2,0)</f>
        <v>15</v>
      </c>
      <c r="R155"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5"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5"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5"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5"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5"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5"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5"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5"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5"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Finte</v>
      </c>
      <c r="AB155"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5"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5"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5"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5"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5"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5"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5"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5"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5"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5"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5"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5"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5"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5"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5"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5"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5"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5"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5" s="16" t="str">
        <f>IF(AND(NOT(ISERROR(FIND(Nahkampfwaffen[[#Headers],[Auspendeln]],Nahkampfwaffen[[#This Row],[Aktivierte Manöver]]))),_xlfn.XLOOKUP(Nahkampfwaffen[[#Headers],[Auspendeln]],Nahkampf!$B$80:$B$107,Nahkampf!$D$80:$D$107)),MID(Nahkampfwaffen[[#This Row],[Aktivierte Manöver]],FIND(Nahkampfwaffen[[#Headers],[Auspendeln]],Nahkampfwaffen[[#This Row],[Aktivierte Manöver]]),FIND(",",Nahkampfwaffen[[#This Row],[Aktivierte Manöver]],FIND(Nahkampfwaffen[[#Headers],[Auspendeln]],Nahkampfwaffen[[#This Row],[Aktivierte Manöver]]))-(FIND(Nahkampfwaffen[[#Headers],[Auspendeln]],Nahkampfwaffen[[#This Row],[Aktivierte Manöver]]))),"")</f>
        <v/>
      </c>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t="str">
        <f>IF(AND(NOT(ISERROR(FIND(Nahkampfwaffen[[#Headers],[Sprung]],Nahkampfwaffen[[#This Row],[Formation]]))),_xlfn.XLOOKUP(Nahkampfwaffen[[#Headers],[Sprung]],Nahkampf!$B$80:$B$107,Nahkampf!$D$80:$D$107)),MID(Nahkampfwaffen[[#This Row],[Formation]],FIND(Nahkampfwaffen[[#Headers],[Sprung]],Nahkampfwaffen[[#This Row],[Formation]]),FIND(",",Nahkampfwaffen[[#This Row],[Formation]],FIND(Nahkampfwaffen[[#Headers],[Sprung]],Nahkampfwaffen[[#This Row],[Formation]]))-(FIND(Nahkampfwaffen[[#Headers],[Sprung]],Nahkampfwaffen[[#This Row],[Formation]]))),"")</f>
        <v/>
      </c>
      <c r="BS155" s="16"/>
      <c r="BT155" s="16"/>
      <c r="BU155" s="16"/>
      <c r="BV155" s="16"/>
      <c r="BW155" s="16"/>
    </row>
    <row r="156" spans="1:75" ht="60" hidden="1">
      <c r="A156" s="165" t="s">
        <v>993</v>
      </c>
      <c r="B156" s="165" t="s">
        <v>1167</v>
      </c>
      <c r="C156" s="165" t="s">
        <v>1168</v>
      </c>
      <c r="D156" s="168" t="s">
        <v>1169</v>
      </c>
      <c r="E156" s="168" t="str">
        <f>IF(ISTEXT(Nahkampfwaffen[[#This Row],[Waffenmeister: Manöver]]),_xlfn.CONCAT(Nahkampfwaffen[[#This Row],[Mögliche Manöver]]," ",Nahkampfwaffen[[#This Row],[Waffenmeister: Manöver]],","),Nahkampfwaffen[[#This Row],[Mögliche Manöver]])</f>
        <v>Auspendeln, Beinarbeit, Biss, Block, Doppelschlag, Eisenarm, Fußfeger, Gerade, Griff, Handkante, Halten, Hoher Tritt, Klammer, Knaufschlag, Knie, Kopfstoß, Kreuzblock, Niederringen, Schmetterschlag, Schmutzige Tricks, Schwinger, Schwitzkasten, Sprung, Sprungtritt, Tritt, Versteckte Klinge, Wurf, Würgegriff,</v>
      </c>
      <c r="F156" s="168" t="str">
        <f>_xlfn.TEXTJOIN("; ",TRUE,Nahkampfwaffen[[#This Row],[Ausfall]:[Würgegriff]])</f>
        <v>Auspendeln; Beinarbeit; Eisenarm; Fußfeger; Griff; Halten; Klammer; Niederringen; Schwitzkasten; Wurf</v>
      </c>
      <c r="G156" s="255" t="s">
        <v>110</v>
      </c>
      <c r="H156" s="167"/>
      <c r="I156" s="167"/>
      <c r="J156" s="167"/>
      <c r="K156" s="167"/>
      <c r="L156" s="167">
        <f>IF(Nahkampfwaffen[[#This Row],[Waffenmeister: TP/KK / INI/GE]]="TP/KK",1,0)</f>
        <v>0</v>
      </c>
      <c r="M156" s="167">
        <f>IF(Nahkampfwaffen[[#This Row],[Waffenmeister: TP/KK / INI/GE]]="INI/GE",1,0)</f>
        <v>0</v>
      </c>
      <c r="N156" s="167"/>
      <c r="O156" s="167"/>
      <c r="P156" s="16"/>
      <c r="Q156" s="16">
        <f>15-5*(Nahkampfwaffen[[#This Row],[Waffenmeister: AT]]+Nahkampfwaffen[[#This Row],[Waffenmeister: PA]])-3*(Nahkampfwaffen[[#This Row],[Waffenmeister: INI]])-IF(Nahkampfwaffen[[#This Row],[Waffenmeister: TP/KK / INI/GE]]="TP/KK",2,0)</f>
        <v>15</v>
      </c>
      <c r="R156"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6"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6"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6"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6"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6"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6"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6"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6"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6"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56"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6"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6"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6"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6"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6"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6"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6"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6"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6"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6"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6"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6"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6"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6"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6"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6"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6"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6"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6"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Auspendeln</v>
      </c>
      <c r="AW156"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Beinarbeit</v>
      </c>
      <c r="AX156"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56"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56"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56"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Eisenarm</v>
      </c>
      <c r="BB156"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Fußfeger</v>
      </c>
      <c r="BC156"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56"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Griff</v>
      </c>
      <c r="BE156"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56"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Halten</v>
      </c>
      <c r="BG156"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56"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Klammer</v>
      </c>
      <c r="BI156"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56"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56"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56"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56"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Niederringen</v>
      </c>
      <c r="BN156"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56"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56"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56"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Schwitzkasten</v>
      </c>
      <c r="BR156"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56"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56"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56"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56"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Wurf</v>
      </c>
      <c r="BW156"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57" spans="1:75" ht="60" hidden="1">
      <c r="A157" s="165" t="s">
        <v>993</v>
      </c>
      <c r="B157" s="165" t="s">
        <v>1167</v>
      </c>
      <c r="C157" s="165" t="s">
        <v>1170</v>
      </c>
      <c r="D157" s="168" t="s">
        <v>1169</v>
      </c>
      <c r="E157" s="168" t="str">
        <f>IF(ISTEXT(Nahkampfwaffen[[#This Row],[Waffenmeister: Manöver]]),_xlfn.CONCAT(Nahkampfwaffen[[#This Row],[Mögliche Manöver]]," ",Nahkampfwaffen[[#This Row],[Waffenmeister: Manöver]],","),Nahkampfwaffen[[#This Row],[Mögliche Manöver]])</f>
        <v>Auspendeln, Beinarbeit, Biss, Block, Doppelschlag, Eisenarm, Fußfeger, Gerade, Griff, Handkante, Halten, Hoher Tritt, Klammer, Knaufschlag, Knie, Kopfstoß, Kreuzblock, Niederringen, Schmetterschlag, Schmutzige Tricks, Schwinger, Schwitzkasten, Sprung, Sprungtritt, Tritt, Versteckte Klinge, Wurf, Würgegriff,</v>
      </c>
      <c r="F157" s="168" t="str">
        <f>_xlfn.TEXTJOIN("; ",TRUE,Nahkampfwaffen[[#This Row],[Ausfall]:[Würgegriff]])</f>
        <v>Auspendeln; Beinarbeit; Eisenarm; Fußfeger; Griff; Halten; Klammer; Niederringen; Schwitzkasten; Wurf</v>
      </c>
      <c r="G157" s="255" t="s">
        <v>113</v>
      </c>
      <c r="H157" s="167"/>
      <c r="I157" s="167"/>
      <c r="J157" s="167"/>
      <c r="K157" s="167"/>
      <c r="L157" s="167">
        <f>IF(Nahkampfwaffen[[#This Row],[Waffenmeister: TP/KK / INI/GE]]="TP/KK",1,0)</f>
        <v>0</v>
      </c>
      <c r="M157" s="167">
        <f>IF(Nahkampfwaffen[[#This Row],[Waffenmeister: TP/KK / INI/GE]]="INI/GE",1,0)</f>
        <v>0</v>
      </c>
      <c r="N157" s="167"/>
      <c r="O157" s="167"/>
      <c r="P157" s="16"/>
      <c r="Q157" s="16">
        <f>15-5*(Nahkampfwaffen[[#This Row],[Waffenmeister: AT]]+Nahkampfwaffen[[#This Row],[Waffenmeister: PA]])-3*(Nahkampfwaffen[[#This Row],[Waffenmeister: INI]])-IF(Nahkampfwaffen[[#This Row],[Waffenmeister: TP/KK / INI/GE]]="TP/KK",2,0)</f>
        <v>15</v>
      </c>
      <c r="R157" s="16" t="str">
        <f>IF(AND(NOT(ISERROR(FIND(Nahkampfwaffen[[#Headers],[Ausfall]],Nahkampfwaffen[[#This Row],[Manöver mit Waffenmeister]]))),_xlfn.XLOOKUP(Nahkampfwaffen[[#Headers],[Ausfall]],Nahkampf!$B$48:$B$77,Nahkampf!$D$48:$D$77)),MID(Nahkampfwaffen[[#This Row],[Manöver mit Waffenmeister]],FIND(Nahkampfwaffen[[#Headers],[Ausfall]],Nahkampfwaffen[[#This Row],[Manöver mit Waffenmeister]]),FIND(",",Nahkampfwaffen[[#This Row],[Manöver mit Waffenmeister]],FIND(Nahkampfwaffen[[#Headers],[Ausfall]],Nahkampfwaffen[[#This Row],[Manöver mit Waffenmeister]]))-(FIND(Nahkampfwaffen[[#Headers],[Ausfall]],Nahkampfwaffen[[#This Row],[Manöver mit Waffenmeister]]))),"")</f>
        <v/>
      </c>
      <c r="S157" s="16" t="str">
        <f>IF(AND(NOT(ISERROR(FIND(Nahkampfwaffen[[#Headers],[Befreiungsschlag]],Nahkampfwaffen[[#This Row],[Manöver mit Waffenmeister]]))),_xlfn.XLOOKUP(Nahkampfwaffen[[#Headers],[Befreiungsschlag]],Nahkampf!$B$48:$B$77,Nahkampf!$D$48:$D$77)),MID(Nahkampfwaffen[[#This Row],[Manöver mit Waffenmeister]],FIND(Nahkampfwaffen[[#Headers],[Befreiungsschlag]],Nahkampfwaffen[[#This Row],[Manöver mit Waffenmeister]]),FIND(",",Nahkampfwaffen[[#This Row],[Manöver mit Waffenmeister]],FIND(Nahkampfwaffen[[#Headers],[Befreiungsschlag]],Nahkampfwaffen[[#This Row],[Manöver mit Waffenmeister]]))-(FIND(Nahkampfwaffen[[#Headers],[Befreiungsschlag]],Nahkampfwaffen[[#This Row],[Manöver mit Waffenmeister]]))),"")</f>
        <v/>
      </c>
      <c r="T157" s="16" t="str">
        <f>IF(AND(NOT(ISERROR(FIND(Nahkampfwaffen[[#Headers],[Betäubungsschlag]],Nahkampfwaffen[[#This Row],[Manöver mit Waffenmeister]]))),_xlfn.XLOOKUP(Nahkampfwaffen[[#Headers],[Betäubungsschlag]],Nahkampf!$B$48:$B$77,Nahkampf!$D$48:$D$77)),MID(Nahkampfwaffen[[#This Row],[Manöver mit Waffenmeister]],FIND(Nahkampfwaffen[[#Headers],[Betäubungsschlag]],Nahkampfwaffen[[#This Row],[Manöver mit Waffenmeister]]),FIND(",",Nahkampfwaffen[[#This Row],[Manöver mit Waffenmeister]],FIND(Nahkampfwaffen[[#Headers],[Betäubungsschlag]],Nahkampfwaffen[[#This Row],[Manöver mit Waffenmeister]]))-(FIND(Nahkampfwaffen[[#Headers],[Betäubungsschlag]],Nahkampfwaffen[[#This Row],[Manöver mit Waffenmeister]]))),"")</f>
        <v/>
      </c>
      <c r="U157" s="16" t="str">
        <f>IF(AND(NOT(ISERROR(FIND(Nahkampfwaffen[[#Headers],[Binden]],Nahkampfwaffen[[#This Row],[Manöver mit Waffenmeister]]))),_xlfn.XLOOKUP(Nahkampfwaffen[[#Headers],[Binden]],Nahkampf!$B$48:$B$77,Nahkampf!$D$48:$D$77)),MID(Nahkampfwaffen[[#This Row],[Manöver mit Waffenmeister]],FIND(Nahkampfwaffen[[#Headers],[Binden]],Nahkampfwaffen[[#This Row],[Manöver mit Waffenmeister]]),FIND(",",Nahkampfwaffen[[#This Row],[Manöver mit Waffenmeister]],FIND(Nahkampfwaffen[[#Headers],[Binden]],Nahkampfwaffen[[#This Row],[Manöver mit Waffenmeister]]))-(FIND(Nahkampfwaffen[[#Headers],[Binden]],Nahkampfwaffen[[#This Row],[Manöver mit Waffenmeister]]))),"")</f>
        <v/>
      </c>
      <c r="V157" s="16" t="str">
        <f>IF(AND(NOT(ISERROR(FIND(Nahkampfwaffen[[#Headers],[Defensiver Kampfstil]],Nahkampfwaffen[[#This Row],[Manöver mit Waffenmeister]]))),_xlfn.XLOOKUP(Nahkampfwaffen[[#Headers],[Defensiver Kampfstil]],Nahkampf!$B$48:$B$77,Nahkampf!$D$48:$D$77)),MID(Nahkampfwaffen[[#This Row],[Manöver mit Waffenmeister]],FIND(Nahkampfwaffen[[#Headers],[Defensiver Kampfstil]],Nahkampfwaffen[[#This Row],[Manöver mit Waffenmeister]]),FIND(",",Nahkampfwaffen[[#This Row],[Manöver mit Waffenmeister]],FIND(Nahkampfwaffen[[#Headers],[Defensiver Kampfstil]],Nahkampfwaffen[[#This Row],[Manöver mit Waffenmeister]]))-(FIND(Nahkampfwaffen[[#Headers],[Defensiver Kampfstil]],Nahkampfwaffen[[#This Row],[Manöver mit Waffenmeister]]))),"")</f>
        <v/>
      </c>
      <c r="W157" s="16" t="str">
        <f>IF(AND(NOT(ISERROR(FIND(Nahkampfwaffen[[#Headers],[Doppelangriff]],Nahkampfwaffen[[#This Row],[Manöver mit Waffenmeister]]))),_xlfn.XLOOKUP(Nahkampfwaffen[[#Headers],[Doppelangriff]],Nahkampf!$B$48:$B$77,Nahkampf!$D$48:$D$77)),MID(Nahkampfwaffen[[#This Row],[Manöver mit Waffenmeister]],FIND(Nahkampfwaffen[[#Headers],[Doppelangriff]],Nahkampfwaffen[[#This Row],[Manöver mit Waffenmeister]]),FIND(",",Nahkampfwaffen[[#This Row],[Manöver mit Waffenmeister]],FIND(Nahkampfwaffen[[#Headers],[Doppelangriff]],Nahkampfwaffen[[#This Row],[Manöver mit Waffenmeister]]))-(FIND(Nahkampfwaffen[[#Headers],[Doppelangriff]],Nahkampfwaffen[[#This Row],[Manöver mit Waffenmeister]]))),"")</f>
        <v/>
      </c>
      <c r="X157" s="16" t="str">
        <f>IF(AND(NOT(ISERROR(FIND(Nahkampfwaffen[[#Headers],[Entwaffnen]],Nahkampfwaffen[[#This Row],[Manöver mit Waffenmeister]]))),_xlfn.XLOOKUP(Nahkampfwaffen[[#Headers],[Entwaffnen]],Nahkampf!$B$48:$B$77,Nahkampf!$D$48:$D$77)),MID(Nahkampfwaffen[[#This Row],[Manöver mit Waffenmeister]],FIND(Nahkampfwaffen[[#Headers],[Entwaffnen]],Nahkampfwaffen[[#This Row],[Manöver mit Waffenmeister]]),FIND(",",Nahkampfwaffen[[#This Row],[Manöver mit Waffenmeister]],FIND(Nahkampfwaffen[[#Headers],[Entwaffnen]],Nahkampfwaffen[[#This Row],[Manöver mit Waffenmeister]]))-(FIND(Nahkampfwaffen[[#Headers],[Entwaffnen]],Nahkampfwaffen[[#This Row],[Manöver mit Waffenmeister]]))),"")</f>
        <v/>
      </c>
      <c r="Y157" s="16" t="str">
        <f>IF(AND(NOT(ISERROR(FIND(Nahkampfwaffen[[#Headers],[Entwaffnen (Meisterlich)]],Nahkampfwaffen[[#This Row],[Manöver mit Waffenmeister]]))),_xlfn.XLOOKUP(Nahkampfwaffen[[#Headers],[Entwaffnen (Meisterlich)]],Nahkampf!$B$48:$B$77,Nahkampf!$D$48:$D$77)),MID(Nahkampfwaffen[[#This Row],[Manöver mit Waffenmeister]],FIND(Nahkampfwaffen[[#Headers],[Entwaffnen (Meisterlich)]],Nahkampfwaffen[[#This Row],[Manöver mit Waffenmeister]]),FIND(",",Nahkampfwaffen[[#This Row],[Manöver mit Waffenmeister]],FIND(Nahkampfwaffen[[#Headers],[Entwaffnen (Meisterlich)]],Nahkampfwaffen[[#This Row],[Manöver mit Waffenmeister]]))-(FIND(Nahkampfwaffen[[#Headers],[Entwaffnen (Meisterlich)]],Nahkampfwaffen[[#This Row],[Manöver mit Waffenmeister]]))),"")</f>
        <v/>
      </c>
      <c r="Z157" s="16" t="str">
        <f>IF(AND(NOT(ISERROR(FIND(Nahkampfwaffen[[#Headers],[Festnageln]],Nahkampfwaffen[[#This Row],[Manöver mit Waffenmeister]]))),_xlfn.XLOOKUP(Nahkampfwaffen[[#Headers],[Festnageln]],Nahkampf!$B$48:$B$77,Nahkampf!$D$48:$D$77)),MID(Nahkampfwaffen[[#This Row],[Manöver mit Waffenmeister]],FIND(Nahkampfwaffen[[#Headers],[Festnageln]],Nahkampfwaffen[[#This Row],[Manöver mit Waffenmeister]]),FIND(",",Nahkampfwaffen[[#This Row],[Manöver mit Waffenmeister]],FIND(Nahkampfwaffen[[#Headers],[Festnageln]],Nahkampfwaffen[[#This Row],[Manöver mit Waffenmeister]]))-(FIND(Nahkampfwaffen[[#Headers],[Festnageln]],Nahkampfwaffen[[#This Row],[Manöver mit Waffenmeister]]))),"")</f>
        <v/>
      </c>
      <c r="AA157" s="16" t="str">
        <f>IF(AND(NOT(ISERROR(FIND(Nahkampfwaffen[[#Headers],[Finte]],Nahkampfwaffen[[#This Row],[Manöver mit Waffenmeister]]))),_xlfn.XLOOKUP(Nahkampfwaffen[[#Headers],[Finte]],Nahkampf!$B$48:$B$77,Nahkampf!$D$48:$D$77)),MID(Nahkampfwaffen[[#This Row],[Manöver mit Waffenmeister]],FIND(Nahkampfwaffen[[#Headers],[Finte]],Nahkampfwaffen[[#This Row],[Manöver mit Waffenmeister]]),FIND(",",Nahkampfwaffen[[#This Row],[Manöver mit Waffenmeister]],FIND(Nahkampfwaffen[[#Headers],[Finte]],Nahkampfwaffen[[#This Row],[Manöver mit Waffenmeister]]))-(FIND(Nahkampfwaffen[[#Headers],[Finte]],Nahkampfwaffen[[#This Row],[Manöver mit Waffenmeister]]))),"")</f>
        <v/>
      </c>
      <c r="AB157" s="16" t="str">
        <f>IF(AND(NOT(ISERROR(FIND(Nahkampfwaffen[[#Headers],[Formation]],Nahkampfwaffen[[#This Row],[Manöver mit Waffenmeister]]))),_xlfn.XLOOKUP(Nahkampfwaffen[[#Headers],[Formation]],Nahkampf!$B$48:$B$77,Nahkampf!$D$48:$D$77)),MID(Nahkampfwaffen[[#This Row],[Manöver mit Waffenmeister]],FIND(Nahkampfwaffen[[#Headers],[Formation]],Nahkampfwaffen[[#This Row],[Manöver mit Waffenmeister]]),FIND(",",Nahkampfwaffen[[#This Row],[Manöver mit Waffenmeister]],FIND(Nahkampfwaffen[[#Headers],[Formation]],Nahkampfwaffen[[#This Row],[Manöver mit Waffenmeister]]))-(FIND(Nahkampfwaffen[[#Headers],[Formation]],Nahkampfwaffen[[#This Row],[Manöver mit Waffenmeister]]))),"")</f>
        <v/>
      </c>
      <c r="AC157" s="16" t="str">
        <f>IF(AND(NOT(ISERROR(FIND(Nahkampfwaffen[[#Headers],[Formations-Parade]],Nahkampfwaffen[[#This Row],[Manöver mit Waffenmeister]]))),_xlfn.XLOOKUP(Nahkampfwaffen[[#Headers],[Formations-Parade]],Nahkampf!$B$48:$B$77,Nahkampf!$D$48:$D$77)),MID(Nahkampfwaffen[[#This Row],[Manöver mit Waffenmeister]],FIND(Nahkampfwaffen[[#Headers],[Formations-Parade]],Nahkampfwaffen[[#This Row],[Manöver mit Waffenmeister]]),FIND(",",Nahkampfwaffen[[#This Row],[Manöver mit Waffenmeister]],FIND(Nahkampfwaffen[[#Headers],[Formations-Parade]],Nahkampfwaffen[[#This Row],[Manöver mit Waffenmeister]]))-(FIND(Nahkampfwaffen[[#Headers],[Formations-Parade]],Nahkampfwaffen[[#This Row],[Manöver mit Waffenmeister]]))),"")</f>
        <v/>
      </c>
      <c r="AD157" s="16" t="str">
        <f>IF(AND(NOT(ISERROR(FIND(Nahkampfwaffen[[#Headers],[Gegenhalten]],Nahkampfwaffen[[#This Row],[Manöver mit Waffenmeister]]))),_xlfn.XLOOKUP(Nahkampfwaffen[[#Headers],[Gegenhalten]],Nahkampf!$B$48:$B$77,Nahkampf!$D$48:$D$77)),MID(Nahkampfwaffen[[#This Row],[Manöver mit Waffenmeister]],FIND(Nahkampfwaffen[[#Headers],[Gegenhalten]],Nahkampfwaffen[[#This Row],[Manöver mit Waffenmeister]]),FIND(",",Nahkampfwaffen[[#This Row],[Manöver mit Waffenmeister]],FIND(Nahkampfwaffen[[#Headers],[Gegenhalten]],Nahkampfwaffen[[#This Row],[Manöver mit Waffenmeister]]))-(FIND(Nahkampfwaffen[[#Headers],[Gegenhalten]],Nahkampfwaffen[[#This Row],[Manöver mit Waffenmeister]]))),"")</f>
        <v/>
      </c>
      <c r="AE157" s="16" t="str">
        <f>IF(AND(NOT(ISERROR(FIND(Nahkampfwaffen[[#Headers],[Gezielter Stich]],Nahkampfwaffen[[#This Row],[Manöver mit Waffenmeister]]))),_xlfn.XLOOKUP(Nahkampfwaffen[[#Headers],[Gezielter Stich]],Nahkampf!$B$48:$B$77,Nahkampf!$D$48:$D$77)),MID(Nahkampfwaffen[[#This Row],[Manöver mit Waffenmeister]],FIND(Nahkampfwaffen[[#Headers],[Gezielter Stich]],Nahkampfwaffen[[#This Row],[Manöver mit Waffenmeister]]),FIND(",",Nahkampfwaffen[[#This Row],[Manöver mit Waffenmeister]],FIND(Nahkampfwaffen[[#Headers],[Gezielter Stich]],Nahkampfwaffen[[#This Row],[Manöver mit Waffenmeister]]))-(FIND(Nahkampfwaffen[[#Headers],[Gezielter Stich]],Nahkampfwaffen[[#This Row],[Manöver mit Waffenmeister]]))),"")</f>
        <v/>
      </c>
      <c r="AF157" s="16" t="str">
        <f>IF(AND(NOT(ISERROR(FIND(Nahkampfwaffen[[#Headers],[Halbschwert]],Nahkampfwaffen[[#This Row],[Manöver mit Waffenmeister]]))),_xlfn.XLOOKUP(Nahkampfwaffen[[#Headers],[Halbschwert]],Nahkampf!$B$48:$B$77,Nahkampf!$D$48:$D$77)),MID(Nahkampfwaffen[[#This Row],[Manöver mit Waffenmeister]],FIND(Nahkampfwaffen[[#Headers],[Halbschwert]],Nahkampfwaffen[[#This Row],[Manöver mit Waffenmeister]]),FIND(",",Nahkampfwaffen[[#This Row],[Manöver mit Waffenmeister]],FIND(Nahkampfwaffen[[#Headers],[Halbschwert]],Nahkampfwaffen[[#This Row],[Manöver mit Waffenmeister]]))-(FIND(Nahkampfwaffen[[#Headers],[Halbschwert]],Nahkampfwaffen[[#This Row],[Manöver mit Waffenmeister]]))),"")</f>
        <v/>
      </c>
      <c r="AG157" s="16" t="str">
        <f>IF(AND(NOT(ISERROR(FIND(Nahkampfwaffen[[#Headers],[Hammerschlag]],Nahkampfwaffen[[#This Row],[Manöver mit Waffenmeister]]))),_xlfn.XLOOKUP(Nahkampfwaffen[[#Headers],[Hammerschlag]],Nahkampf!$B$48:$B$77,Nahkampf!$D$48:$D$77)),MID(Nahkampfwaffen[[#This Row],[Manöver mit Waffenmeister]],FIND(Nahkampfwaffen[[#Headers],[Hammerschlag]],Nahkampfwaffen[[#This Row],[Manöver mit Waffenmeister]]),FIND(",",Nahkampfwaffen[[#This Row],[Manöver mit Waffenmeister]],FIND(Nahkampfwaffen[[#Headers],[Hammerschlag]],Nahkampfwaffen[[#This Row],[Manöver mit Waffenmeister]]))-(FIND(Nahkampfwaffen[[#Headers],[Hammerschlag]],Nahkampfwaffen[[#This Row],[Manöver mit Waffenmeister]]))),"")</f>
        <v/>
      </c>
      <c r="AH157" s="16" t="str">
        <f>IF(AND(NOT(ISERROR(FIND(Nahkampfwaffen[[#Headers],[Klingensturm]],Nahkampfwaffen[[#This Row],[Manöver mit Waffenmeister]]))),_xlfn.XLOOKUP(Nahkampfwaffen[[#Headers],[Klingensturm]],Nahkampf!$B$48:$B$77,Nahkampf!$D$48:$D$77)),MID(Nahkampfwaffen[[#This Row],[Manöver mit Waffenmeister]],FIND(Nahkampfwaffen[[#Headers],[Klingensturm]],Nahkampfwaffen[[#This Row],[Manöver mit Waffenmeister]]),FIND(",",Nahkampfwaffen[[#This Row],[Manöver mit Waffenmeister]],FIND(Nahkampfwaffen[[#Headers],[Klingensturm]],Nahkampfwaffen[[#This Row],[Manöver mit Waffenmeister]]))-(FIND(Nahkampfwaffen[[#Headers],[Klingensturm]],Nahkampfwaffen[[#This Row],[Manöver mit Waffenmeister]]))),"")</f>
        <v/>
      </c>
      <c r="AI157" s="16" t="str">
        <f>IF(AND(NOT(ISERROR(FIND(Nahkampfwaffen[[#Headers],[Klingenwand]],Nahkampfwaffen[[#This Row],[Manöver mit Waffenmeister]]))),_xlfn.XLOOKUP(Nahkampfwaffen[[#Headers],[Klingenwand]],Nahkampf!$B$48:$B$77,Nahkampf!$D$48:$D$77)),MID(Nahkampfwaffen[[#This Row],[Manöver mit Waffenmeister]],FIND(Nahkampfwaffen[[#Headers],[Klingenwand]],Nahkampfwaffen[[#This Row],[Manöver mit Waffenmeister]]),FIND(",",Nahkampfwaffen[[#This Row],[Manöver mit Waffenmeister]],FIND(Nahkampfwaffen[[#Headers],[Klingenwand]],Nahkampfwaffen[[#This Row],[Manöver mit Waffenmeister]]))-(FIND(Nahkampfwaffen[[#Headers],[Klingenwand]],Nahkampfwaffen[[#This Row],[Manöver mit Waffenmeister]]))),"")</f>
        <v/>
      </c>
      <c r="AJ157" s="16" t="str">
        <f>IF(AND(NOT(ISERROR(FIND(Nahkampfwaffen[[#Headers],[Meisterparade]],Nahkampfwaffen[[#This Row],[Manöver mit Waffenmeister]]))),_xlfn.XLOOKUP(Nahkampfwaffen[[#Headers],[Meisterparade]],Nahkampf!$B$48:$B$77,Nahkampf!$D$48:$D$77)),MID(Nahkampfwaffen[[#This Row],[Manöver mit Waffenmeister]],FIND(Nahkampfwaffen[[#Headers],[Meisterparade]],Nahkampfwaffen[[#This Row],[Manöver mit Waffenmeister]]),FIND(",",Nahkampfwaffen[[#This Row],[Manöver mit Waffenmeister]],FIND(Nahkampfwaffen[[#Headers],[Meisterparade]],Nahkampfwaffen[[#This Row],[Manöver mit Waffenmeister]]))-(FIND(Nahkampfwaffen[[#Headers],[Meisterparade]],Nahkampfwaffen[[#This Row],[Manöver mit Waffenmeister]]))),"")</f>
        <v/>
      </c>
      <c r="AK157" s="16" t="str">
        <f>IF(AND(NOT(ISERROR(FIND(Nahkampfwaffen[[#Headers],[Niederwerfen]],Nahkampfwaffen[[#This Row],[Manöver mit Waffenmeister]]))),_xlfn.XLOOKUP(Nahkampfwaffen[[#Headers],[Niederwerfen]],Nahkampf!$B$48:$B$77,Nahkampf!$D$48:$D$77)),MID(Nahkampfwaffen[[#This Row],[Manöver mit Waffenmeister]],FIND(Nahkampfwaffen[[#Headers],[Niederwerfen]],Nahkampfwaffen[[#This Row],[Manöver mit Waffenmeister]]),FIND(",",Nahkampfwaffen[[#This Row],[Manöver mit Waffenmeister]],FIND(Nahkampfwaffen[[#Headers],[Niederwerfen]],Nahkampfwaffen[[#This Row],[Manöver mit Waffenmeister]]))-(FIND(Nahkampfwaffen[[#Headers],[Niederwerfen]],Nahkampfwaffen[[#This Row],[Manöver mit Waffenmeister]]))),"")</f>
        <v/>
      </c>
      <c r="AL15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M157" s="16" t="str">
        <f>IF(AND(NOT(ISERROR(FIND(Nahkampfwaffen[[#Headers],[Offensiver Kampfstil]],Nahkampfwaffen[[#This Row],[Manöver mit Waffenmeister]]))),_xlfn.XLOOKUP(Nahkampfwaffen[[#Headers],[Offensiver Kampfstil]],Nahkampf!$B$48:$B$77,Nahkampf!$D$48:$D$77)),MID(Nahkampfwaffen[[#This Row],[Manöver mit Waffenmeister]],FIND(Nahkampfwaffen[[#Headers],[Offensiver Kampfstil]],Nahkampfwaffen[[#This Row],[Manöver mit Waffenmeister]]),FIND(",",Nahkampfwaffen[[#This Row],[Manöver mit Waffenmeister]],FIND(Nahkampfwaffen[[#Headers],[Offensiver Kampfstil]],Nahkampfwaffen[[#This Row],[Manöver mit Waffenmeister]]))-(FIND(Nahkampfwaffen[[#Headers],[Offensiver Kampfstil]],Nahkampfwaffen[[#This Row],[Manöver mit Waffenmeister]]))),"")</f>
        <v/>
      </c>
      <c r="AN157" s="16" t="str">
        <f>IF(AND(NOT(ISERROR(FIND(Nahkampfwaffen[[#Headers],[Seitenwechsel]],Nahkampfwaffen[[#This Row],[Manöver mit Waffenmeister]]))),_xlfn.XLOOKUP(Nahkampfwaffen[[#Headers],[Seitenwechsel]],Nahkampf!$B$48:$B$77,Nahkampf!$D$48:$D$77)),MID(Nahkampfwaffen[[#This Row],[Manöver mit Waffenmeister]],FIND(Nahkampfwaffen[[#Headers],[Seitenwechsel]],Nahkampfwaffen[[#This Row],[Manöver mit Waffenmeister]]),FIND(",",Nahkampfwaffen[[#This Row],[Manöver mit Waffenmeister]],FIND(Nahkampfwaffen[[#Headers],[Seitenwechsel]],Nahkampfwaffen[[#This Row],[Manöver mit Waffenmeister]]))-(FIND(Nahkampfwaffen[[#Headers],[Seitenwechsel]],Nahkampfwaffen[[#This Row],[Manöver mit Waffenmeister]]))),"")</f>
        <v/>
      </c>
      <c r="AO157" s="16" t="str">
        <f>IF(AND(NOT(ISERROR(FIND(Nahkampfwaffen[[#Headers],[Schildspalter]],Nahkampfwaffen[[#This Row],[Manöver mit Waffenmeister]]))),_xlfn.XLOOKUP(Nahkampfwaffen[[#Headers],[Schildspalter]],Nahkampf!$B$48:$B$77,Nahkampf!$D$48:$D$77)),MID(Nahkampfwaffen[[#This Row],[Manöver mit Waffenmeister]],FIND(Nahkampfwaffen[[#Headers],[Schildspalter]],Nahkampfwaffen[[#This Row],[Manöver mit Waffenmeister]]),FIND(",",Nahkampfwaffen[[#This Row],[Manöver mit Waffenmeister]],FIND(Nahkampfwaffen[[#Headers],[Schildspalter]],Nahkampfwaffen[[#This Row],[Manöver mit Waffenmeister]]))-(FIND(Nahkampfwaffen[[#Headers],[Schildspalter]],Nahkampfwaffen[[#This Row],[Manöver mit Waffenmeister]]))),"")</f>
        <v/>
      </c>
      <c r="AP157" s="16" t="str">
        <f>IF(AND(NOT(ISERROR(FIND(Nahkampfwaffen[[#Headers],[Stumpfer Schlag]],Nahkampfwaffen[[#This Row],[Manöver mit Waffenmeister]]))),_xlfn.XLOOKUP(Nahkampfwaffen[[#Headers],[Stumpfer Schlag]],Nahkampf!$B$48:$B$77,Nahkampf!$D$48:$D$77)),MID(Nahkampfwaffen[[#This Row],[Manöver mit Waffenmeister]],FIND(Nahkampfwaffen[[#Headers],[Stumpfer Schlag]],Nahkampfwaffen[[#This Row],[Manöver mit Waffenmeister]]),FIND(",",Nahkampfwaffen[[#This Row],[Manöver mit Waffenmeister]],FIND(Nahkampfwaffen[[#Headers],[Stumpfer Schlag]],Nahkampfwaffen[[#This Row],[Manöver mit Waffenmeister]]))-(FIND(Nahkampfwaffen[[#Headers],[Stumpfer Schlag]],Nahkampfwaffen[[#This Row],[Manöver mit Waffenmeister]]))),"")</f>
        <v/>
      </c>
      <c r="AQ157" s="16" t="str">
        <f>IF(AND(NOT(ISERROR(FIND(Nahkampfwaffen[[#Headers],[Sturmangriff]],Nahkampfwaffen[[#This Row],[Manöver mit Waffenmeister]]))),_xlfn.XLOOKUP(Nahkampfwaffen[[#Headers],[Sturmangriff]],Nahkampf!$B$48:$B$77,Nahkampf!$D$48:$D$77)),MID(Nahkampfwaffen[[#This Row],[Manöver mit Waffenmeister]],FIND(Nahkampfwaffen[[#Headers],[Sturmangriff]],Nahkampfwaffen[[#This Row],[Manöver mit Waffenmeister]]),FIND(",",Nahkampfwaffen[[#This Row],[Manöver mit Waffenmeister]],FIND(Nahkampfwaffen[[#Headers],[Sturmangriff]],Nahkampfwaffen[[#This Row],[Manöver mit Waffenmeister]]))-(FIND(Nahkampfwaffen[[#Headers],[Sturmangriff]],Nahkampfwaffen[[#This Row],[Manöver mit Waffenmeister]]))),"")</f>
        <v/>
      </c>
      <c r="AR157" s="16" t="str">
        <f>IF(AND(NOT(ISERROR(FIND(Nahkampfwaffen[[#Headers],[Todesstoß]],Nahkampfwaffen[[#This Row],[Manöver mit Waffenmeister]]))),_xlfn.XLOOKUP(Nahkampfwaffen[[#Headers],[Todesstoß]],Nahkampf!$B$48:$B$77,Nahkampf!$D$48:$D$77)),MID(Nahkampfwaffen[[#This Row],[Manöver mit Waffenmeister]],FIND(Nahkampfwaffen[[#Headers],[Todesstoß]],Nahkampfwaffen[[#This Row],[Manöver mit Waffenmeister]]),FIND(",",Nahkampfwaffen[[#This Row],[Manöver mit Waffenmeister]],FIND(Nahkampfwaffen[[#Headers],[Todesstoß]],Nahkampfwaffen[[#This Row],[Manöver mit Waffenmeister]]))-(FIND(Nahkampfwaffen[[#Headers],[Todesstoß]],Nahkampfwaffen[[#This Row],[Manöver mit Waffenmeister]]))),"")</f>
        <v/>
      </c>
      <c r="AS157" s="16" t="str">
        <f>IF(AND(NOT(ISERROR(FIND(Nahkampfwaffen[[#Headers],[Umreißen]],Nahkampfwaffen[[#This Row],[Manöver mit Waffenmeister]]))),_xlfn.XLOOKUP(Nahkampfwaffen[[#Headers],[Umreißen]],Nahkampf!$B$48:$B$77,Nahkampf!$D$48:$D$77)),MID(Nahkampfwaffen[[#This Row],[Manöver mit Waffenmeister]],FIND(Nahkampfwaffen[[#Headers],[Umreißen]],Nahkampfwaffen[[#This Row],[Manöver mit Waffenmeister]]),FIND(",",Nahkampfwaffen[[#This Row],[Manöver mit Waffenmeister]],FIND(Nahkampfwaffen[[#Headers],[Umreißen]],Nahkampfwaffen[[#This Row],[Manöver mit Waffenmeister]]))-(FIND(Nahkampfwaffen[[#Headers],[Umreißen]],Nahkampfwaffen[[#This Row],[Manöver mit Waffenmeister]]))),"")</f>
        <v/>
      </c>
      <c r="AT157" s="16" t="str">
        <f>IF(AND(NOT(ISERROR(FIND(Nahkampfwaffen[[#Headers],[Windmühle]],Nahkampfwaffen[[#This Row],[Manöver mit Waffenmeister]]))),_xlfn.XLOOKUP(Nahkampfwaffen[[#Headers],[Windmühle]],Nahkampf!$B$48:$B$77,Nahkampf!$D$48:$D$77)),MID(Nahkampfwaffen[[#This Row],[Manöver mit Waffenmeister]],FIND(Nahkampfwaffen[[#Headers],[Windmühle]],Nahkampfwaffen[[#This Row],[Manöver mit Waffenmeister]]),FIND(",",Nahkampfwaffen[[#This Row],[Manöver mit Waffenmeister]],FIND(Nahkampfwaffen[[#Headers],[Windmühle]],Nahkampfwaffen[[#This Row],[Manöver mit Waffenmeister]]))-(FIND(Nahkampfwaffen[[#Headers],[Windmühle]],Nahkampfwaffen[[#This Row],[Manöver mit Waffenmeister]]))),"")</f>
        <v/>
      </c>
      <c r="AU157" s="16" t="str">
        <f>IF(AND(NOT(ISERROR(FIND(Nahkampfwaffen[[#Headers],[Wuchtschlag]],Nahkampfwaffen[[#This Row],[Manöver mit Waffenmeister]]))),_xlfn.XLOOKUP(Nahkampfwaffen[[#Headers],[Wuchtschlag]],Nahkampf!$B$48:$B$77,Nahkampf!$D$48:$D$77)),MID(Nahkampfwaffen[[#This Row],[Manöver mit Waffenmeister]],FIND(Nahkampfwaffen[[#Headers],[Wuchtschlag]],Nahkampfwaffen[[#This Row],[Manöver mit Waffenmeister]]),FIND(",",Nahkampfwaffen[[#This Row],[Manöver mit Waffenmeister]],FIND(Nahkampfwaffen[[#Headers],[Wuchtschlag]],Nahkampfwaffen[[#This Row],[Manöver mit Waffenmeister]]))-(FIND(Nahkampfwaffen[[#Headers],[Wuchtschlag]],Nahkampfwaffen[[#This Row],[Manöver mit Waffenmeister]]))),"")</f>
        <v/>
      </c>
      <c r="AV157" s="16" t="str">
        <f>IF(AND(NOT(ISERROR(FIND(Nahkampfwaffen[[#Headers],[Auspendeln]],Nahkampfwaffen[[#This Row],[Manöver mit Waffenmeister]]))),_xlfn.XLOOKUP(Nahkampfwaffen[[#Headers],[Auspendeln]],Nahkampf!$B$80:$B$107,Nahkampf!$D$80:$D$107)),MID(Nahkampfwaffen[[#This Row],[Manöver mit Waffenmeister]],FIND(Nahkampfwaffen[[#Headers],[Auspendeln]],Nahkampfwaffen[[#This Row],[Manöver mit Waffenmeister]]),FIND(",",Nahkampfwaffen[[#This Row],[Manöver mit Waffenmeister]],FIND(Nahkampfwaffen[[#Headers],[Auspendeln]],Nahkampfwaffen[[#This Row],[Manöver mit Waffenmeister]]))-(FIND(Nahkampfwaffen[[#Headers],[Auspendeln]],Nahkampfwaffen[[#This Row],[Manöver mit Waffenmeister]]))),"")</f>
        <v>Auspendeln</v>
      </c>
      <c r="AW157" s="16" t="str">
        <f>IF(AND(NOT(ISERROR(FIND(Nahkampfwaffen[[#Headers],[Beinarbeit]],Nahkampfwaffen[[#This Row],[Manöver mit Waffenmeister]]))),_xlfn.XLOOKUP(Nahkampfwaffen[[#Headers],[Beinarbeit]],Nahkampf!$B$80:$B$107,Nahkampf!$D$80:$D$107)),MID(Nahkampfwaffen[[#This Row],[Manöver mit Waffenmeister]],FIND(Nahkampfwaffen[[#Headers],[Beinarbeit]],Nahkampfwaffen[[#This Row],[Manöver mit Waffenmeister]]),FIND(",",Nahkampfwaffen[[#This Row],[Manöver mit Waffenmeister]],FIND(Nahkampfwaffen[[#Headers],[Beinarbeit]],Nahkampfwaffen[[#This Row],[Manöver mit Waffenmeister]]))-(FIND(Nahkampfwaffen[[#Headers],[Beinarbeit]],Nahkampfwaffen[[#This Row],[Manöver mit Waffenmeister]]))),"")</f>
        <v>Beinarbeit</v>
      </c>
      <c r="AX157" s="16" t="str">
        <f>IF(AND(NOT(ISERROR(FIND(Nahkampfwaffen[[#Headers],[Biss]],Nahkampfwaffen[[#This Row],[Manöver mit Waffenmeister]]))),_xlfn.XLOOKUP(Nahkampfwaffen[[#Headers],[Biss]],Nahkampf!$B$80:$B$107,Nahkampf!$D$80:$D$107)),MID(Nahkampfwaffen[[#This Row],[Manöver mit Waffenmeister]],FIND(Nahkampfwaffen[[#Headers],[Biss]],Nahkampfwaffen[[#This Row],[Manöver mit Waffenmeister]]),FIND(",",Nahkampfwaffen[[#This Row],[Manöver mit Waffenmeister]],FIND(Nahkampfwaffen[[#Headers],[Biss]],Nahkampfwaffen[[#This Row],[Manöver mit Waffenmeister]]))-(FIND(Nahkampfwaffen[[#Headers],[Biss]],Nahkampfwaffen[[#This Row],[Manöver mit Waffenmeister]]))),"")</f>
        <v/>
      </c>
      <c r="AY157" s="16" t="str">
        <f>IF(AND(NOT(ISERROR(FIND(Nahkampfwaffen[[#Headers],[Block]],Nahkampfwaffen[[#This Row],[Manöver mit Waffenmeister]]))),_xlfn.XLOOKUP(Nahkampfwaffen[[#Headers],[Block]],Nahkampf!$B$80:$B$107,Nahkampf!$D$80:$D$107)),MID(Nahkampfwaffen[[#This Row],[Manöver mit Waffenmeister]],FIND(Nahkampfwaffen[[#Headers],[Block]],Nahkampfwaffen[[#This Row],[Manöver mit Waffenmeister]]),FIND(",",Nahkampfwaffen[[#This Row],[Manöver mit Waffenmeister]],FIND(Nahkampfwaffen[[#Headers],[Block]],Nahkampfwaffen[[#This Row],[Manöver mit Waffenmeister]]))-(FIND(Nahkampfwaffen[[#Headers],[Block]],Nahkampfwaffen[[#This Row],[Manöver mit Waffenmeister]]))),"")</f>
        <v/>
      </c>
      <c r="AZ157" s="16" t="str">
        <f>IF(AND(NOT(ISERROR(FIND(Nahkampfwaffen[[#Headers],[Doppelschlag]],Nahkampfwaffen[[#This Row],[Manöver mit Waffenmeister]]))),_xlfn.XLOOKUP(Nahkampfwaffen[[#Headers],[Doppelschlag]],Nahkampf!$B$80:$B$107,Nahkampf!$D$80:$D$107)),MID(Nahkampfwaffen[[#This Row],[Manöver mit Waffenmeister]],FIND(Nahkampfwaffen[[#Headers],[Doppelschlag]],Nahkampfwaffen[[#This Row],[Manöver mit Waffenmeister]]),FIND(",",Nahkampfwaffen[[#This Row],[Manöver mit Waffenmeister]],FIND(Nahkampfwaffen[[#Headers],[Doppelschlag]],Nahkampfwaffen[[#This Row],[Manöver mit Waffenmeister]]))-(FIND(Nahkampfwaffen[[#Headers],[Doppelschlag]],Nahkampfwaffen[[#This Row],[Manöver mit Waffenmeister]]))),"")</f>
        <v/>
      </c>
      <c r="BA157" s="16" t="str">
        <f>IF(AND(NOT(ISERROR(FIND(Nahkampfwaffen[[#Headers],[Eisenarm]],Nahkampfwaffen[[#This Row],[Manöver mit Waffenmeister]]))),_xlfn.XLOOKUP(Nahkampfwaffen[[#Headers],[Eisenarm]],Nahkampf!$B$80:$B$107,Nahkampf!$D$80:$D$107)),MID(Nahkampfwaffen[[#This Row],[Manöver mit Waffenmeister]],FIND(Nahkampfwaffen[[#Headers],[Eisenarm]],Nahkampfwaffen[[#This Row],[Manöver mit Waffenmeister]]),FIND(",",Nahkampfwaffen[[#This Row],[Manöver mit Waffenmeister]],FIND(Nahkampfwaffen[[#Headers],[Eisenarm]],Nahkampfwaffen[[#This Row],[Manöver mit Waffenmeister]]))-(FIND(Nahkampfwaffen[[#Headers],[Eisenarm]],Nahkampfwaffen[[#This Row],[Manöver mit Waffenmeister]]))),"")</f>
        <v>Eisenarm</v>
      </c>
      <c r="BB157" s="16" t="str">
        <f>IF(AND(NOT(ISERROR(FIND(Nahkampfwaffen[[#Headers],[Fußfeger]],Nahkampfwaffen[[#This Row],[Manöver mit Waffenmeister]]))),_xlfn.XLOOKUP(Nahkampfwaffen[[#Headers],[Fußfeger]],Nahkampf!$B$80:$B$107,Nahkampf!$D$80:$D$107)),MID(Nahkampfwaffen[[#This Row],[Manöver mit Waffenmeister]],FIND(Nahkampfwaffen[[#Headers],[Fußfeger]],Nahkampfwaffen[[#This Row],[Manöver mit Waffenmeister]]),FIND(",",Nahkampfwaffen[[#This Row],[Manöver mit Waffenmeister]],FIND(Nahkampfwaffen[[#Headers],[Fußfeger]],Nahkampfwaffen[[#This Row],[Manöver mit Waffenmeister]]))-(FIND(Nahkampfwaffen[[#Headers],[Fußfeger]],Nahkampfwaffen[[#This Row],[Manöver mit Waffenmeister]]))),"")</f>
        <v>Fußfeger</v>
      </c>
      <c r="BC157" s="16" t="str">
        <f>IF(AND(NOT(ISERROR(FIND(Nahkampfwaffen[[#Headers],[Gerade]],Nahkampfwaffen[[#This Row],[Manöver mit Waffenmeister]]))),_xlfn.XLOOKUP(Nahkampfwaffen[[#Headers],[Gerade]],Nahkampf!$B$80:$B$107,Nahkampf!$D$80:$D$107)),MID(Nahkampfwaffen[[#This Row],[Manöver mit Waffenmeister]],FIND(Nahkampfwaffen[[#Headers],[Gerade]],Nahkampfwaffen[[#This Row],[Manöver mit Waffenmeister]]),FIND(",",Nahkampfwaffen[[#This Row],[Manöver mit Waffenmeister]],FIND(Nahkampfwaffen[[#Headers],[Gerade]],Nahkampfwaffen[[#This Row],[Manöver mit Waffenmeister]]))-(FIND(Nahkampfwaffen[[#Headers],[Gerade]],Nahkampfwaffen[[#This Row],[Manöver mit Waffenmeister]]))),"")</f>
        <v/>
      </c>
      <c r="BD157" s="16" t="str">
        <f>IF(AND(NOT(ISERROR(FIND(Nahkampfwaffen[[#Headers],[Griff]],Nahkampfwaffen[[#This Row],[Manöver mit Waffenmeister]]))),_xlfn.XLOOKUP(Nahkampfwaffen[[#Headers],[Griff]],Nahkampf!$B$80:$B$107,Nahkampf!$D$80:$D$107)),MID(Nahkampfwaffen[[#This Row],[Manöver mit Waffenmeister]],FIND(Nahkampfwaffen[[#Headers],[Griff]],Nahkampfwaffen[[#This Row],[Manöver mit Waffenmeister]]),FIND(",",Nahkampfwaffen[[#This Row],[Manöver mit Waffenmeister]],FIND(Nahkampfwaffen[[#Headers],[Griff]],Nahkampfwaffen[[#This Row],[Manöver mit Waffenmeister]]))-(FIND(Nahkampfwaffen[[#Headers],[Griff]],Nahkampfwaffen[[#This Row],[Manöver mit Waffenmeister]]))),"")</f>
        <v>Griff</v>
      </c>
      <c r="BE157" s="16" t="str">
        <f>IF(AND(NOT(ISERROR(FIND(Nahkampfwaffen[[#Headers],[Handkante]],Nahkampfwaffen[[#This Row],[Manöver mit Waffenmeister]]))),_xlfn.XLOOKUP(Nahkampfwaffen[[#Headers],[Handkante]],Nahkampf!$B$80:$B$107,Nahkampf!$D$80:$D$107)),MID(Nahkampfwaffen[[#This Row],[Manöver mit Waffenmeister]],FIND(Nahkampfwaffen[[#Headers],[Handkante]],Nahkampfwaffen[[#This Row],[Manöver mit Waffenmeister]]),FIND(",",Nahkampfwaffen[[#This Row],[Manöver mit Waffenmeister]],FIND(Nahkampfwaffen[[#Headers],[Handkante]],Nahkampfwaffen[[#This Row],[Manöver mit Waffenmeister]]))-(FIND(Nahkampfwaffen[[#Headers],[Handkante]],Nahkampfwaffen[[#This Row],[Manöver mit Waffenmeister]]))),"")</f>
        <v/>
      </c>
      <c r="BF157" s="16" t="str">
        <f>IF(AND(NOT(ISERROR(FIND(Nahkampfwaffen[[#Headers],[Halten]],Nahkampfwaffen[[#This Row],[Manöver mit Waffenmeister]]))),_xlfn.XLOOKUP(Nahkampfwaffen[[#Headers],[Halten]],Nahkampf!$B$80:$B$107,Nahkampf!$D$80:$D$107)),MID(Nahkampfwaffen[[#This Row],[Manöver mit Waffenmeister]],FIND(Nahkampfwaffen[[#Headers],[Halten]],Nahkampfwaffen[[#This Row],[Manöver mit Waffenmeister]]),FIND(",",Nahkampfwaffen[[#This Row],[Manöver mit Waffenmeister]],FIND(Nahkampfwaffen[[#Headers],[Halten]],Nahkampfwaffen[[#This Row],[Manöver mit Waffenmeister]]))-(FIND(Nahkampfwaffen[[#Headers],[Halten]],Nahkampfwaffen[[#This Row],[Manöver mit Waffenmeister]]))),"")</f>
        <v>Halten</v>
      </c>
      <c r="BG157" s="16" t="str">
        <f>IF(AND(NOT(ISERROR(FIND(Nahkampfwaffen[[#Headers],[Hoher Tritt]],Nahkampfwaffen[[#This Row],[Manöver mit Waffenmeister]]))),_xlfn.XLOOKUP(Nahkampfwaffen[[#Headers],[Hoher Tritt]],Nahkampf!$B$80:$B$107,Nahkampf!$D$80:$D$107)),MID(Nahkampfwaffen[[#This Row],[Manöver mit Waffenmeister]],FIND(Nahkampfwaffen[[#Headers],[Hoher Tritt]],Nahkampfwaffen[[#This Row],[Manöver mit Waffenmeister]]),FIND(",",Nahkampfwaffen[[#This Row],[Manöver mit Waffenmeister]],FIND(Nahkampfwaffen[[#Headers],[Hoher Tritt]],Nahkampfwaffen[[#This Row],[Manöver mit Waffenmeister]]))-(FIND(Nahkampfwaffen[[#Headers],[Hoher Tritt]],Nahkampfwaffen[[#This Row],[Manöver mit Waffenmeister]]))),"")</f>
        <v/>
      </c>
      <c r="BH157" s="16" t="str">
        <f>IF(AND(NOT(ISERROR(FIND(Nahkampfwaffen[[#Headers],[Klammer]],Nahkampfwaffen[[#This Row],[Manöver mit Waffenmeister]]))),_xlfn.XLOOKUP(Nahkampfwaffen[[#Headers],[Klammer]],Nahkampf!$B$80:$B$107,Nahkampf!$D$80:$D$107)),MID(Nahkampfwaffen[[#This Row],[Manöver mit Waffenmeister]],FIND(Nahkampfwaffen[[#Headers],[Klammer]],Nahkampfwaffen[[#This Row],[Manöver mit Waffenmeister]]),FIND(",",Nahkampfwaffen[[#This Row],[Manöver mit Waffenmeister]],FIND(Nahkampfwaffen[[#Headers],[Klammer]],Nahkampfwaffen[[#This Row],[Manöver mit Waffenmeister]]))-(FIND(Nahkampfwaffen[[#Headers],[Klammer]],Nahkampfwaffen[[#This Row],[Manöver mit Waffenmeister]]))),"")</f>
        <v>Klammer</v>
      </c>
      <c r="BI157" s="16" t="str">
        <f>IF(AND(NOT(ISERROR(FIND(Nahkampfwaffen[[#Headers],[Knaufschlag]],Nahkampfwaffen[[#This Row],[Manöver mit Waffenmeister]]))),_xlfn.XLOOKUP(Nahkampfwaffen[[#Headers],[Knaufschlag]],Nahkampf!$B$80:$B$107,Nahkampf!$D$80:$D$107)),MID(Nahkampfwaffen[[#This Row],[Manöver mit Waffenmeister]],FIND(Nahkampfwaffen[[#Headers],[Knaufschlag]],Nahkampfwaffen[[#This Row],[Manöver mit Waffenmeister]]),FIND(",",Nahkampfwaffen[[#This Row],[Manöver mit Waffenmeister]],FIND(Nahkampfwaffen[[#Headers],[Knaufschlag]],Nahkampfwaffen[[#This Row],[Manöver mit Waffenmeister]]))-(FIND(Nahkampfwaffen[[#Headers],[Knaufschlag]],Nahkampfwaffen[[#This Row],[Manöver mit Waffenmeister]]))),"")</f>
        <v/>
      </c>
      <c r="BJ157" s="16" t="str">
        <f>IF(AND(NOT(ISERROR(FIND(Nahkampfwaffen[[#Headers],[Knie]],Nahkampfwaffen[[#This Row],[Manöver mit Waffenmeister]]))),_xlfn.XLOOKUP(Nahkampfwaffen[[#Headers],[Knie]],Nahkampf!$B$80:$B$107,Nahkampf!$D$80:$D$107)),MID(Nahkampfwaffen[[#This Row],[Manöver mit Waffenmeister]],FIND(Nahkampfwaffen[[#Headers],[Knie]],Nahkampfwaffen[[#This Row],[Manöver mit Waffenmeister]]),FIND(",",Nahkampfwaffen[[#This Row],[Manöver mit Waffenmeister]],FIND(Nahkampfwaffen[[#Headers],[Knie]],Nahkampfwaffen[[#This Row],[Manöver mit Waffenmeister]]))-(FIND(Nahkampfwaffen[[#Headers],[Knie]],Nahkampfwaffen[[#This Row],[Manöver mit Waffenmeister]]))),"")</f>
        <v/>
      </c>
      <c r="BK157" s="16" t="str">
        <f>IF(AND(NOT(ISERROR(FIND(Nahkampfwaffen[[#Headers],[Kopfstoß]],Nahkampfwaffen[[#This Row],[Manöver mit Waffenmeister]]))),_xlfn.XLOOKUP(Nahkampfwaffen[[#Headers],[Kopfstoß]],Nahkampf!$B$80:$B$107,Nahkampf!$D$80:$D$107)),MID(Nahkampfwaffen[[#This Row],[Manöver mit Waffenmeister]],FIND(Nahkampfwaffen[[#Headers],[Kopfstoß]],Nahkampfwaffen[[#This Row],[Manöver mit Waffenmeister]]),FIND(",",Nahkampfwaffen[[#This Row],[Manöver mit Waffenmeister]],FIND(Nahkampfwaffen[[#Headers],[Kopfstoß]],Nahkampfwaffen[[#This Row],[Manöver mit Waffenmeister]]))-(FIND(Nahkampfwaffen[[#Headers],[Kopfstoß]],Nahkampfwaffen[[#This Row],[Manöver mit Waffenmeister]]))),"")</f>
        <v/>
      </c>
      <c r="BL157" s="16" t="str">
        <f>IF(AND(NOT(ISERROR(FIND(Nahkampfwaffen[[#Headers],[Kreuzblock]],Nahkampfwaffen[[#This Row],[Manöver mit Waffenmeister]]))),_xlfn.XLOOKUP(Nahkampfwaffen[[#Headers],[Kreuzblock]],Nahkampf!$B$80:$B$107,Nahkampf!$D$80:$D$107)),MID(Nahkampfwaffen[[#This Row],[Manöver mit Waffenmeister]],FIND(Nahkampfwaffen[[#Headers],[Kreuzblock]],Nahkampfwaffen[[#This Row],[Manöver mit Waffenmeister]]),FIND(",",Nahkampfwaffen[[#This Row],[Manöver mit Waffenmeister]],FIND(Nahkampfwaffen[[#Headers],[Kreuzblock]],Nahkampfwaffen[[#This Row],[Manöver mit Waffenmeister]]))-(FIND(Nahkampfwaffen[[#Headers],[Kreuzblock]],Nahkampfwaffen[[#This Row],[Manöver mit Waffenmeister]]))),"")</f>
        <v/>
      </c>
      <c r="BM157" s="16" t="str">
        <f>IF(AND(NOT(ISERROR(FIND(Nahkampfwaffen[[#Headers],[Niederringen]],Nahkampfwaffen[[#This Row],[Manöver mit Waffenmeister]]))),_xlfn.XLOOKUP(Nahkampfwaffen[[#Headers],[Niederringen]],Nahkampf!$B$80:$B$107,Nahkampf!$D$80:$D$107)),MID(Nahkampfwaffen[[#This Row],[Manöver mit Waffenmeister]],FIND(Nahkampfwaffen[[#Headers],[Niederringen]],Nahkampfwaffen[[#This Row],[Manöver mit Waffenmeister]]),FIND(",",Nahkampfwaffen[[#This Row],[Manöver mit Waffenmeister]],FIND(Nahkampfwaffen[[#Headers],[Niederringen]],Nahkampfwaffen[[#This Row],[Manöver mit Waffenmeister]]))-(FIND(Nahkampfwaffen[[#Headers],[Niederringen]],Nahkampfwaffen[[#This Row],[Manöver mit Waffenmeister]]))),"")</f>
        <v>Niederringen</v>
      </c>
      <c r="BN157" s="16" t="str">
        <f>IF(AND(NOT(ISERROR(FIND(Nahkampfwaffen[[#Headers],[Schmetterschlag]],Nahkampfwaffen[[#This Row],[Manöver mit Waffenmeister]]))),_xlfn.XLOOKUP(Nahkampfwaffen[[#Headers],[Schmetterschlag]],Nahkampf!$B$80:$B$107,Nahkampf!$D$80:$D$107)),MID(Nahkampfwaffen[[#This Row],[Manöver mit Waffenmeister]],FIND(Nahkampfwaffen[[#Headers],[Schmetterschlag]],Nahkampfwaffen[[#This Row],[Manöver mit Waffenmeister]]),FIND(",",Nahkampfwaffen[[#This Row],[Manöver mit Waffenmeister]],FIND(Nahkampfwaffen[[#Headers],[Schmetterschlag]],Nahkampfwaffen[[#This Row],[Manöver mit Waffenmeister]]))-(FIND(Nahkampfwaffen[[#Headers],[Schmetterschlag]],Nahkampfwaffen[[#This Row],[Manöver mit Waffenmeister]]))),"")</f>
        <v/>
      </c>
      <c r="BO157" s="16" t="str">
        <f>IF(AND(NOT(ISERROR(FIND(Nahkampfwaffen[[#Headers],[Schmutzige Tricks]],Nahkampfwaffen[[#This Row],[Manöver mit Waffenmeister]]))),_xlfn.XLOOKUP(Nahkampfwaffen[[#Headers],[Schmutzige Tricks]],Nahkampf!$B$80:$B$107,Nahkampf!$D$80:$D$107)),MID(Nahkampfwaffen[[#This Row],[Manöver mit Waffenmeister]],FIND(Nahkampfwaffen[[#Headers],[Schmutzige Tricks]],Nahkampfwaffen[[#This Row],[Manöver mit Waffenmeister]]),FIND(",",Nahkampfwaffen[[#This Row],[Manöver mit Waffenmeister]],FIND(Nahkampfwaffen[[#Headers],[Schmutzige Tricks]],Nahkampfwaffen[[#This Row],[Manöver mit Waffenmeister]]))-(FIND(Nahkampfwaffen[[#Headers],[Schmutzige Tricks]],Nahkampfwaffen[[#This Row],[Manöver mit Waffenmeister]]))),"")</f>
        <v/>
      </c>
      <c r="BP157" s="16" t="str">
        <f>IF(AND(NOT(ISERROR(FIND(Nahkampfwaffen[[#Headers],[Schwinger]],Nahkampfwaffen[[#This Row],[Manöver mit Waffenmeister]]))),_xlfn.XLOOKUP(Nahkampfwaffen[[#Headers],[Schwinger]],Nahkampf!$B$80:$B$107,Nahkampf!$D$80:$D$107)),MID(Nahkampfwaffen[[#This Row],[Manöver mit Waffenmeister]],FIND(Nahkampfwaffen[[#Headers],[Schwinger]],Nahkampfwaffen[[#This Row],[Manöver mit Waffenmeister]]),FIND(",",Nahkampfwaffen[[#This Row],[Manöver mit Waffenmeister]],FIND(Nahkampfwaffen[[#Headers],[Schwinger]],Nahkampfwaffen[[#This Row],[Manöver mit Waffenmeister]]))-(FIND(Nahkampfwaffen[[#Headers],[Schwinger]],Nahkampfwaffen[[#This Row],[Manöver mit Waffenmeister]]))),"")</f>
        <v/>
      </c>
      <c r="BQ157" s="16" t="str">
        <f>IF(AND(NOT(ISERROR(FIND(Nahkampfwaffen[[#Headers],[Schwitzkasten]],Nahkampfwaffen[[#This Row],[Manöver mit Waffenmeister]]))),_xlfn.XLOOKUP(Nahkampfwaffen[[#Headers],[Schwitzkasten]],Nahkampf!$B$80:$B$107,Nahkampf!$D$80:$D$107)),MID(Nahkampfwaffen[[#This Row],[Manöver mit Waffenmeister]],FIND(Nahkampfwaffen[[#Headers],[Schwitzkasten]],Nahkampfwaffen[[#This Row],[Manöver mit Waffenmeister]]),FIND(",",Nahkampfwaffen[[#This Row],[Manöver mit Waffenmeister]],FIND(Nahkampfwaffen[[#Headers],[Schwitzkasten]],Nahkampfwaffen[[#This Row],[Manöver mit Waffenmeister]]))-(FIND(Nahkampfwaffen[[#Headers],[Schwitzkasten]],Nahkampfwaffen[[#This Row],[Manöver mit Waffenmeister]]))),"")</f>
        <v>Schwitzkasten</v>
      </c>
      <c r="BR157" s="16" t="str">
        <f>IF(AND(NOT(ISERROR(FIND(Nahkampfwaffen[[#Headers],[Sprung]],Nahkampfwaffen[[#This Row],[Manöver mit Waffenmeister]]))),_xlfn.XLOOKUP(Nahkampfwaffen[[#Headers],[Sprung]],Nahkampf!$B$80:$B$107,Nahkampf!$D$80:$D$107)),MID(Nahkampfwaffen[[#This Row],[Manöver mit Waffenmeister]],FIND(Nahkampfwaffen[[#Headers],[Sprung]],Nahkampfwaffen[[#This Row],[Manöver mit Waffenmeister]]),FIND(",",Nahkampfwaffen[[#This Row],[Manöver mit Waffenmeister]],FIND(Nahkampfwaffen[[#Headers],[Sprung]],Nahkampfwaffen[[#This Row],[Manöver mit Waffenmeister]]))-(FIND(Nahkampfwaffen[[#Headers],[Sprung]],Nahkampfwaffen[[#This Row],[Manöver mit Waffenmeister]]))),"")</f>
        <v/>
      </c>
      <c r="BS157" s="16" t="str">
        <f>IF(AND(NOT(ISERROR(FIND(Nahkampfwaffen[[#Headers],[Sprungtritt]],Nahkampfwaffen[[#This Row],[Manöver mit Waffenmeister]]))),_xlfn.XLOOKUP(Nahkampfwaffen[[#Headers],[Sprungtritt]],Nahkampf!$B$80:$B$107,Nahkampf!$D$80:$D$107)),MID(Nahkampfwaffen[[#This Row],[Manöver mit Waffenmeister]],FIND(Nahkampfwaffen[[#Headers],[Sprungtritt]],Nahkampfwaffen[[#This Row],[Manöver mit Waffenmeister]]),FIND(",",Nahkampfwaffen[[#This Row],[Manöver mit Waffenmeister]],FIND(Nahkampfwaffen[[#Headers],[Sprungtritt]],Nahkampfwaffen[[#This Row],[Manöver mit Waffenmeister]]))-(FIND(Nahkampfwaffen[[#Headers],[Sprungtritt]],Nahkampfwaffen[[#This Row],[Manöver mit Waffenmeister]]))),"")</f>
        <v/>
      </c>
      <c r="BT157" s="16" t="str">
        <f>IF(AND(NOT(ISERROR(FIND(Nahkampfwaffen[[#Headers],[Tritt]],Nahkampfwaffen[[#This Row],[Manöver mit Waffenmeister]]))),_xlfn.XLOOKUP(Nahkampfwaffen[[#Headers],[Tritt]],Nahkampf!$B$80:$B$107,Nahkampf!$D$80:$D$107)),MID(Nahkampfwaffen[[#This Row],[Manöver mit Waffenmeister]],FIND(Nahkampfwaffen[[#Headers],[Tritt]],Nahkampfwaffen[[#This Row],[Manöver mit Waffenmeister]]),FIND(",",Nahkampfwaffen[[#This Row],[Manöver mit Waffenmeister]],FIND(Nahkampfwaffen[[#Headers],[Tritt]],Nahkampfwaffen[[#This Row],[Manöver mit Waffenmeister]]))-(FIND(Nahkampfwaffen[[#Headers],[Tritt]],Nahkampfwaffen[[#This Row],[Manöver mit Waffenmeister]]))),"")</f>
        <v/>
      </c>
      <c r="BU157" s="16" t="str">
        <f>IF(AND(NOT(ISERROR(FIND(Nahkampfwaffen[[#Headers],[Versteckte Klinge]],Nahkampfwaffen[[#This Row],[Manöver mit Waffenmeister]]))),_xlfn.XLOOKUP(Nahkampfwaffen[[#Headers],[Versteckte Klinge]],Nahkampf!$B$80:$B$107,Nahkampf!$D$80:$D$107)),MID(Nahkampfwaffen[[#This Row],[Manöver mit Waffenmeister]],FIND(Nahkampfwaffen[[#Headers],[Versteckte Klinge]],Nahkampfwaffen[[#This Row],[Manöver mit Waffenmeister]]),FIND(",",Nahkampfwaffen[[#This Row],[Manöver mit Waffenmeister]],FIND(Nahkampfwaffen[[#Headers],[Versteckte Klinge]],Nahkampfwaffen[[#This Row],[Manöver mit Waffenmeister]]))-(FIND(Nahkampfwaffen[[#Headers],[Versteckte Klinge]],Nahkampfwaffen[[#This Row],[Manöver mit Waffenmeister]]))),"")</f>
        <v/>
      </c>
      <c r="BV157" s="16" t="str">
        <f>IF(AND(NOT(ISERROR(FIND(Nahkampfwaffen[[#Headers],[Wurf]],Nahkampfwaffen[[#This Row],[Manöver mit Waffenmeister]]))),_xlfn.XLOOKUP(Nahkampfwaffen[[#Headers],[Wurf]],Nahkampf!$B$80:$B$107,Nahkampf!$D$80:$D$107)),MID(Nahkampfwaffen[[#This Row],[Manöver mit Waffenmeister]],FIND(Nahkampfwaffen[[#Headers],[Wurf]],Nahkampfwaffen[[#This Row],[Manöver mit Waffenmeister]]),FIND(",",Nahkampfwaffen[[#This Row],[Manöver mit Waffenmeister]],FIND(Nahkampfwaffen[[#Headers],[Wurf]],Nahkampfwaffen[[#This Row],[Manöver mit Waffenmeister]]))-(FIND(Nahkampfwaffen[[#Headers],[Wurf]],Nahkampfwaffen[[#This Row],[Manöver mit Waffenmeister]]))),"")</f>
        <v>Wurf</v>
      </c>
      <c r="BW157" s="16" t="str">
        <f>IF(AND(NOT(ISERROR(FIND(Nahkampfwaffen[[#Headers],[Würgegriff]],Nahkampfwaffen[[#This Row],[Manöver mit Waffenmeister]]))),_xlfn.XLOOKUP(Nahkampfwaffen[[#Headers],[Würgegriff]],Nahkampf!$B$80:$B$107,Nahkampf!$D$80:$D$107)),MID(Nahkampfwaffen[[#This Row],[Manöver mit Waffenmeister]],FIND(Nahkampfwaffen[[#Headers],[Würgegriff]],Nahkampfwaffen[[#This Row],[Manöver mit Waffenmeister]]),FIND(",",Nahkampfwaffen[[#This Row],[Manöver mit Waffenmeister]],FIND(Nahkampfwaffen[[#Headers],[Würgegriff]],Nahkampfwaffen[[#This Row],[Manöver mit Waffenmeister]]))-(FIND(Nahkampfwaffen[[#Headers],[Würgegriff]],Nahkampfwaffen[[#This Row],[Manöver mit Waffenmeister]]))),"")</f>
        <v/>
      </c>
    </row>
    <row r="160" spans="1:75" ht="15.75">
      <c r="A160" s="108" t="s">
        <v>91</v>
      </c>
      <c r="B160" s="108" t="s">
        <v>921</v>
      </c>
      <c r="C160" s="108" t="s">
        <v>231</v>
      </c>
      <c r="D160" s="155" t="s">
        <v>922</v>
      </c>
      <c r="E160" s="155" t="s">
        <v>923</v>
      </c>
      <c r="F160" s="155" t="s">
        <v>924</v>
      </c>
      <c r="G160" s="108" t="s">
        <v>95</v>
      </c>
      <c r="H160" s="108" t="s">
        <v>925</v>
      </c>
      <c r="I160" s="108" t="s">
        <v>927</v>
      </c>
      <c r="J160" s="108" t="s">
        <v>928</v>
      </c>
      <c r="K160" s="108" t="s">
        <v>931</v>
      </c>
      <c r="L160" s="108" t="s">
        <v>934</v>
      </c>
    </row>
    <row r="161" spans="1:12" ht="30">
      <c r="A161" s="102" t="s">
        <v>1171</v>
      </c>
      <c r="B161" s="102" t="s">
        <v>1172</v>
      </c>
      <c r="C161" s="102" t="s">
        <v>1173</v>
      </c>
      <c r="D161" s="104" t="s">
        <v>1174</v>
      </c>
      <c r="E161" s="168"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1" s="168" t="e">
        <f>_xlfn.TEXTJOIN("; ",TRUE,Nahkampfwaffen[[#This Row],[Ausfall]:[Wuchtschlag]])</f>
        <v>#VALUE!</v>
      </c>
      <c r="G161" s="105" t="s">
        <v>110</v>
      </c>
      <c r="H161" s="104"/>
      <c r="I161" s="104"/>
      <c r="J161" s="104"/>
      <c r="K161" s="104"/>
      <c r="L161" s="104" t="s">
        <v>1175</v>
      </c>
    </row>
    <row r="162" spans="1:12" ht="30">
      <c r="A162" s="103" t="s">
        <v>1171</v>
      </c>
      <c r="B162" s="103" t="s">
        <v>1176</v>
      </c>
      <c r="C162" s="103" t="s">
        <v>1173</v>
      </c>
      <c r="D162" s="106" t="s">
        <v>1174</v>
      </c>
      <c r="E162"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2" s="106" t="e">
        <f>_xlfn.TEXTJOIN("; ",TRUE,Nahkampfwaffen[[#This Row],[Ausfall]:[Wuchtschlag]])</f>
        <v>#VALUE!</v>
      </c>
      <c r="G162" s="107" t="s">
        <v>110</v>
      </c>
      <c r="H162" s="106"/>
      <c r="I162" s="106"/>
      <c r="J162" s="106"/>
      <c r="K162" s="106"/>
      <c r="L162" s="106" t="s">
        <v>1175</v>
      </c>
    </row>
    <row r="163" spans="1:12" ht="30">
      <c r="A163" s="102" t="s">
        <v>1171</v>
      </c>
      <c r="B163" s="102" t="s">
        <v>1177</v>
      </c>
      <c r="C163" s="102" t="s">
        <v>1173</v>
      </c>
      <c r="D163" s="104" t="s">
        <v>1174</v>
      </c>
      <c r="E163"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3" s="104" t="e">
        <f>_xlfn.TEXTJOIN("; ",TRUE,Nahkampfwaffen[[#This Row],[Ausfall]:[Wuchtschlag]])</f>
        <v>#VALUE!</v>
      </c>
      <c r="G163" s="105" t="s">
        <v>110</v>
      </c>
      <c r="H163" s="104"/>
      <c r="I163" s="104"/>
      <c r="J163" s="104"/>
      <c r="K163" s="104"/>
      <c r="L163" s="104" t="s">
        <v>1175</v>
      </c>
    </row>
    <row r="164" spans="1:12" ht="30">
      <c r="A164" s="103" t="s">
        <v>1171</v>
      </c>
      <c r="B164" s="103" t="s">
        <v>1178</v>
      </c>
      <c r="C164" s="103" t="s">
        <v>1173</v>
      </c>
      <c r="D164" s="106" t="s">
        <v>1174</v>
      </c>
      <c r="E164"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4" s="106" t="e">
        <f>_xlfn.TEXTJOIN("; ",TRUE,Nahkampfwaffen[[#This Row],[Ausfall]:[Wuchtschlag]])</f>
        <v>#VALUE!</v>
      </c>
      <c r="G164" s="107" t="s">
        <v>110</v>
      </c>
      <c r="H164" s="106"/>
      <c r="I164" s="106"/>
      <c r="J164" s="106"/>
      <c r="K164" s="106"/>
      <c r="L164" s="106" t="s">
        <v>1175</v>
      </c>
    </row>
    <row r="165" spans="1:12" ht="30">
      <c r="A165" s="102" t="s">
        <v>1171</v>
      </c>
      <c r="B165" s="102" t="s">
        <v>1179</v>
      </c>
      <c r="C165" s="102" t="s">
        <v>1173</v>
      </c>
      <c r="D165" s="104" t="s">
        <v>1174</v>
      </c>
      <c r="E165"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5" s="104" t="e">
        <f>_xlfn.TEXTJOIN("; ",TRUE,Nahkampfwaffen[[#This Row],[Ausfall]:[Wuchtschlag]])</f>
        <v>#VALUE!</v>
      </c>
      <c r="G165" s="105" t="s">
        <v>110</v>
      </c>
      <c r="H165" s="104"/>
      <c r="I165" s="104"/>
      <c r="J165" s="104"/>
      <c r="K165" s="104"/>
      <c r="L165" s="104" t="s">
        <v>1175</v>
      </c>
    </row>
    <row r="166" spans="1:12" ht="30">
      <c r="A166" s="103" t="s">
        <v>1171</v>
      </c>
      <c r="B166" s="103" t="s">
        <v>1180</v>
      </c>
      <c r="C166" s="103" t="s">
        <v>1173</v>
      </c>
      <c r="D166" s="106" t="s">
        <v>1174</v>
      </c>
      <c r="E166"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6" s="106" t="e">
        <f>_xlfn.TEXTJOIN("; ",TRUE,Nahkampfwaffen[[#This Row],[Ausfall]:[Wuchtschlag]])</f>
        <v>#VALUE!</v>
      </c>
      <c r="G166" s="107" t="s">
        <v>110</v>
      </c>
      <c r="H166" s="106"/>
      <c r="I166" s="106"/>
      <c r="J166" s="106"/>
      <c r="K166" s="106"/>
      <c r="L166" s="106" t="s">
        <v>1175</v>
      </c>
    </row>
    <row r="167" spans="1:12" ht="30">
      <c r="A167" s="102" t="s">
        <v>1171</v>
      </c>
      <c r="B167" s="102" t="s">
        <v>1181</v>
      </c>
      <c r="C167" s="102" t="s">
        <v>1173</v>
      </c>
      <c r="D167" s="104" t="s">
        <v>1174</v>
      </c>
      <c r="E167"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7" s="104" t="e">
        <f>_xlfn.TEXTJOIN("; ",TRUE,Nahkampfwaffen[[#This Row],[Ausfall]:[Wuchtschlag]])</f>
        <v>#VALUE!</v>
      </c>
      <c r="G167" s="105" t="s">
        <v>110</v>
      </c>
      <c r="H167" s="104"/>
      <c r="I167" s="104"/>
      <c r="J167" s="104"/>
      <c r="K167" s="104"/>
      <c r="L167" s="104" t="s">
        <v>1175</v>
      </c>
    </row>
    <row r="168" spans="1:12" ht="30">
      <c r="A168" s="103" t="s">
        <v>1171</v>
      </c>
      <c r="B168" s="103" t="s">
        <v>1182</v>
      </c>
      <c r="C168" s="103" t="s">
        <v>1173</v>
      </c>
      <c r="D168" s="106" t="s">
        <v>1174</v>
      </c>
      <c r="E168"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68" s="106" t="e">
        <f>_xlfn.TEXTJOIN("; ",TRUE,Nahkampfwaffen[[#This Row],[Ausfall]:[Wuchtschlag]])</f>
        <v>#VALUE!</v>
      </c>
      <c r="G168" s="107" t="s">
        <v>110</v>
      </c>
      <c r="H168" s="106"/>
      <c r="I168" s="106"/>
      <c r="J168" s="106"/>
      <c r="K168" s="106"/>
      <c r="L168" s="106" t="s">
        <v>1175</v>
      </c>
    </row>
    <row r="169" spans="1:12">
      <c r="A169" s="102" t="s">
        <v>1171</v>
      </c>
      <c r="B169" s="102" t="s">
        <v>1183</v>
      </c>
      <c r="C169" s="102" t="s">
        <v>1184</v>
      </c>
      <c r="D169" s="104" t="s">
        <v>1185</v>
      </c>
      <c r="E169" s="104" t="str">
        <f>IF(ISTEXT(Fenrkampfwaffen[[#This Row],[Waffenmeister: Manöver]]),_xlfn.CONCAT(Fenrkampfwaffen[[#This Row],[Mögliche Manöver]]," ",Fenrkampfwaffen[[#This Row],[Waffenmeister: Manöver]],","),Fenrkampfwaffen[[#This Row],[Mögliche Manöver]])</f>
        <v>Geschützmeister</v>
      </c>
      <c r="F169" s="104" t="e">
        <f>_xlfn.TEXTJOIN("; ",TRUE,Nahkampfwaffen[[#This Row],[Ausfall]:[Wuchtschlag]])</f>
        <v>#VALUE!</v>
      </c>
      <c r="G169" s="105" t="s">
        <v>113</v>
      </c>
      <c r="H169" s="104"/>
      <c r="I169" s="104"/>
      <c r="J169" s="104"/>
      <c r="K169" s="104"/>
      <c r="L169" s="104" t="s">
        <v>1175</v>
      </c>
    </row>
    <row r="170" spans="1:12">
      <c r="A170" s="103" t="s">
        <v>1171</v>
      </c>
      <c r="B170" s="106" t="s">
        <v>1186</v>
      </c>
      <c r="C170" s="103" t="s">
        <v>1184</v>
      </c>
      <c r="D170" s="103" t="s">
        <v>1187</v>
      </c>
      <c r="E170" s="103" t="str">
        <f>IF(ISTEXT(Fenrkampfwaffen[[#This Row],[Waffenmeister: Manöver]]),_xlfn.CONCAT(Fenrkampfwaffen[[#This Row],[Mögliche Manöver]]," ",Fenrkampfwaffen[[#This Row],[Waffenmeister: Manöver]],","),Fenrkampfwaffen[[#This Row],[Mögliche Manöver]])</f>
        <v>Fernkampfangriff mit Ansage, Geschützmeister</v>
      </c>
      <c r="F170" s="103" t="e">
        <f>_xlfn.TEXTJOIN("; ",TRUE,Nahkampfwaffen[[#This Row],[Ausfall]:[Wuchtschlag]])</f>
        <v>#VALUE!</v>
      </c>
      <c r="G170" s="107" t="s">
        <v>113</v>
      </c>
      <c r="H170" s="106"/>
      <c r="I170" s="106"/>
      <c r="J170" s="106"/>
      <c r="K170" s="106"/>
      <c r="L170" s="106" t="s">
        <v>1175</v>
      </c>
    </row>
    <row r="171" spans="1:12">
      <c r="A171" s="102" t="s">
        <v>1171</v>
      </c>
      <c r="B171" s="102" t="s">
        <v>1188</v>
      </c>
      <c r="C171" s="102" t="s">
        <v>1184</v>
      </c>
      <c r="D171" s="102" t="s">
        <v>1187</v>
      </c>
      <c r="E171" s="102" t="str">
        <f>IF(ISTEXT(Fenrkampfwaffen[[#This Row],[Waffenmeister: Manöver]]),_xlfn.CONCAT(Fenrkampfwaffen[[#This Row],[Mögliche Manöver]]," ",Fenrkampfwaffen[[#This Row],[Waffenmeister: Manöver]],","),Fenrkampfwaffen[[#This Row],[Mögliche Manöver]])</f>
        <v>Fernkampfangriff mit Ansage, Geschützmeister</v>
      </c>
      <c r="F171" s="102" t="e">
        <f>_xlfn.TEXTJOIN("; ",TRUE,Nahkampfwaffen[[#This Row],[Ausfall]:[Wuchtschlag]])</f>
        <v>#VALUE!</v>
      </c>
      <c r="G171" s="105" t="s">
        <v>113</v>
      </c>
      <c r="H171" s="104"/>
      <c r="I171" s="104"/>
      <c r="J171" s="104"/>
      <c r="K171" s="104"/>
      <c r="L171" s="104" t="s">
        <v>1175</v>
      </c>
    </row>
    <row r="172" spans="1:12">
      <c r="A172" s="103" t="s">
        <v>1171</v>
      </c>
      <c r="B172" s="103" t="s">
        <v>1189</v>
      </c>
      <c r="C172" s="103" t="s">
        <v>1184</v>
      </c>
      <c r="D172" s="103" t="s">
        <v>1187</v>
      </c>
      <c r="E172" s="103" t="str">
        <f>IF(ISTEXT(Fenrkampfwaffen[[#This Row],[Waffenmeister: Manöver]]),_xlfn.CONCAT(Fenrkampfwaffen[[#This Row],[Mögliche Manöver]]," ",Fenrkampfwaffen[[#This Row],[Waffenmeister: Manöver]],","),Fenrkampfwaffen[[#This Row],[Mögliche Manöver]])</f>
        <v>Fernkampfangriff mit Ansage, Geschützmeister</v>
      </c>
      <c r="F172" s="103" t="e">
        <f>_xlfn.TEXTJOIN("; ",TRUE,Nahkampfwaffen[[#This Row],[Ausfall]:[Wuchtschlag]])</f>
        <v>#VALUE!</v>
      </c>
      <c r="G172" s="107" t="s">
        <v>113</v>
      </c>
      <c r="H172" s="106"/>
      <c r="I172" s="106"/>
      <c r="J172" s="106"/>
      <c r="K172" s="106"/>
      <c r="L172" s="106" t="s">
        <v>1175</v>
      </c>
    </row>
    <row r="173" spans="1:12">
      <c r="A173" s="102" t="s">
        <v>1171</v>
      </c>
      <c r="B173" s="102" t="s">
        <v>1190</v>
      </c>
      <c r="C173" s="102" t="s">
        <v>1190</v>
      </c>
      <c r="D173" s="102" t="s">
        <v>1191</v>
      </c>
      <c r="E173" s="102" t="str">
        <f>IF(ISTEXT(Fenrkampfwaffen[[#This Row],[Waffenmeister: Manöver]]),_xlfn.CONCAT(Fenrkampfwaffen[[#This Row],[Mögliche Manöver]]," ",Fenrkampfwaffen[[#This Row],[Waffenmeister: Manöver]],","),Fenrkampfwaffen[[#This Row],[Mögliche Manöver]])</f>
        <v>Fernkampfangriff mit Ansage, Meisterschütze, Scharfschütze</v>
      </c>
      <c r="F173" s="102" t="e">
        <f>_xlfn.TEXTJOIN("; ",TRUE,Nahkampfwaffen[[#This Row],[Ausfall]:[Wuchtschlag]])</f>
        <v>#VALUE!</v>
      </c>
      <c r="G173" s="105" t="s">
        <v>113</v>
      </c>
      <c r="H173" s="104"/>
      <c r="I173" s="104"/>
      <c r="J173" s="104"/>
      <c r="K173" s="104"/>
      <c r="L173" s="104" t="s">
        <v>1175</v>
      </c>
    </row>
    <row r="174" spans="1:12" ht="30">
      <c r="A174" s="103" t="s">
        <v>1171</v>
      </c>
      <c r="B174" s="103" t="s">
        <v>1192</v>
      </c>
      <c r="C174" s="103" t="s">
        <v>1193</v>
      </c>
      <c r="D174" s="106" t="s">
        <v>1174</v>
      </c>
      <c r="E174"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4" s="106" t="e">
        <f>_xlfn.TEXTJOIN("; ",TRUE,Nahkampfwaffen[[#This Row],[Ausfall]:[Wuchtschlag]])</f>
        <v>#VALUE!</v>
      </c>
      <c r="G174" s="107" t="s">
        <v>429</v>
      </c>
      <c r="H174" s="106"/>
      <c r="I174" s="106"/>
      <c r="J174" s="106"/>
      <c r="K174" s="106"/>
      <c r="L174" s="106" t="s">
        <v>1175</v>
      </c>
    </row>
    <row r="175" spans="1:12" ht="30">
      <c r="A175" s="102" t="s">
        <v>1171</v>
      </c>
      <c r="B175" s="102" t="s">
        <v>1194</v>
      </c>
      <c r="C175" s="102" t="s">
        <v>1193</v>
      </c>
      <c r="D175" s="104" t="s">
        <v>1174</v>
      </c>
      <c r="E175"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5" s="104" t="e">
        <f>_xlfn.TEXTJOIN("; ",TRUE,Nahkampfwaffen[[#This Row],[Ausfall]:[Wuchtschlag]])</f>
        <v>#VALUE!</v>
      </c>
      <c r="G175" s="105" t="s">
        <v>429</v>
      </c>
      <c r="H175" s="104"/>
      <c r="I175" s="104"/>
      <c r="J175" s="104"/>
      <c r="K175" s="104"/>
      <c r="L175" s="104" t="s">
        <v>1175</v>
      </c>
    </row>
    <row r="176" spans="1:12" ht="30">
      <c r="A176" s="103" t="s">
        <v>1171</v>
      </c>
      <c r="B176" s="103" t="s">
        <v>1195</v>
      </c>
      <c r="C176" s="103" t="s">
        <v>1193</v>
      </c>
      <c r="D176" s="106" t="s">
        <v>1174</v>
      </c>
      <c r="E176"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6" s="106" t="e">
        <f>_xlfn.TEXTJOIN("; ",TRUE,Nahkampfwaffen[[#This Row],[Ausfall]:[Wuchtschlag]])</f>
        <v>#VALUE!</v>
      </c>
      <c r="G176" s="107" t="s">
        <v>429</v>
      </c>
      <c r="H176" s="106"/>
      <c r="I176" s="106"/>
      <c r="J176" s="106"/>
      <c r="K176" s="106"/>
      <c r="L176" s="106" t="s">
        <v>1175</v>
      </c>
    </row>
    <row r="177" spans="1:12" ht="30">
      <c r="A177" s="102" t="s">
        <v>1171</v>
      </c>
      <c r="B177" s="102" t="s">
        <v>1196</v>
      </c>
      <c r="C177" s="102" t="s">
        <v>1193</v>
      </c>
      <c r="D177" s="104" t="s">
        <v>1174</v>
      </c>
      <c r="E177"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7" s="104" t="e">
        <f>_xlfn.TEXTJOIN("; ",TRUE,Nahkampfwaffen[[#This Row],[Ausfall]:[Wuchtschlag]])</f>
        <v>#VALUE!</v>
      </c>
      <c r="G177" s="105" t="s">
        <v>429</v>
      </c>
      <c r="H177" s="104"/>
      <c r="I177" s="104"/>
      <c r="J177" s="104"/>
      <c r="K177" s="104"/>
      <c r="L177" s="104" t="s">
        <v>1175</v>
      </c>
    </row>
    <row r="178" spans="1:12" ht="30">
      <c r="A178" s="103" t="s">
        <v>1171</v>
      </c>
      <c r="B178" s="103" t="s">
        <v>1197</v>
      </c>
      <c r="C178" s="103" t="s">
        <v>1193</v>
      </c>
      <c r="D178" s="106" t="s">
        <v>1174</v>
      </c>
      <c r="E178" s="106"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8" s="106" t="e">
        <f>_xlfn.TEXTJOIN("; ",TRUE,Nahkampfwaffen[[#This Row],[Ausfall]:[Wuchtschlag]])</f>
        <v>#VALUE!</v>
      </c>
      <c r="G178" s="107" t="s">
        <v>429</v>
      </c>
      <c r="H178" s="106"/>
      <c r="I178" s="106"/>
      <c r="J178" s="106"/>
      <c r="K178" s="106"/>
      <c r="L178" s="106" t="s">
        <v>1175</v>
      </c>
    </row>
    <row r="179" spans="1:12" ht="30">
      <c r="A179" s="102" t="s">
        <v>1171</v>
      </c>
      <c r="B179" s="102" t="s">
        <v>1198</v>
      </c>
      <c r="C179" s="102" t="s">
        <v>1193</v>
      </c>
      <c r="D179" s="104" t="s">
        <v>1174</v>
      </c>
      <c r="E179" s="104" t="str">
        <f>IF(ISTEXT(Fenrkampfwaffen[[#This Row],[Waffenmeister: Manöver]]),_xlfn.CONCAT(Fenrkampfwaffen[[#This Row],[Mögliche Manöver]]," ",Fenrkampfwaffen[[#This Row],[Waffenmeister: Manöver]],","),Fenrkampfwaffen[[#This Row],[Mögliche Manöver]])</f>
        <v>Fernkampfangriff mit Ansage, Berittener Schütze, Gezielter Schuss, Meisterschütze, Scharfschütze, Schnellladen, Zielen</v>
      </c>
      <c r="F179" s="104" t="e">
        <f>_xlfn.TEXTJOIN("; ",TRUE,Nahkampfwaffen[[#This Row],[Ausfall]:[Wuchtschlag]])</f>
        <v>#VALUE!</v>
      </c>
      <c r="G179" s="105" t="s">
        <v>429</v>
      </c>
      <c r="H179" s="104"/>
      <c r="I179" s="104"/>
      <c r="J179" s="104"/>
      <c r="K179" s="104"/>
      <c r="L179" s="104" t="s">
        <v>1175</v>
      </c>
    </row>
    <row r="180" spans="1:12">
      <c r="A180" s="103" t="s">
        <v>1171</v>
      </c>
      <c r="B180" s="103" t="s">
        <v>1199</v>
      </c>
      <c r="C180" s="103" t="s">
        <v>1199</v>
      </c>
      <c r="D180" s="103" t="s">
        <v>1200</v>
      </c>
      <c r="E180" s="103" t="str">
        <f>IF(ISTEXT(Fenrkampfwaffen[[#This Row],[Waffenmeister: Manöver]]),_xlfn.CONCAT(Fenrkampfwaffen[[#This Row],[Mögliche Manöver]]," ",Fenrkampfwaffen[[#This Row],[Waffenmeister: Manöver]],","),Fenrkampfwaffen[[#This Row],[Mögliche Manöver]])</f>
        <v>Fernkampfangriff mit Ansage, Schnellziehen</v>
      </c>
      <c r="F180" s="103" t="e">
        <f>_xlfn.TEXTJOIN("; ",TRUE,Nahkampfwaffen[[#This Row],[Ausfall]:[Wuchtschlag]])</f>
        <v>#VALUE!</v>
      </c>
      <c r="G180" s="107" t="s">
        <v>113</v>
      </c>
      <c r="H180" s="106"/>
      <c r="I180" s="106"/>
      <c r="J180" s="106"/>
      <c r="K180" s="106"/>
      <c r="L180" s="106" t="s">
        <v>1175</v>
      </c>
    </row>
    <row r="181" spans="1:12">
      <c r="A181" s="102" t="s">
        <v>1171</v>
      </c>
      <c r="B181" s="102" t="s">
        <v>1201</v>
      </c>
      <c r="C181" s="102" t="s">
        <v>1199</v>
      </c>
      <c r="D181" s="102" t="s">
        <v>1200</v>
      </c>
      <c r="E181" s="102" t="str">
        <f>IF(ISTEXT(Fenrkampfwaffen[[#This Row],[Waffenmeister: Manöver]]),_xlfn.CONCAT(Fenrkampfwaffen[[#This Row],[Mögliche Manöver]]," ",Fenrkampfwaffen[[#This Row],[Waffenmeister: Manöver]],","),Fenrkampfwaffen[[#This Row],[Mögliche Manöver]])</f>
        <v>Fernkampfangriff mit Ansage, Schnellziehen</v>
      </c>
      <c r="F181" s="102" t="e">
        <f>_xlfn.TEXTJOIN("; ",TRUE,Nahkampfwaffen[[#This Row],[Ausfall]:[Wuchtschlag]])</f>
        <v>#VALUE!</v>
      </c>
      <c r="G181" s="105" t="s">
        <v>113</v>
      </c>
      <c r="H181" s="104"/>
      <c r="I181" s="104"/>
      <c r="J181" s="104"/>
      <c r="K181" s="104"/>
      <c r="L181" s="104" t="s">
        <v>1175</v>
      </c>
    </row>
    <row r="182" spans="1:12">
      <c r="A182" s="103" t="s">
        <v>1171</v>
      </c>
      <c r="B182" s="103" t="s">
        <v>1202</v>
      </c>
      <c r="C182" s="103" t="s">
        <v>1202</v>
      </c>
      <c r="D182" s="106" t="s">
        <v>1203</v>
      </c>
      <c r="E182" s="106" t="str">
        <f>IF(ISTEXT(Fenrkampfwaffen[[#This Row],[Waffenmeister: Manöver]]),_xlfn.CONCAT(Fenrkampfwaffen[[#This Row],[Mögliche Manöver]]," ",Fenrkampfwaffen[[#This Row],[Waffenmeister: Manöver]],","),Fenrkampfwaffen[[#This Row],[Mögliche Manöver]])</f>
        <v>Fernkampfangriff mit Ansage, Scharfschütze, Meisterschütze</v>
      </c>
      <c r="F182" s="106" t="e">
        <f>_xlfn.TEXTJOIN("; ",TRUE,Nahkampfwaffen[[#This Row],[Ausfall]:[Wuchtschlag]])</f>
        <v>#VALUE!</v>
      </c>
      <c r="G182" s="107" t="s">
        <v>429</v>
      </c>
      <c r="H182" s="106"/>
      <c r="I182" s="106"/>
      <c r="J182" s="106"/>
      <c r="K182" s="106"/>
      <c r="L182" s="106" t="s">
        <v>1175</v>
      </c>
    </row>
    <row r="183" spans="1:12">
      <c r="A183" s="102" t="s">
        <v>1171</v>
      </c>
      <c r="B183" s="102" t="s">
        <v>1204</v>
      </c>
      <c r="C183" s="102" t="s">
        <v>1202</v>
      </c>
      <c r="D183" s="104" t="s">
        <v>1203</v>
      </c>
      <c r="E183" s="104" t="str">
        <f>IF(ISTEXT(Fenrkampfwaffen[[#This Row],[Waffenmeister: Manöver]]),_xlfn.CONCAT(Fenrkampfwaffen[[#This Row],[Mögliche Manöver]]," ",Fenrkampfwaffen[[#This Row],[Waffenmeister: Manöver]],","),Fenrkampfwaffen[[#This Row],[Mögliche Manöver]])</f>
        <v>Fernkampfangriff mit Ansage, Scharfschütze, Meisterschütze</v>
      </c>
      <c r="F183" s="104" t="e">
        <f>_xlfn.TEXTJOIN("; ",TRUE,Nahkampfwaffen[[#This Row],[Ausfall]:[Wuchtschlag]])</f>
        <v>#VALUE!</v>
      </c>
      <c r="G183" s="105" t="s">
        <v>429</v>
      </c>
      <c r="H183" s="104"/>
      <c r="I183" s="104"/>
      <c r="J183" s="104"/>
      <c r="K183" s="104"/>
      <c r="L183" s="104" t="s">
        <v>1175</v>
      </c>
    </row>
    <row r="184" spans="1:12">
      <c r="A184" s="103" t="s">
        <v>1171</v>
      </c>
      <c r="B184" s="103" t="s">
        <v>1205</v>
      </c>
      <c r="C184" s="103" t="s">
        <v>1202</v>
      </c>
      <c r="D184" s="106" t="s">
        <v>1203</v>
      </c>
      <c r="E184" s="106" t="str">
        <f>IF(ISTEXT(Fenrkampfwaffen[[#This Row],[Waffenmeister: Manöver]]),_xlfn.CONCAT(Fenrkampfwaffen[[#This Row],[Mögliche Manöver]]," ",Fenrkampfwaffen[[#This Row],[Waffenmeister: Manöver]],","),Fenrkampfwaffen[[#This Row],[Mögliche Manöver]])</f>
        <v>Fernkampfangriff mit Ansage, Scharfschütze, Meisterschütze</v>
      </c>
      <c r="F184" s="106" t="e">
        <f>_xlfn.TEXTJOIN("; ",TRUE,Nahkampfwaffen[[#This Row],[Ausfall]:[Wuchtschlag]])</f>
        <v>#VALUE!</v>
      </c>
      <c r="G184" s="107" t="s">
        <v>429</v>
      </c>
      <c r="H184" s="106"/>
      <c r="I184" s="106"/>
      <c r="J184" s="106"/>
      <c r="K184" s="106"/>
      <c r="L184" s="106" t="s">
        <v>1175</v>
      </c>
    </row>
    <row r="185" spans="1:12">
      <c r="A185" s="102" t="s">
        <v>1171</v>
      </c>
      <c r="B185" s="102" t="s">
        <v>1206</v>
      </c>
      <c r="C185" s="102" t="s">
        <v>1202</v>
      </c>
      <c r="D185" s="104" t="s">
        <v>1203</v>
      </c>
      <c r="E185" s="104" t="str">
        <f>IF(ISTEXT(Fenrkampfwaffen[[#This Row],[Waffenmeister: Manöver]]),_xlfn.CONCAT(Fenrkampfwaffen[[#This Row],[Mögliche Manöver]]," ",Fenrkampfwaffen[[#This Row],[Waffenmeister: Manöver]],","),Fenrkampfwaffen[[#This Row],[Mögliche Manöver]])</f>
        <v>Fernkampfangriff mit Ansage, Scharfschütze, Meisterschütze</v>
      </c>
      <c r="F185" s="104" t="e">
        <f>_xlfn.TEXTJOIN("; ",TRUE,Nahkampfwaffen[[#This Row],[Ausfall]:[Wuchtschlag]])</f>
        <v>#VALUE!</v>
      </c>
      <c r="G185" s="105" t="s">
        <v>429</v>
      </c>
      <c r="H185" s="104"/>
      <c r="I185" s="104"/>
      <c r="J185" s="104"/>
      <c r="K185" s="104"/>
      <c r="L185" s="104" t="s">
        <v>1175</v>
      </c>
    </row>
    <row r="186" spans="1:12">
      <c r="A186" s="103" t="s">
        <v>1171</v>
      </c>
      <c r="B186" s="106" t="s">
        <v>1207</v>
      </c>
      <c r="C186" s="103" t="s">
        <v>1202</v>
      </c>
      <c r="D186" s="106" t="s">
        <v>1203</v>
      </c>
      <c r="E186" s="106" t="str">
        <f>IF(ISTEXT(Fenrkampfwaffen[[#This Row],[Waffenmeister: Manöver]]),_xlfn.CONCAT(Fenrkampfwaffen[[#This Row],[Mögliche Manöver]]," ",Fenrkampfwaffen[[#This Row],[Waffenmeister: Manöver]],","),Fenrkampfwaffen[[#This Row],[Mögliche Manöver]])</f>
        <v>Fernkampfangriff mit Ansage, Scharfschütze, Meisterschütze</v>
      </c>
      <c r="F186" s="106" t="e">
        <f>_xlfn.TEXTJOIN("; ",TRUE,Nahkampfwaffen[[#This Row],[Ausfall]:[Wuchtschlag]])</f>
        <v>#VALUE!</v>
      </c>
      <c r="G186" s="107" t="s">
        <v>429</v>
      </c>
      <c r="H186" s="106"/>
      <c r="I186" s="106"/>
      <c r="J186" s="106"/>
      <c r="K186" s="106"/>
      <c r="L186" s="106" t="s">
        <v>1175</v>
      </c>
    </row>
    <row r="187" spans="1:12">
      <c r="A187" s="102" t="s">
        <v>1171</v>
      </c>
      <c r="B187" s="102" t="s">
        <v>1208</v>
      </c>
      <c r="C187" s="102" t="s">
        <v>1202</v>
      </c>
      <c r="D187" s="104" t="s">
        <v>1203</v>
      </c>
      <c r="E187" s="104" t="str">
        <f>IF(ISTEXT(Fenrkampfwaffen[[#This Row],[Waffenmeister: Manöver]]),_xlfn.CONCAT(Fenrkampfwaffen[[#This Row],[Mögliche Manöver]]," ",Fenrkampfwaffen[[#This Row],[Waffenmeister: Manöver]],","),Fenrkampfwaffen[[#This Row],[Mögliche Manöver]])</f>
        <v>Fernkampfangriff mit Ansage, Scharfschütze, Meisterschütze</v>
      </c>
      <c r="F187" s="104" t="e">
        <f>_xlfn.TEXTJOIN("; ",TRUE,Nahkampfwaffen[[#This Row],[Ausfall]:[Wuchtschlag]])</f>
        <v>#VALUE!</v>
      </c>
      <c r="G187" s="105" t="s">
        <v>429</v>
      </c>
      <c r="H187" s="104"/>
      <c r="I187" s="104"/>
      <c r="J187" s="104"/>
      <c r="K187" s="104"/>
      <c r="L187" s="104" t="s">
        <v>1175</v>
      </c>
    </row>
    <row r="188" spans="1:12">
      <c r="A188" s="103" t="s">
        <v>1171</v>
      </c>
      <c r="B188" s="103" t="s">
        <v>1209</v>
      </c>
      <c r="C188" s="103" t="s">
        <v>1202</v>
      </c>
      <c r="D188" s="106" t="s">
        <v>1203</v>
      </c>
      <c r="E188" s="106" t="str">
        <f>IF(ISTEXT(Fenrkampfwaffen[[#This Row],[Waffenmeister: Manöver]]),_xlfn.CONCAT(Fenrkampfwaffen[[#This Row],[Mögliche Manöver]]," ",Fenrkampfwaffen[[#This Row],[Waffenmeister: Manöver]],","),Fenrkampfwaffen[[#This Row],[Mögliche Manöver]])</f>
        <v>Fernkampfangriff mit Ansage, Scharfschütze, Meisterschütze</v>
      </c>
      <c r="F188" s="106" t="e">
        <f>_xlfn.TEXTJOIN("; ",TRUE,Nahkampfwaffen[[#This Row],[Ausfall]:[Wuchtschlag]])</f>
        <v>#VALUE!</v>
      </c>
      <c r="G188" s="107" t="s">
        <v>429</v>
      </c>
      <c r="H188" s="106"/>
      <c r="I188" s="106"/>
      <c r="J188" s="106"/>
      <c r="K188" s="106"/>
      <c r="L188" s="106" t="s">
        <v>1175</v>
      </c>
    </row>
    <row r="189" spans="1:12">
      <c r="A189" s="102" t="s">
        <v>1171</v>
      </c>
      <c r="B189" s="104" t="s">
        <v>1210</v>
      </c>
      <c r="C189" s="102" t="s">
        <v>1202</v>
      </c>
      <c r="D189" s="104" t="s">
        <v>1203</v>
      </c>
      <c r="E189" s="104" t="str">
        <f>IF(ISTEXT(Fenrkampfwaffen[[#This Row],[Waffenmeister: Manöver]]),_xlfn.CONCAT(Fenrkampfwaffen[[#This Row],[Mögliche Manöver]]," ",Fenrkampfwaffen[[#This Row],[Waffenmeister: Manöver]],","),Fenrkampfwaffen[[#This Row],[Mögliche Manöver]])</f>
        <v>Fernkampfangriff mit Ansage, Scharfschütze, Meisterschütze</v>
      </c>
      <c r="F189" s="104" t="e">
        <f>_xlfn.TEXTJOIN("; ",TRUE,Nahkampfwaffen[[#This Row],[Ausfall]:[Wuchtschlag]])</f>
        <v>#VALUE!</v>
      </c>
      <c r="G189" s="105" t="s">
        <v>429</v>
      </c>
      <c r="H189" s="104"/>
      <c r="I189" s="104"/>
      <c r="J189" s="104"/>
      <c r="K189" s="104"/>
      <c r="L189" s="104" t="s">
        <v>1175</v>
      </c>
    </row>
    <row r="190" spans="1:12" ht="30">
      <c r="A190" s="103" t="s">
        <v>1171</v>
      </c>
      <c r="B190" s="103" t="s">
        <v>1057</v>
      </c>
      <c r="C190" s="103" t="s">
        <v>1211</v>
      </c>
      <c r="D190" s="106" t="s">
        <v>1212</v>
      </c>
      <c r="E190"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190" s="106" t="e">
        <f>_xlfn.TEXTJOIN("; ",TRUE,Nahkampfwaffen[[#This Row],[Ausfall]:[Wuchtschlag]])</f>
        <v>#VALUE!</v>
      </c>
      <c r="G190" s="107" t="s">
        <v>113</v>
      </c>
      <c r="H190" s="106"/>
      <c r="I190" s="106"/>
      <c r="J190" s="106"/>
      <c r="K190" s="106"/>
      <c r="L190" s="106" t="s">
        <v>1175</v>
      </c>
    </row>
    <row r="191" spans="1:12" ht="30">
      <c r="A191" s="102" t="s">
        <v>1171</v>
      </c>
      <c r="B191" s="102" t="s">
        <v>1058</v>
      </c>
      <c r="C191" s="102" t="s">
        <v>1211</v>
      </c>
      <c r="D191" s="104" t="s">
        <v>1212</v>
      </c>
      <c r="E191"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191" s="104" t="e">
        <f>_xlfn.TEXTJOIN("; ",TRUE,Nahkampfwaffen[[#This Row],[Ausfall]:[Wuchtschlag]])</f>
        <v>#VALUE!</v>
      </c>
      <c r="G191" s="105" t="s">
        <v>113</v>
      </c>
      <c r="H191" s="104"/>
      <c r="I191" s="104"/>
      <c r="J191" s="104"/>
      <c r="K191" s="104"/>
      <c r="L191" s="104" t="s">
        <v>1175</v>
      </c>
    </row>
    <row r="192" spans="1:12" ht="30">
      <c r="A192" s="103" t="s">
        <v>1171</v>
      </c>
      <c r="B192" s="103" t="s">
        <v>1045</v>
      </c>
      <c r="C192" s="103" t="s">
        <v>1211</v>
      </c>
      <c r="D192" s="106" t="s">
        <v>1212</v>
      </c>
      <c r="E192"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192" s="106" t="e">
        <f>_xlfn.TEXTJOIN("; ",TRUE,Nahkampfwaffen[[#This Row],[Ausfall]:[Wuchtschlag]])</f>
        <v>#VALUE!</v>
      </c>
      <c r="G192" s="107" t="s">
        <v>113</v>
      </c>
      <c r="H192" s="106"/>
      <c r="I192" s="106"/>
      <c r="J192" s="106"/>
      <c r="K192" s="106"/>
      <c r="L192" s="106" t="s">
        <v>1175</v>
      </c>
    </row>
    <row r="193" spans="1:12" ht="30">
      <c r="A193" s="102" t="s">
        <v>1171</v>
      </c>
      <c r="B193" s="102" t="s">
        <v>1213</v>
      </c>
      <c r="C193" s="102" t="s">
        <v>1211</v>
      </c>
      <c r="D193" s="104" t="s">
        <v>1212</v>
      </c>
      <c r="E193"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193" s="104" t="e">
        <f>_xlfn.TEXTJOIN("; ",TRUE,Nahkampfwaffen[[#This Row],[Ausfall]:[Wuchtschlag]])</f>
        <v>#VALUE!</v>
      </c>
      <c r="G193" s="105" t="s">
        <v>113</v>
      </c>
      <c r="H193" s="104"/>
      <c r="I193" s="104"/>
      <c r="J193" s="104"/>
      <c r="K193" s="104"/>
      <c r="L193" s="104" t="s">
        <v>1175</v>
      </c>
    </row>
    <row r="194" spans="1:12" ht="30">
      <c r="A194" s="103" t="s">
        <v>1171</v>
      </c>
      <c r="B194" s="103" t="s">
        <v>1004</v>
      </c>
      <c r="C194" s="103" t="s">
        <v>1009</v>
      </c>
      <c r="D194" s="106" t="s">
        <v>1214</v>
      </c>
      <c r="E194"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4" s="106" t="e">
        <f>_xlfn.TEXTJOIN("; ",TRUE,Nahkampfwaffen[[#This Row],[Ausfall]:[Wuchtschlag]])</f>
        <v>#VALUE!</v>
      </c>
      <c r="G194" s="107" t="s">
        <v>113</v>
      </c>
      <c r="H194" s="106"/>
      <c r="I194" s="106"/>
      <c r="J194" s="106"/>
      <c r="K194" s="106"/>
      <c r="L194" s="106" t="s">
        <v>1175</v>
      </c>
    </row>
    <row r="195" spans="1:12" ht="30">
      <c r="A195" s="102" t="s">
        <v>1171</v>
      </c>
      <c r="B195" s="102" t="s">
        <v>1009</v>
      </c>
      <c r="C195" s="102" t="s">
        <v>1009</v>
      </c>
      <c r="D195" s="104" t="s">
        <v>1214</v>
      </c>
      <c r="E195"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5" s="104" t="e">
        <f>_xlfn.TEXTJOIN("; ",TRUE,Nahkampfwaffen[[#This Row],[Ausfall]:[Wuchtschlag]])</f>
        <v>#VALUE!</v>
      </c>
      <c r="G195" s="105" t="s">
        <v>113</v>
      </c>
      <c r="H195" s="104"/>
      <c r="I195" s="104"/>
      <c r="J195" s="104"/>
      <c r="K195" s="104"/>
      <c r="L195" s="104" t="s">
        <v>1175</v>
      </c>
    </row>
    <row r="196" spans="1:12" ht="30">
      <c r="A196" s="103" t="s">
        <v>1171</v>
      </c>
      <c r="B196" s="103" t="s">
        <v>1215</v>
      </c>
      <c r="C196" s="103" t="s">
        <v>1009</v>
      </c>
      <c r="D196" s="106" t="s">
        <v>1214</v>
      </c>
      <c r="E196"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6" s="106" t="e">
        <f>_xlfn.TEXTJOIN("; ",TRUE,Nahkampfwaffen[[#This Row],[Ausfall]:[Wuchtschlag]])</f>
        <v>#VALUE!</v>
      </c>
      <c r="G196" s="107" t="s">
        <v>113</v>
      </c>
      <c r="H196" s="106"/>
      <c r="I196" s="106"/>
      <c r="J196" s="106"/>
      <c r="K196" s="106"/>
      <c r="L196" s="106" t="s">
        <v>1175</v>
      </c>
    </row>
    <row r="197" spans="1:12" ht="30">
      <c r="A197" s="102" t="s">
        <v>1171</v>
      </c>
      <c r="B197" s="102" t="s">
        <v>1216</v>
      </c>
      <c r="C197" s="102" t="s">
        <v>1009</v>
      </c>
      <c r="D197" s="104" t="s">
        <v>1214</v>
      </c>
      <c r="E197"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7" s="104" t="e">
        <f>_xlfn.TEXTJOIN("; ",TRUE,Nahkampfwaffen[[#This Row],[Ausfall]:[Wuchtschlag]])</f>
        <v>#VALUE!</v>
      </c>
      <c r="G197" s="105" t="s">
        <v>113</v>
      </c>
      <c r="H197" s="104"/>
      <c r="I197" s="104"/>
      <c r="J197" s="104"/>
      <c r="K197" s="104"/>
      <c r="L197" s="104" t="s">
        <v>1175</v>
      </c>
    </row>
    <row r="198" spans="1:12" ht="30">
      <c r="A198" s="103" t="s">
        <v>1171</v>
      </c>
      <c r="B198" s="103" t="s">
        <v>1217</v>
      </c>
      <c r="C198" s="103" t="s">
        <v>1009</v>
      </c>
      <c r="D198" s="106" t="s">
        <v>1214</v>
      </c>
      <c r="E198"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8" s="106" t="e">
        <f>_xlfn.TEXTJOIN("; ",TRUE,Nahkampfwaffen[[#This Row],[Ausfall]:[Wuchtschlag]])</f>
        <v>#VALUE!</v>
      </c>
      <c r="G198" s="107" t="s">
        <v>113</v>
      </c>
      <c r="H198" s="106"/>
      <c r="I198" s="106"/>
      <c r="J198" s="106"/>
      <c r="K198" s="106"/>
      <c r="L198" s="106" t="s">
        <v>1175</v>
      </c>
    </row>
    <row r="199" spans="1:12" ht="30">
      <c r="A199" s="102" t="s">
        <v>1171</v>
      </c>
      <c r="B199" s="102" t="s">
        <v>1218</v>
      </c>
      <c r="C199" s="102" t="s">
        <v>1009</v>
      </c>
      <c r="D199" s="104" t="s">
        <v>1214</v>
      </c>
      <c r="E199"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199" s="104" t="e">
        <f>_xlfn.TEXTJOIN("; ",TRUE,Nahkampfwaffen[[#This Row],[Ausfall]:[Wuchtschlag]])</f>
        <v>#VALUE!</v>
      </c>
      <c r="G199" s="105" t="s">
        <v>113</v>
      </c>
      <c r="H199" s="104"/>
      <c r="I199" s="104"/>
      <c r="J199" s="104"/>
      <c r="K199" s="104"/>
      <c r="L199" s="104" t="s">
        <v>1175</v>
      </c>
    </row>
    <row r="200" spans="1:12" ht="30">
      <c r="A200" s="103" t="s">
        <v>1171</v>
      </c>
      <c r="B200" s="103" t="s">
        <v>1219</v>
      </c>
      <c r="C200" s="103" t="s">
        <v>1009</v>
      </c>
      <c r="D200" s="106" t="s">
        <v>1214</v>
      </c>
      <c r="E200"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200" s="106" t="e">
        <f>_xlfn.TEXTJOIN("; ",TRUE,Nahkampfwaffen[[#This Row],[Ausfall]:[Wuchtschlag]])</f>
        <v>#VALUE!</v>
      </c>
      <c r="G200" s="107" t="s">
        <v>113</v>
      </c>
      <c r="H200" s="106"/>
      <c r="I200" s="106"/>
      <c r="J200" s="106"/>
      <c r="K200" s="106"/>
      <c r="L200" s="106" t="s">
        <v>1175</v>
      </c>
    </row>
    <row r="201" spans="1:12" ht="30">
      <c r="A201" s="102" t="s">
        <v>1171</v>
      </c>
      <c r="B201" s="102" t="s">
        <v>1220</v>
      </c>
      <c r="C201" s="102" t="s">
        <v>1009</v>
      </c>
      <c r="D201" s="104" t="s">
        <v>1214</v>
      </c>
      <c r="E201"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Eisenhagel, Zielen, Gezielter Schuss</v>
      </c>
      <c r="F201" s="104" t="e">
        <f>_xlfn.TEXTJOIN("; ",TRUE,Nahkampfwaffen[[#This Row],[Ausfall]:[Wuchtschlag]])</f>
        <v>#VALUE!</v>
      </c>
      <c r="G201" s="105" t="s">
        <v>113</v>
      </c>
      <c r="H201" s="104"/>
      <c r="I201" s="104"/>
      <c r="J201" s="104"/>
      <c r="K201" s="104"/>
      <c r="L201" s="104" t="s">
        <v>1175</v>
      </c>
    </row>
    <row r="202" spans="1:12" ht="30">
      <c r="A202" s="103" t="s">
        <v>1171</v>
      </c>
      <c r="B202" s="103" t="s">
        <v>1221</v>
      </c>
      <c r="C202" s="103" t="s">
        <v>1222</v>
      </c>
      <c r="D202" s="106" t="s">
        <v>1212</v>
      </c>
      <c r="E202"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2" s="106" t="e">
        <f>_xlfn.TEXTJOIN("; ",TRUE,Nahkampfwaffen[[#This Row],[Ausfall]:[Wuchtschlag]])</f>
        <v>#VALUE!</v>
      </c>
      <c r="G202" s="107" t="s">
        <v>110</v>
      </c>
      <c r="H202" s="106"/>
      <c r="I202" s="106"/>
      <c r="J202" s="106"/>
      <c r="K202" s="106"/>
      <c r="L202" s="106" t="s">
        <v>1175</v>
      </c>
    </row>
    <row r="203" spans="1:12" ht="30">
      <c r="A203" s="102" t="s">
        <v>1171</v>
      </c>
      <c r="B203" s="102" t="s">
        <v>1223</v>
      </c>
      <c r="C203" s="102" t="s">
        <v>1222</v>
      </c>
      <c r="D203" s="104" t="s">
        <v>1212</v>
      </c>
      <c r="E203"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3" s="104" t="e">
        <f>_xlfn.TEXTJOIN("; ",TRUE,Nahkampfwaffen[[#This Row],[Ausfall]:[Wuchtschlag]])</f>
        <v>#VALUE!</v>
      </c>
      <c r="G203" s="105" t="s">
        <v>110</v>
      </c>
      <c r="H203" s="104"/>
      <c r="I203" s="104"/>
      <c r="J203" s="104"/>
      <c r="K203" s="104"/>
      <c r="L203" s="104" t="s">
        <v>1175</v>
      </c>
    </row>
    <row r="204" spans="1:12" ht="30">
      <c r="A204" s="103" t="s">
        <v>1171</v>
      </c>
      <c r="B204" s="103" t="s">
        <v>1224</v>
      </c>
      <c r="C204" s="103" t="s">
        <v>1222</v>
      </c>
      <c r="D204" s="106" t="s">
        <v>1212</v>
      </c>
      <c r="E204"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4" s="106" t="e">
        <f>_xlfn.TEXTJOIN("; ",TRUE,Nahkampfwaffen[[#This Row],[Ausfall]:[Wuchtschlag]])</f>
        <v>#VALUE!</v>
      </c>
      <c r="G204" s="107" t="s">
        <v>110</v>
      </c>
      <c r="H204" s="106"/>
      <c r="I204" s="106"/>
      <c r="J204" s="106"/>
      <c r="K204" s="106"/>
      <c r="L204" s="106" t="s">
        <v>1175</v>
      </c>
    </row>
    <row r="205" spans="1:12" ht="30">
      <c r="A205" s="102" t="s">
        <v>1171</v>
      </c>
      <c r="B205" s="102" t="s">
        <v>1225</v>
      </c>
      <c r="C205" s="102" t="s">
        <v>1222</v>
      </c>
      <c r="D205" s="104" t="s">
        <v>1212</v>
      </c>
      <c r="E205"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5" s="104" t="e">
        <f>_xlfn.TEXTJOIN("; ",TRUE,Nahkampfwaffen[[#This Row],[Ausfall]:[Wuchtschlag]])</f>
        <v>#VALUE!</v>
      </c>
      <c r="G205" s="105" t="s">
        <v>110</v>
      </c>
      <c r="H205" s="104"/>
      <c r="I205" s="104"/>
      <c r="J205" s="104"/>
      <c r="K205" s="104"/>
      <c r="L205" s="104" t="s">
        <v>1175</v>
      </c>
    </row>
    <row r="206" spans="1:12" ht="30">
      <c r="A206" s="103" t="s">
        <v>1171</v>
      </c>
      <c r="B206" s="103" t="s">
        <v>1226</v>
      </c>
      <c r="C206" s="103" t="s">
        <v>1222</v>
      </c>
      <c r="D206" s="106" t="s">
        <v>1212</v>
      </c>
      <c r="E206"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6" s="106" t="e">
        <f>_xlfn.TEXTJOIN("; ",TRUE,Nahkampfwaffen[[#This Row],[Ausfall]:[Wuchtschlag]])</f>
        <v>#VALUE!</v>
      </c>
      <c r="G206" s="107" t="s">
        <v>110</v>
      </c>
      <c r="H206" s="106"/>
      <c r="I206" s="106"/>
      <c r="J206" s="106"/>
      <c r="K206" s="106"/>
      <c r="L206" s="106" t="s">
        <v>1175</v>
      </c>
    </row>
    <row r="207" spans="1:12" ht="30">
      <c r="A207" s="102" t="s">
        <v>1171</v>
      </c>
      <c r="B207" s="102" t="s">
        <v>1227</v>
      </c>
      <c r="C207" s="102" t="s">
        <v>1222</v>
      </c>
      <c r="D207" s="104" t="s">
        <v>1212</v>
      </c>
      <c r="E207" s="104"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7" s="104" t="e">
        <f>_xlfn.TEXTJOIN("; ",TRUE,Nahkampfwaffen[[#This Row],[Ausfall]:[Wuchtschlag]])</f>
        <v>#VALUE!</v>
      </c>
      <c r="G207" s="105" t="s">
        <v>110</v>
      </c>
      <c r="H207" s="104"/>
      <c r="I207" s="104"/>
      <c r="J207" s="104"/>
      <c r="K207" s="104"/>
      <c r="L207" s="104" t="s">
        <v>1175</v>
      </c>
    </row>
    <row r="208" spans="1:12" ht="30">
      <c r="A208" s="103" t="s">
        <v>1171</v>
      </c>
      <c r="B208" s="103" t="s">
        <v>1228</v>
      </c>
      <c r="C208" s="103" t="s">
        <v>1222</v>
      </c>
      <c r="D208" s="106" t="s">
        <v>1212</v>
      </c>
      <c r="E208" s="106"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8" s="106" t="e">
        <f>_xlfn.TEXTJOIN("; ",TRUE,Nahkampfwaffen[[#This Row],[Ausfall]:[Wuchtschlag]])</f>
        <v>#VALUE!</v>
      </c>
      <c r="G208" s="107" t="s">
        <v>110</v>
      </c>
      <c r="H208" s="106"/>
      <c r="I208" s="106"/>
      <c r="J208" s="106"/>
      <c r="K208" s="106"/>
      <c r="L208" s="106" t="s">
        <v>1175</v>
      </c>
    </row>
    <row r="209" spans="1:12" ht="30">
      <c r="A209" s="109" t="s">
        <v>1171</v>
      </c>
      <c r="B209" s="109" t="s">
        <v>1229</v>
      </c>
      <c r="C209" s="109" t="s">
        <v>1222</v>
      </c>
      <c r="D209" s="110" t="s">
        <v>1212</v>
      </c>
      <c r="E209" s="110" t="str">
        <f>IF(ISTEXT(Fenrkampfwaffen[[#This Row],[Waffenmeister: Manöver]]),_xlfn.CONCAT(Fenrkampfwaffen[[#This Row],[Mögliche Manöver]]," ",Fenrkampfwaffen[[#This Row],[Waffenmeister: Manöver]],","),Fenrkampfwaffen[[#This Row],[Mögliche Manöver]])</f>
        <v>Fernkampfangriff mit Ansage, Berittener Schütze, Scharfschütze, Meisterschütze, Zielen, Gezielter Schuss</v>
      </c>
      <c r="F209" s="110" t="e">
        <f>_xlfn.TEXTJOIN("; ",TRUE,Nahkampfwaffen[[#This Row],[Ausfall]:[Wuchtschlag]])</f>
        <v>#VALUE!</v>
      </c>
      <c r="G209" s="111" t="s">
        <v>110</v>
      </c>
      <c r="H209" s="110"/>
      <c r="I209" s="110"/>
      <c r="J209" s="110"/>
      <c r="K209" s="110"/>
      <c r="L209" s="110" t="s">
        <v>1175</v>
      </c>
    </row>
  </sheetData>
  <phoneticPr fontId="26" type="noConversion"/>
  <dataValidations disablePrompts="1" count="3">
    <dataValidation type="list" allowBlank="1" showInputMessage="1" showErrorMessage="1" sqref="H161:I209 H4:J157" xr:uid="{E8CA565C-42E5-4A84-8A28-C64B44A90085}">
      <formula1>"0,1,2"</formula1>
    </dataValidation>
    <dataValidation type="list" allowBlank="1" showInputMessage="1" showErrorMessage="1" sqref="O5:P157" xr:uid="{BFC7A5C9-A0DB-4179-8317-C543110334C9}">
      <formula1>"TP/KK,INI/GE"</formula1>
    </dataValidation>
    <dataValidation type="list" allowBlank="1" showInputMessage="1" showErrorMessage="1" sqref="K4:K157" xr:uid="{854E239F-902B-4EFC-AFF2-EE4B8D892CBE}">
      <formula1>"TP/KK,INI/GE,Keine"</formula1>
    </dataValidation>
  </dataValidations>
  <hyperlinks>
    <hyperlink ref="AU3" r:id="rId1" tooltip="Wuchtschlag" display="https://de.wiki-aventurica.de/wiki/Wuchtschlag" xr:uid="{BF7F2346-48D6-4DAF-9C48-3A691743D53C}"/>
    <hyperlink ref="AT3" r:id="rId2" tooltip="Windmühle (Sonderfertigkeit)" display="https://de.wiki-aventurica.de/wiki/Windm%C3%BChle_(Sonderfertigkeit)" xr:uid="{E7A1F7B7-94EE-4E6D-AF32-F008EE72DA97}"/>
    <hyperlink ref="AS3" r:id="rId3" tooltip="Umreißen" display="https://de.wiki-aventurica.de/wiki/Umrei%C3%9Fen" xr:uid="{EF22B41F-7AE8-43E5-B16A-B750F1340D14}"/>
    <hyperlink ref="AR3" r:id="rId4" tooltip="Todesstoß" display="https://de.wiki-aventurica.de/wiki/Todessto%C3%9F" xr:uid="{9CBB6765-FCA9-47DB-9AA8-F206511C003E}"/>
    <hyperlink ref="AQ3" r:id="rId5" tooltip="Sturmangriff (Sonderfertigkeit)" display="https://de.wiki-aventurica.de/wiki/Sturmangriff_(Sonderfertigkeit)" xr:uid="{9F02BA86-DC44-4BE1-9E21-DFF4EE88A607}"/>
    <hyperlink ref="AP3" r:id="rId6" tooltip="Stumpfer Schlag (Seite nicht vorhanden)" display="https://de.wiki-aventurica.de/de/index.php?title=Stumpfer_Schlag&amp;action=edit&amp;redlink=1" xr:uid="{ABE8588B-4D01-4298-BEC3-D43CD8EC522A}"/>
    <hyperlink ref="AO3" r:id="rId7" tooltip="Schildspalter" display="https://de.wiki-aventurica.de/wiki/Schildspalter" xr:uid="{6424A9FA-65EB-4518-B508-6B8387A27DE6}"/>
    <hyperlink ref="AK3" r:id="rId8" tooltip="Niederwerfen" display="https://de.wiki-aventurica.de/wiki/Niederwerfen" xr:uid="{F9FFDA79-0446-4FFE-B579-FE7837160F59}"/>
    <hyperlink ref="AJ3" r:id="rId9" tooltip="Meisterparade" display="https://de.wiki-aventurica.de/wiki/Meisterparade" xr:uid="{16B5DC0B-5537-4134-87CE-BF8C5539C482}"/>
    <hyperlink ref="AI3" r:id="rId10" tooltip="Klingenwand" display="https://de.wiki-aventurica.de/wiki/Klingenwand" xr:uid="{CBCCF5B8-BE99-42A0-88C5-56E15098CC96}"/>
    <hyperlink ref="AH3" r:id="rId11" tooltip="Klingensturm" display="https://de.wiki-aventurica.de/wiki/Klingensturm" xr:uid="{47384353-A13D-4F72-B05B-6231684FD060}"/>
    <hyperlink ref="AG3" r:id="rId12" tooltip="Hammerschlag (Sonderfertigkeit)" display="https://de.wiki-aventurica.de/wiki/Hammerschlag_(Sonderfertigkeit)" xr:uid="{72492989-A6E1-4369-8466-759A88A99BF3}"/>
    <hyperlink ref="AF3" r:id="rId13" tooltip="Halbschwert" display="https://de.wiki-aventurica.de/wiki/Halbschwert" xr:uid="{0147C0FA-08A4-409F-BD3D-C1880CFC78A1}"/>
    <hyperlink ref="AE3" r:id="rId14" tooltip="Gezielter Stich" display="https://de.wiki-aventurica.de/wiki/Gezielter_Stich" xr:uid="{0DE4F349-F8CE-40C0-9905-832B87C35D37}"/>
    <hyperlink ref="AD3" r:id="rId15" tooltip="Gegenhalten" display="https://de.wiki-aventurica.de/wiki/Gegenhalten" xr:uid="{6EE07344-C9D9-4F67-8FBE-A5F70EB532A3}"/>
    <hyperlink ref="AC3" r:id="rId16" tooltip="Formation" display="https://de.wiki-aventurica.de/wiki/Formation" xr:uid="{66A8F8FC-0306-491B-906F-AFA8C606D800}"/>
    <hyperlink ref="AB3" r:id="rId17" tooltip="Formation" display="https://de.wiki-aventurica.de/wiki/Formation" xr:uid="{124161A7-B1A4-4971-833D-83BFBD87FD25}"/>
    <hyperlink ref="AA3" r:id="rId18" tooltip="Finte" display="https://de.wiki-aventurica.de/wiki/Finte" xr:uid="{5E0BB581-28C1-408F-87A8-F70AD21EC0F3}"/>
    <hyperlink ref="X3" r:id="rId19" tooltip="Entwaffnen" display="https://de.wiki-aventurica.de/wiki/Entwaffnen" xr:uid="{05218D05-41D9-4430-9127-0B6818DB09DF}"/>
    <hyperlink ref="W3" r:id="rId20" tooltip="Doppelangriff" display="https://de.wiki-aventurica.de/wiki/Doppelangriff" xr:uid="{DDEB9846-F5A9-4D4F-B909-BBD037DA9BA7}"/>
    <hyperlink ref="V3" r:id="rId21" tooltip="Defensiver Kampfstil" display="https://de.wiki-aventurica.de/wiki/Defensiver_Kampfstil" xr:uid="{2CC221B0-9B88-4F0D-A639-968AD0C2111D}"/>
    <hyperlink ref="U3" r:id="rId22" tooltip="Binden" display="https://de.wiki-aventurica.de/wiki/Binden" xr:uid="{B348A82B-4325-489B-9A1E-00F5D72CBADC}"/>
    <hyperlink ref="T3" r:id="rId23" tooltip="Betäubungsschlag" display="https://de.wiki-aventurica.de/wiki/Bet%C3%A4ubungsschlag" xr:uid="{05CFDBA4-2DD6-4EC5-B12F-BC3E9D73BEBE}"/>
    <hyperlink ref="S3" r:id="rId24" tooltip="Befreiungsschlag" display="https://de.wiki-aventurica.de/wiki/Befreiungsschlag" xr:uid="{670D5F50-FCCB-4FEE-B54E-4C7463ED6B8C}"/>
    <hyperlink ref="R3" r:id="rId25" tooltip="Ausfall (Zweikampf)" display="https://de.wiki-aventurica.de/wiki/Ausfall_(Zweikampf)" xr:uid="{236F81FB-3E76-43A1-B68C-5D8A313A379E}"/>
    <hyperlink ref="Z3" r:id="rId26" tooltip="Festnageln" display="https://de.wiki-aventurica.de/wiki/Festnageln" xr:uid="{F885FCC2-5323-488A-B36D-DC10528C2A8D}"/>
  </hyperlinks>
  <pageMargins left="0.7" right="0.7" top="0.78740157499999996" bottom="0.78740157499999996" header="0.3" footer="0.3"/>
  <tableParts count="2">
    <tablePart r:id="rId27"/>
    <tablePart r:id="rId2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E9FE-D791-4F07-92E5-9231E8271F55}">
  <sheetPr codeName="Tabelle4"/>
  <dimension ref="B2:S34"/>
  <sheetViews>
    <sheetView topLeftCell="C7" zoomScale="102" zoomScaleNormal="100" workbookViewId="0">
      <selection activeCell="J16" sqref="J16"/>
    </sheetView>
  </sheetViews>
  <sheetFormatPr baseColWidth="10" defaultColWidth="11.44140625" defaultRowHeight="18"/>
  <cols>
    <col min="1" max="1" width="11.44140625" style="51"/>
    <col min="2" max="2" width="50.6640625" style="51" customWidth="1"/>
    <col min="3" max="3" width="52.109375" style="51" customWidth="1"/>
    <col min="4" max="4" width="50.6640625" style="51" customWidth="1"/>
    <col min="5" max="5" width="10.77734375" style="51" customWidth="1"/>
    <col min="6" max="6" width="7.5546875" style="51" customWidth="1"/>
    <col min="7" max="7" width="3.5546875" style="51" customWidth="1"/>
    <col min="8" max="8" width="7.21875" style="51" customWidth="1"/>
    <col min="9" max="10" width="11.44140625" style="51"/>
    <col min="11" max="11" width="24" style="51" hidden="1" customWidth="1"/>
    <col min="12" max="12" width="70.77734375" style="112" hidden="1" customWidth="1"/>
    <col min="13" max="13" width="84.6640625" style="51" hidden="1" customWidth="1"/>
    <col min="14" max="14" width="19.21875" style="51" customWidth="1"/>
    <col min="15" max="17" width="17.33203125" style="51" customWidth="1"/>
    <col min="18" max="18" width="10.5546875" style="51" customWidth="1"/>
    <col min="19" max="19" width="17.33203125" style="51" customWidth="1"/>
    <col min="20" max="16384" width="11.44140625" style="51"/>
  </cols>
  <sheetData>
    <row r="2" spans="2:19" ht="18.75" thickBot="1">
      <c r="N2" s="400" t="s">
        <v>242</v>
      </c>
      <c r="O2" s="400"/>
      <c r="P2" s="400"/>
      <c r="Q2" s="400"/>
    </row>
    <row r="3" spans="2:19" ht="18.75" thickTop="1">
      <c r="B3" s="113" t="s">
        <v>993</v>
      </c>
      <c r="C3" s="114" t="s">
        <v>1230</v>
      </c>
      <c r="D3" s="114" t="s">
        <v>1231</v>
      </c>
      <c r="E3" s="114" t="s">
        <v>247</v>
      </c>
      <c r="F3" s="114" t="s">
        <v>1232</v>
      </c>
      <c r="G3" s="115" t="s">
        <v>96</v>
      </c>
      <c r="H3" s="115" t="s">
        <v>238</v>
      </c>
      <c r="I3" s="116" t="s">
        <v>65</v>
      </c>
      <c r="J3" s="115" t="s">
        <v>70</v>
      </c>
      <c r="K3" s="115" t="s">
        <v>921</v>
      </c>
      <c r="L3" s="117" t="s">
        <v>1233</v>
      </c>
      <c r="M3" s="115" t="s">
        <v>924</v>
      </c>
      <c r="N3" s="115">
        <v>1</v>
      </c>
      <c r="O3" s="115">
        <v>2</v>
      </c>
      <c r="P3" s="115">
        <v>3</v>
      </c>
      <c r="Q3" s="115">
        <v>4</v>
      </c>
      <c r="R3" s="115" t="s">
        <v>241</v>
      </c>
      <c r="S3" s="118" t="s">
        <v>1234</v>
      </c>
    </row>
    <row r="4" spans="2:19" ht="75">
      <c r="B4" s="119" t="s">
        <v>994</v>
      </c>
      <c r="C4" s="120" t="str" cm="1">
        <f t="array" ref="C4">_xlfn.TEXTJOIN(", ",,_xlfn._xlws.FILTER(Nahkampfwaffen[Waffe],Nahkampfwaffen[Talent]=Kampftechniken!B4))</f>
        <v>Anderthalbhänder, Bastardschwert, Rondrakamm, Nachtwind, Tuzakmesser</v>
      </c>
      <c r="D4" s="120" t="s">
        <v>1235</v>
      </c>
      <c r="E4" s="315" t="b">
        <v>0</v>
      </c>
      <c r="F4" s="122" t="str">
        <f>IF(E4=TRUE,_xlfn.XLOOKUP(_xlfn.XLOOKUP(_xlfn.XLOOKUP(B4,Nahkampfwaffen[Talent],Nahkampfwaffen[Komplexität]),Rechner!$A$17:$A$25,Rechner!$B$17:$B$25,,0,-1)-1,Rechner!$B$17:$B$25,Rechner!$A$17:$A$25),_xlfn.XLOOKUP(B4,Nahkampfwaffen[Talent],Nahkampfwaffen[Komplexität]))</f>
        <v>E</v>
      </c>
      <c r="G4" s="123">
        <v>-2</v>
      </c>
      <c r="H4" s="121"/>
      <c r="I4" s="121"/>
      <c r="J4" s="121"/>
      <c r="K4" s="121" t="s">
        <v>994</v>
      </c>
      <c r="L4" s="153" t="str">
        <f>IF(ISTEXT(K4),_xlfn.XLOOKUP(K4,Nahkampfwaffen[Waffe],Nahkampfwaffen[Manöver mit Waffenmeister]),"")</f>
        <v>Ausfall, Befreiungsschlag, Betäubungsschlag, Binden, Seitenwechsel, Offensiver Distanzklassenwechsel, Defensiver Kampfstil, Offensiver Kampfstil, Entwaffnen, Finte, Gegenhalten, Gezielter Stich (nur bei Kenntnis von halbschwert), Halbschwert, Hammerschlag, Klingensturm, Klingenwand, Meisterparade, Niederwerfen, Stumpfer Schlag, Sturmangriff, Windmühle, Wuchtschlag,</v>
      </c>
      <c r="M4" s="121"/>
      <c r="N4" s="124"/>
      <c r="O4" s="124"/>
      <c r="P4" s="124"/>
      <c r="Q4" s="124"/>
      <c r="R4" s="121"/>
      <c r="S4" s="125">
        <f>MAX(Eigenschaften!$G$25,Eigenschaften!$G$27)+IF(E4=TRUE,5,3)</f>
        <v>17</v>
      </c>
    </row>
    <row r="5" spans="2:19" ht="108">
      <c r="B5" s="126" t="s">
        <v>1002</v>
      </c>
      <c r="C5" s="120" t="str" cm="1">
        <f t="array" ref="C5">_xlfn.TEXTJOIN(", ",,_xlfn._xlws.FILTER(Nahkampfwaffen[Waffe],Nahkampfwaffen[Talent]=Kampftechniken!B5))</f>
        <v>Basiliskenzunge, Borndorn, Eberfänger, Kurzschwert, Ogerfänger, improvisiert: Wurfdolch,, Wurfmesser, Dolch, Drachenzahn, Hakendolch, Jagdmesser, Langdolch, Linkhand, Mengbilar, Scheibendolch, Schwerer Dolch, Waqqif, Vulkanglasdolch, diverse Ess- und Arbeitsmesser</v>
      </c>
      <c r="D5" s="127"/>
      <c r="E5" s="315" t="b">
        <v>0</v>
      </c>
      <c r="F5" s="122" t="str">
        <f>IF(E5=TRUE,_xlfn.XLOOKUP(_xlfn.XLOOKUP(_xlfn.XLOOKUP(B5,Nahkampfwaffen[Talent],Nahkampfwaffen[Komplexität]),Rechner!$A$17:$A$25,Rechner!$B$17:$B$25,,0,-1)-1,Rechner!$B$17:$B$25,Rechner!$A$17:$A$25),_xlfn.XLOOKUP(B5,Nahkampfwaffen[Talent],Nahkampfwaffen[Komplexität]))</f>
        <v>D</v>
      </c>
      <c r="G5" s="123">
        <v>-1</v>
      </c>
      <c r="H5" s="121">
        <v>11</v>
      </c>
      <c r="I5" s="121">
        <v>8</v>
      </c>
      <c r="J5" s="121">
        <v>3</v>
      </c>
      <c r="K5" s="121"/>
      <c r="L5" s="153"/>
      <c r="M5" s="121"/>
      <c r="N5" s="124"/>
      <c r="O5" s="124"/>
      <c r="P5" s="124"/>
      <c r="Q5" s="124"/>
      <c r="R5" s="121"/>
      <c r="S5" s="125">
        <f>MAX(Eigenschaften!$G$25,Eigenschaften!$G$27)+IF(E5=TRUE,5,3)</f>
        <v>17</v>
      </c>
    </row>
    <row r="6" spans="2:19" ht="54">
      <c r="B6" s="119" t="s">
        <v>1023</v>
      </c>
      <c r="C6" s="120" t="str" cm="1">
        <f t="array" ref="C6">_xlfn.TEXTJOIN(", ",,_xlfn._xlws.FILTER(Nahkampfwaffen[Waffe],Nahkampfwaffen[Talent]=Kampftechniken!B6))</f>
        <v>Degen, Florett, Rapier, Wolfsmesser, Langdolch, Magierdegen, Panzerstecher, Robbentöter, Stockdegen</v>
      </c>
      <c r="D6" s="128"/>
      <c r="E6" s="315" t="b">
        <v>0</v>
      </c>
      <c r="F6" s="122" t="str">
        <f>IF(E6=TRUE,_xlfn.XLOOKUP(_xlfn.XLOOKUP(_xlfn.XLOOKUP(B6,Nahkampfwaffen[Talent],Nahkampfwaffen[Komplexität]),Rechner!$A$17:$A$25,Rechner!$B$17:$B$25,,0,-1)-1,Rechner!$B$17:$B$25,Rechner!$A$17:$A$25),_xlfn.XLOOKUP(B6,Nahkampfwaffen[Talent],Nahkampfwaffen[Komplexität]))</f>
        <v>E</v>
      </c>
      <c r="G6" s="123">
        <v>-1</v>
      </c>
      <c r="H6" s="121"/>
      <c r="I6" s="121"/>
      <c r="J6" s="121"/>
      <c r="K6" s="121"/>
      <c r="L6" s="153"/>
      <c r="M6" s="121"/>
      <c r="N6" s="124"/>
      <c r="O6" s="124"/>
      <c r="P6" s="124"/>
      <c r="Q6" s="124"/>
      <c r="R6" s="121"/>
      <c r="S6" s="125">
        <f>MAX(Eigenschaften!$G$25,Eigenschaften!$G$27)+IF(E6=TRUE,5,3)</f>
        <v>17</v>
      </c>
    </row>
    <row r="7" spans="2:19" ht="144">
      <c r="B7" s="126" t="s">
        <v>1033</v>
      </c>
      <c r="C7" s="120" t="str" cm="1">
        <f t="array" ref="C7">_xlfn.TEXTJOIN(", ",,_xlfn._xlws.FILTER(Nahkampfwaffen[Waffe],Nahkampfwaffen[Talent]=Kampftechniken!B7))</f>
        <v>Brabakbengel, Byakka, Gruufhai, Keule, Kriegsfächer, Lindwurmschläger, Molokdeschnaja, 
Orknase, Rabenschnabel, 
Schmiedehammer, Schneidzahn, Skraja, 
Sonnenszepter, Streitaxt, Streitkolben, Zwergenskraja, Beil, Fackel, Fleischerbeil, Knüppel, Sichel, 
Stuhlbein, Wurfbeil, Wurfkeule, improvisiert: Ast</v>
      </c>
      <c r="D7" s="127"/>
      <c r="E7" s="315" t="b">
        <v>0</v>
      </c>
      <c r="F7" s="122" t="str">
        <f>IF(E7=TRUE,_xlfn.XLOOKUP(_xlfn.XLOOKUP(_xlfn.XLOOKUP(B7,Nahkampfwaffen[Talent],Nahkampfwaffen[Komplexität]),Rechner!$A$17:$A$25,Rechner!$B$17:$B$25,,0,-1)-1,Rechner!$B$17:$B$25,Rechner!$A$17:$A$25),_xlfn.XLOOKUP(B7,Nahkampfwaffen[Talent],Nahkampfwaffen[Komplexität]))</f>
        <v>D</v>
      </c>
      <c r="G7" s="129">
        <v>-4</v>
      </c>
      <c r="H7" s="121"/>
      <c r="I7" s="121"/>
      <c r="J7" s="121"/>
      <c r="K7" s="121"/>
      <c r="L7" s="153"/>
      <c r="M7" s="121"/>
      <c r="N7" s="124"/>
      <c r="O7" s="124"/>
      <c r="P7" s="124"/>
      <c r="Q7" s="124"/>
      <c r="R7" s="121"/>
      <c r="S7" s="125">
        <f>MAX(Eigenschaften!$G$25,Eigenschaften!$G$27)+IF(E7=TRUE,5,3)</f>
        <v>17</v>
      </c>
    </row>
    <row r="8" spans="2:19" ht="54">
      <c r="B8" s="119" t="s">
        <v>1061</v>
      </c>
      <c r="C8" s="120" t="str" cm="1">
        <f t="array" ref="C8">_xlfn.TEXTJOIN(", ",,_xlfn._xlws.FILTER(Nahkampfwaffen[Waffe],Nahkampfwaffen[Talent]=Kampftechniken!B8))</f>
        <v>Glefe, Hakenspieß, Hellebarde, Korspieß, 
Langaxt, Pailos, Partisane, Schnitter, Sturmsense, Warunkerhammer, Wurmspieß, improvisiert: Sense</v>
      </c>
      <c r="D8" s="128"/>
      <c r="E8" s="315" t="b">
        <v>0</v>
      </c>
      <c r="F8" s="122" t="str">
        <f>IF(E8=TRUE,_xlfn.XLOOKUP(_xlfn.XLOOKUP(_xlfn.XLOOKUP(B8,Nahkampfwaffen[Talent],Nahkampfwaffen[Komplexität]),Rechner!$A$17:$A$25,Rechner!$B$17:$B$25,,0,-1)-1,Rechner!$B$17:$B$25,Rechner!$A$17:$A$25),_xlfn.XLOOKUP(B8,Nahkampfwaffen[Talent],Nahkampfwaffen[Komplexität]))</f>
        <v>D</v>
      </c>
      <c r="G8" s="129">
        <v>-3</v>
      </c>
      <c r="H8" s="121"/>
      <c r="I8" s="121"/>
      <c r="J8" s="121"/>
      <c r="K8" s="121"/>
      <c r="L8" s="153"/>
      <c r="M8" s="121"/>
      <c r="N8" s="124"/>
      <c r="O8" s="124"/>
      <c r="P8" s="124"/>
      <c r="Q8" s="124"/>
      <c r="R8" s="121"/>
      <c r="S8" s="125">
        <f>MAX(Eigenschaften!$G$25,Eigenschaften!$G$27)+IF(E8=TRUE,5,3)</f>
        <v>17</v>
      </c>
    </row>
    <row r="9" spans="2:19" ht="18.75">
      <c r="B9" s="119" t="s">
        <v>1075</v>
      </c>
      <c r="C9" s="120" t="str" cm="1">
        <f t="array" ref="C9">_xlfn.TEXTJOIN(", ",,_xlfn._xlws.FILTER(Nahkampfwaffen[Waffe],Nahkampfwaffen[Talent]=Kampftechniken!B9))</f>
        <v>Dreigliederstab, Kettenstab</v>
      </c>
      <c r="D9" s="128"/>
      <c r="E9" s="315" t="b">
        <v>0</v>
      </c>
      <c r="F9" s="122" t="str">
        <f>IF(E9=TRUE,_xlfn.XLOOKUP(_xlfn.XLOOKUP(_xlfn.XLOOKUP(B9,Nahkampfwaffen[Talent],Nahkampfwaffen[Komplexität]),Rechner!$A$17:$A$25,Rechner!$B$17:$B$25,,0,-1)-1,Rechner!$B$17:$B$25,Rechner!$A$17:$A$25),_xlfn.XLOOKUP(B9,Nahkampfwaffen[Talent],Nahkampfwaffen[Komplexität]))</f>
        <v>E</v>
      </c>
      <c r="G9" s="123">
        <v>-1</v>
      </c>
      <c r="H9" s="121"/>
      <c r="I9" s="121"/>
      <c r="J9" s="121"/>
      <c r="K9" s="121"/>
      <c r="L9" s="153"/>
      <c r="M9" s="121"/>
      <c r="N9" s="124"/>
      <c r="O9" s="124"/>
      <c r="P9" s="124"/>
      <c r="Q9" s="124"/>
      <c r="R9" s="121"/>
      <c r="S9" s="125">
        <f>MAX(Eigenschaften!$G$25,Eigenschaften!$G$27)+IF(E9=TRUE,5,3)</f>
        <v>17</v>
      </c>
    </row>
    <row r="10" spans="2:19" ht="36">
      <c r="B10" s="119" t="s">
        <v>1079</v>
      </c>
      <c r="C10" s="120" t="str" cm="1">
        <f t="array" ref="C10">_xlfn.TEXTJOIN(", ",,_xlfn._xlws.FILTER(Nahkampfwaffen[Waffe],Nahkampfwaffen[Talent]=Kampftechniken!B10))</f>
        <v>Geißel, Kettenkugel, Morgenstern, Neunschwänzige, 
Ochsenherde, Ogerschelle</v>
      </c>
      <c r="D10" s="128"/>
      <c r="E10" s="315" t="b">
        <v>0</v>
      </c>
      <c r="F10" s="122" t="str">
        <f>IF(E10=TRUE,_xlfn.XLOOKUP(_xlfn.XLOOKUP(_xlfn.XLOOKUP(B10,Nahkampfwaffen[Talent],Nahkampfwaffen[Komplexität]),Rechner!$A$17:$A$25,Rechner!$B$17:$B$25,,0,-1)-1,Rechner!$B$17:$B$25,Rechner!$A$17:$A$25),_xlfn.XLOOKUP(B10,Nahkampfwaffen[Talent],Nahkampfwaffen[Komplexität]))</f>
        <v>D</v>
      </c>
      <c r="G10" s="129">
        <v>-3</v>
      </c>
      <c r="H10" s="121"/>
      <c r="I10" s="121"/>
      <c r="J10" s="121"/>
      <c r="K10" s="121"/>
      <c r="L10" s="153"/>
      <c r="M10" s="121"/>
      <c r="N10" s="124"/>
      <c r="O10" s="124"/>
      <c r="P10" s="124"/>
      <c r="Q10" s="124"/>
      <c r="R10" s="121"/>
      <c r="S10" s="125">
        <f>MAX(Eigenschaften!$G$25,Eigenschaften!$G$27)+IF(E10=TRUE,5,3)</f>
        <v>17</v>
      </c>
    </row>
    <row r="11" spans="2:19" ht="18.75">
      <c r="B11" s="119" t="s">
        <v>1087</v>
      </c>
      <c r="C11" s="120" t="str" cm="1">
        <f t="array" ref="C11">_xlfn.TEXTJOIN(", ",,_xlfn._xlws.FILTER(Nahkampfwaffen[Waffe],Nahkampfwaffen[Talent]=Kampftechniken!B11))</f>
        <v>Dschadra, Kriegslanze, Turnierlanze</v>
      </c>
      <c r="D11" s="128"/>
      <c r="E11" s="315" t="b">
        <v>0</v>
      </c>
      <c r="F11" s="122" t="str">
        <f>IF(E11=TRUE,_xlfn.XLOOKUP(_xlfn.XLOOKUP(_xlfn.XLOOKUP(B11,Nahkampfwaffen[Talent],Nahkampfwaffen[Komplexität]),Rechner!$A$17:$A$25,Rechner!$B$17:$B$25,,0,-1)-1,Rechner!$B$17:$B$25,Rechner!$A$17:$A$25),_xlfn.XLOOKUP(B11,Nahkampfwaffen[Talent],Nahkampfwaffen[Komplexität]))</f>
        <v>E</v>
      </c>
      <c r="G11" s="123" t="s">
        <v>119</v>
      </c>
      <c r="H11" s="121"/>
      <c r="I11" s="121"/>
      <c r="J11" s="121"/>
      <c r="K11" s="121"/>
      <c r="L11" s="153"/>
      <c r="M11" s="121"/>
      <c r="N11" s="124"/>
      <c r="O11" s="124"/>
      <c r="P11" s="124"/>
      <c r="Q11" s="124"/>
      <c r="R11" s="121"/>
      <c r="S11" s="125">
        <f>MAX(Eigenschaften!$G$25,Eigenschaften!$G$27)+IF(E11=TRUE,5,3)</f>
        <v>17</v>
      </c>
    </row>
    <row r="12" spans="2:19" ht="18.75">
      <c r="B12" s="126" t="s">
        <v>1168</v>
      </c>
      <c r="C12" s="120" t="str" cm="1">
        <f t="array" ref="C12">_xlfn.TEXTJOIN(", ",,_xlfn._xlws.FILTER(Nahkampfwaffen[Waffe],Nahkampfwaffen[Talent]=Kampftechniken!B12))</f>
        <v>Hände</v>
      </c>
      <c r="D12" s="127"/>
      <c r="E12" s="315" t="b">
        <v>0</v>
      </c>
      <c r="F12" s="122" t="str">
        <f>IF(E12=TRUE,_xlfn.XLOOKUP(_xlfn.XLOOKUP(_xlfn.XLOOKUP(B12,Nahkampfwaffen[Talent],Nahkampfwaffen[Komplexität]),Rechner!$A$17:$A$25,Rechner!$B$17:$B$25,,0,-1)-1,Rechner!$B$17:$B$25,Rechner!$A$17:$A$25),_xlfn.XLOOKUP(B12,Nahkampfwaffen[Talent],Nahkampfwaffen[Komplexität]))</f>
        <v>C</v>
      </c>
      <c r="G12" s="129">
        <v>0</v>
      </c>
      <c r="H12" s="121">
        <v>7</v>
      </c>
      <c r="I12" s="121">
        <v>4</v>
      </c>
      <c r="J12" s="121">
        <v>3</v>
      </c>
      <c r="K12" s="121"/>
      <c r="L12" s="153"/>
      <c r="M12" s="121"/>
      <c r="N12" s="124"/>
      <c r="O12" s="124"/>
      <c r="P12" s="124"/>
      <c r="Q12" s="124"/>
      <c r="R12" s="121"/>
      <c r="S12" s="125">
        <f>MAX(Eigenschaften!$G$25,Eigenschaften!$G$27)+IF(E12=TRUE,5,3)</f>
        <v>17</v>
      </c>
    </row>
    <row r="13" spans="2:19" ht="18.75">
      <c r="B13" s="126" t="s">
        <v>1170</v>
      </c>
      <c r="C13" s="120" t="str" cm="1">
        <f t="array" ref="C13">_xlfn.TEXTJOIN(", ",,_xlfn._xlws.FILTER(Nahkampfwaffen[Waffe],Nahkampfwaffen[Talent]=Kampftechniken!B13))</f>
        <v>Hände</v>
      </c>
      <c r="D13" s="127"/>
      <c r="E13" s="315" t="b">
        <v>0</v>
      </c>
      <c r="F13" s="122" t="str">
        <f>IF(E13=TRUE,_xlfn.XLOOKUP(_xlfn.XLOOKUP(_xlfn.XLOOKUP(B13,Nahkampfwaffen[Talent],Nahkampfwaffen[Komplexität]),Rechner!$A$17:$A$25,Rechner!$B$17:$B$25,,0,-1)-1,Rechner!$B$17:$B$25,Rechner!$A$17:$A$25),_xlfn.XLOOKUP(B13,Nahkampfwaffen[Talent],Nahkampfwaffen[Komplexität]))</f>
        <v>D</v>
      </c>
      <c r="G13" s="129">
        <v>0</v>
      </c>
      <c r="H13" s="121"/>
      <c r="I13" s="121"/>
      <c r="J13" s="121"/>
      <c r="K13" s="121"/>
      <c r="L13" s="153"/>
      <c r="M13" s="121"/>
      <c r="N13" s="124"/>
      <c r="O13" s="124"/>
      <c r="P13" s="124"/>
      <c r="Q13" s="124"/>
      <c r="R13" s="121"/>
      <c r="S13" s="125">
        <f>MAX(Eigenschaften!$G$25,Eigenschaften!$G$27)+IF(E13=TRUE,5,3)</f>
        <v>17</v>
      </c>
    </row>
    <row r="14" spans="2:19" ht="72">
      <c r="B14" s="126" t="s">
        <v>1093</v>
      </c>
      <c r="C14" s="120" t="str" cm="1">
        <f t="array" ref="C14">_xlfn.TEXTJOIN(", ",,_xlfn._xlws.FILTER(Nahkampfwaffen[Waffe],Nahkampfwaffen[Talent]=Kampftechniken!B14))</f>
        <v>Säbel, Amazonensäbel, Arbach, Entermesser, Haumesser, Khunchomer, Kurzschwert, Kuslikersäbel, Robbentöter, Säbel, Sklaventod, 
Waqqif, Wolfsmesser</v>
      </c>
      <c r="D14" s="127"/>
      <c r="E14" s="315" t="b">
        <v>0</v>
      </c>
      <c r="F14" s="122" t="str">
        <f>IF(E14=TRUE,_xlfn.XLOOKUP(_xlfn.XLOOKUP(_xlfn.XLOOKUP(B14,Nahkampfwaffen[Talent],Nahkampfwaffen[Komplexität]),Rechner!$A$17:$A$25,Rechner!$B$17:$B$25,,0,-1)-1,Rechner!$B$17:$B$25,Rechner!$A$17:$A$25),_xlfn.XLOOKUP(B14,Nahkampfwaffen[Talent],Nahkampfwaffen[Komplexität]))</f>
        <v>D</v>
      </c>
      <c r="G14" s="129">
        <v>-2</v>
      </c>
      <c r="H14" s="121"/>
      <c r="I14" s="121"/>
      <c r="J14" s="121"/>
      <c r="K14" s="121"/>
      <c r="L14" s="153"/>
      <c r="M14" s="121"/>
      <c r="N14" s="124"/>
      <c r="O14" s="124"/>
      <c r="P14" s="124"/>
      <c r="Q14" s="124"/>
      <c r="R14" s="121"/>
      <c r="S14" s="125">
        <f>MAX(Eigenschaften!$G$25,Eigenschaften!$G$27)+IF(E14=TRUE,5,3)</f>
        <v>17</v>
      </c>
    </row>
    <row r="15" spans="2:19" ht="90">
      <c r="B15" s="119" t="s">
        <v>1106</v>
      </c>
      <c r="C15" s="120" t="str" cm="1">
        <f t="array" ref="C15">_xlfn.TEXTJOIN(", ",,_xlfn._xlws.FILTER(Nahkampfwaffen[Waffe],Nahkampfwaffen[Talent]=Kampftechniken!B15))</f>
        <v>Amazonensäbel, Arbach, Barbarenschwert, 
Bastardschwert, Breitschwert, Kurzschwert, Kuslikersäbel, Langschwert, Nachtwind, Rapier, Robbentöter, Säbel, Turnierschwert, 
Wolfsmesser</v>
      </c>
      <c r="D15" s="128"/>
      <c r="E15" s="315" t="b">
        <v>0</v>
      </c>
      <c r="F15" s="122" t="str">
        <f>IF(E15=TRUE,_xlfn.XLOOKUP(_xlfn.XLOOKUP(_xlfn.XLOOKUP(B15,Nahkampfwaffen[Talent],Nahkampfwaffen[Komplexität]),Rechner!$A$17:$A$25,Rechner!$B$17:$B$25,,0,-1)-1,Rechner!$B$17:$B$25,Rechner!$A$17:$A$25),_xlfn.XLOOKUP(B15,Nahkampfwaffen[Talent],Nahkampfwaffen[Komplexität]))</f>
        <v>E</v>
      </c>
      <c r="G15" s="129">
        <v>-2</v>
      </c>
      <c r="H15" s="121">
        <v>13</v>
      </c>
      <c r="I15" s="121">
        <v>7</v>
      </c>
      <c r="J15" s="121">
        <v>6</v>
      </c>
      <c r="K15" s="121"/>
      <c r="L15" s="153" t="str">
        <f>IF(ISTEXT(K15),_xlfn.XLOOKUP(K15,Nahkampfwaffen[Waffe],Nahkampfwaffen[Manöver mit Waffenmeister]),"")</f>
        <v/>
      </c>
      <c r="M15" s="121"/>
      <c r="N15" s="124"/>
      <c r="O15" s="124"/>
      <c r="P15" s="124"/>
      <c r="Q15" s="124"/>
      <c r="R15" s="121"/>
      <c r="S15" s="125">
        <f>MAX(Eigenschaften!$G$25,Eigenschaften!$G$27)+IF(E15=TRUE,5,3)</f>
        <v>17</v>
      </c>
    </row>
    <row r="16" spans="2:19" ht="144">
      <c r="B16" s="119" t="s">
        <v>1119</v>
      </c>
      <c r="C16" s="120" t="str" cm="1">
        <f t="array" ref="C16">_xlfn.TEXTJOIN(", ",,_xlfn._xlws.FILTER(Nahkampfwaffen[Waffe],Nahkampfwaffen[Talent]=Kampftechniken!B16))</f>
        <v xml:space="preserve">Drachentöter (zweihändig), Dreizack (einhändig), Dschadra (einhändig), Efferdbart (ein-/zweihändig), Holzspeer (einhändig), Jagdspieß( zweihändig), Partisane (zweihändig), Pike (zweihändig), Schnitter (ein-/zweihändig), Speer (einhändig), Stoßspeer (zweihändig), Wurmspieß (zweihändig), 
Wurfspeer, improvisiert: Turnierlanze , improvisiert: Kriegslanze </v>
      </c>
      <c r="D16" s="128"/>
      <c r="E16" s="315" t="b">
        <v>0</v>
      </c>
      <c r="F16" s="122" t="str">
        <f>IF(E16=TRUE,_xlfn.XLOOKUP(_xlfn.XLOOKUP(_xlfn.XLOOKUP(B16,Nahkampfwaffen[Talent],Nahkampfwaffen[Komplexität]),Rechner!$A$17:$A$25,Rechner!$B$17:$B$25,,0,-1)-1,Rechner!$B$17:$B$25,Rechner!$A$17:$A$25),_xlfn.XLOOKUP(B16,Nahkampfwaffen[Talent],Nahkampfwaffen[Komplexität]))</f>
        <v>D</v>
      </c>
      <c r="G16" s="129">
        <v>-3</v>
      </c>
      <c r="H16" s="121">
        <v>3</v>
      </c>
      <c r="I16" s="121">
        <v>3</v>
      </c>
      <c r="J16" s="121">
        <v>0</v>
      </c>
      <c r="K16" s="121"/>
      <c r="L16" s="153" t="str">
        <f>IF(ISTEXT(K16),_xlfn.XLOOKUP(K16,Nahkampfwaffen[Waffe],Nahkampfwaffen[Manöver mit Waffenmeister]),"")</f>
        <v/>
      </c>
      <c r="M16" s="121"/>
      <c r="N16" s="124"/>
      <c r="O16" s="124"/>
      <c r="P16" s="124"/>
      <c r="Q16" s="124"/>
      <c r="R16" s="121"/>
      <c r="S16" s="125">
        <f>MAX(Eigenschaften!$G$25,Eigenschaften!$G$27)+IF(E16=TRUE,5,3)</f>
        <v>17</v>
      </c>
    </row>
    <row r="17" spans="2:19" ht="18.75">
      <c r="B17" s="119" t="s">
        <v>1136</v>
      </c>
      <c r="C17" s="120" t="str" cm="1">
        <f t="array" ref="C17">_xlfn.TEXTJOIN(", ",,_xlfn._xlws.FILTER(Nahkampfwaffen[Waffe],Nahkampfwaffen[Talent]=Kampftechniken!B17))</f>
        <v>Kampfstab, Zweililien, Magierstab</v>
      </c>
      <c r="D17" s="128"/>
      <c r="E17" s="315" t="b">
        <v>0</v>
      </c>
      <c r="F17" s="122" t="str">
        <f>IF(E17=TRUE,_xlfn.XLOOKUP(_xlfn.XLOOKUP(_xlfn.XLOOKUP(B17,Nahkampfwaffen[Talent],Nahkampfwaffen[Komplexität]),Rechner!$A$17:$A$25,Rechner!$B$17:$B$25,,0,-1)-1,Rechner!$B$17:$B$25,Rechner!$A$17:$A$25),_xlfn.XLOOKUP(B17,Nahkampfwaffen[Talent],Nahkampfwaffen[Komplexität]))</f>
        <v>D</v>
      </c>
      <c r="G17" s="129">
        <v>-2</v>
      </c>
      <c r="H17" s="121"/>
      <c r="I17" s="121"/>
      <c r="J17" s="121"/>
      <c r="K17" s="121"/>
      <c r="L17" s="153" t="str">
        <f>IF(ISTEXT(K17),_xlfn.XLOOKUP(K17,Nahkampfwaffen[Waffe],Nahkampfwaffen[Manöver mit Waffenmeister]),"")</f>
        <v/>
      </c>
      <c r="M17" s="121"/>
      <c r="N17" s="124"/>
      <c r="O17" s="124"/>
      <c r="P17" s="124"/>
      <c r="Q17" s="124"/>
      <c r="R17" s="121"/>
      <c r="S17" s="125">
        <f>MAX(Eigenschaften!$G$25,Eigenschaften!$G$27)+IF(E17=TRUE,5,3)</f>
        <v>17</v>
      </c>
    </row>
    <row r="18" spans="2:19" ht="18.75">
      <c r="B18" s="119" t="s">
        <v>1141</v>
      </c>
      <c r="C18" s="120" t="str" cm="1">
        <f t="array" ref="C18">_xlfn.TEXTJOIN(", ",,_xlfn._xlws.FILTER(Nahkampfwaffen[Waffe],Nahkampfwaffen[Talent]=Kampftechniken!B18))</f>
        <v>Kriegsflegel, improvisiert: Dreschflegel</v>
      </c>
      <c r="D18" s="128"/>
      <c r="E18" s="315" t="b">
        <v>0</v>
      </c>
      <c r="F18" s="122" t="str">
        <f>IF(E18=TRUE,_xlfn.XLOOKUP(_xlfn.XLOOKUP(_xlfn.XLOOKUP(B18,Nahkampfwaffen[Talent],Nahkampfwaffen[Komplexität]),Rechner!$A$17:$A$25,Rechner!$B$17:$B$25,,0,-1)-1,Rechner!$B$17:$B$25,Rechner!$A$17:$A$25),_xlfn.XLOOKUP(B18,Nahkampfwaffen[Talent],Nahkampfwaffen[Komplexität]))</f>
        <v>D</v>
      </c>
      <c r="G18" s="129">
        <v>-3</v>
      </c>
      <c r="H18" s="121"/>
      <c r="I18" s="121"/>
      <c r="J18" s="121"/>
      <c r="K18" s="121"/>
      <c r="L18" s="153" t="str">
        <f>IF(ISTEXT(K18),_xlfn.XLOOKUP(K18,Nahkampfwaffen[Waffe],Nahkampfwaffen[Manöver mit Waffenmeister]),"")</f>
        <v/>
      </c>
      <c r="M18" s="121"/>
      <c r="N18" s="124"/>
      <c r="O18" s="124"/>
      <c r="P18" s="124"/>
      <c r="Q18" s="124"/>
      <c r="R18" s="121"/>
      <c r="S18" s="125">
        <f>MAX(Eigenschaften!$G$25,Eigenschaften!$G$27)+IF(E18=TRUE,5,3)</f>
        <v>17</v>
      </c>
    </row>
    <row r="19" spans="2:19" ht="90">
      <c r="B19" s="119" t="s">
        <v>1144</v>
      </c>
      <c r="C19" s="120" t="str" cm="1">
        <f t="array" ref="C19">_xlfn.TEXTJOIN(", ",,_xlfn._xlws.FILTER(Nahkampfwaffen[Waffe],Nahkampfwaffen[Talent]=Kampftechniken!B19))</f>
        <v>Barbarenstreitaxt, EchsischeAxt, Felsspalter, 
Gruufhai, Kriegshammer, Langaxt, Orknase, 
Pailos, Schnitter, WarunkerHammer, Zwergenschlägel, Spitzhacke, Vorschlaghammer, improvisiert: Holzfälleraxt</v>
      </c>
      <c r="D19" s="128"/>
      <c r="E19" s="315" t="b">
        <v>0</v>
      </c>
      <c r="F19" s="122" t="str">
        <f>IF(E19=TRUE,_xlfn.XLOOKUP(_xlfn.XLOOKUP(_xlfn.XLOOKUP(B19,Nahkampfwaffen[Talent],Nahkampfwaffen[Komplexität]),Rechner!$A$17:$A$25,Rechner!$B$17:$B$25,,0,-1)-1,Rechner!$B$17:$B$25,Rechner!$A$17:$A$25),_xlfn.XLOOKUP(B19,Nahkampfwaffen[Talent],Nahkampfwaffen[Komplexität]))</f>
        <v>D</v>
      </c>
      <c r="G19" s="129">
        <v>-3</v>
      </c>
      <c r="H19" s="121"/>
      <c r="I19" s="121"/>
      <c r="J19" s="121"/>
      <c r="K19" s="121"/>
      <c r="L19" s="153" t="str">
        <f>IF(ISTEXT(K19),_xlfn.XLOOKUP(K19,Nahkampfwaffen[Waffe],Nahkampfwaffen[Manöver mit Waffenmeister]),"")</f>
        <v/>
      </c>
      <c r="M19" s="121"/>
      <c r="N19" s="124"/>
      <c r="O19" s="124"/>
      <c r="P19" s="124"/>
      <c r="Q19" s="124"/>
      <c r="R19" s="121"/>
      <c r="S19" s="125">
        <f>MAX(Eigenschaften!$G$25,Eigenschaften!$G$27)+IF(E19=TRUE,5,3)</f>
        <v>17</v>
      </c>
    </row>
    <row r="20" spans="2:19" ht="72">
      <c r="B20" s="119" t="s">
        <v>1159</v>
      </c>
      <c r="C20" s="120" t="str" cm="1">
        <f t="array" ref="C20">_xlfn.TEXTJOIN(", ",,_xlfn._xlws.FILTER(Nahkampfwaffen[Waffe],Nahkampfwaffen[Talent]=Kampftechniken!B20))</f>
        <v>Andergaster, Anderthalbhänder, Boronssichel, 
Doppelkhunchomer, Großer Sklaventod, 
Rondrakamm, Tuzakmesser, Zweihänder, improvisiert: Richtschwert</v>
      </c>
      <c r="D20" s="128"/>
      <c r="E20" s="315" t="b">
        <v>0</v>
      </c>
      <c r="F20" s="122" t="str">
        <f>IF(E20=TRUE,_xlfn.XLOOKUP(_xlfn.XLOOKUP(_xlfn.XLOOKUP(B20,Nahkampfwaffen[Talent],Nahkampfwaffen[Komplexität]),Rechner!$A$17:$A$25,Rechner!$B$17:$B$25,,0,-1)-1,Rechner!$B$17:$B$25,Rechner!$A$17:$A$25),_xlfn.XLOOKUP(B20,Nahkampfwaffen[Talent],Nahkampfwaffen[Komplexität]))</f>
        <v>E</v>
      </c>
      <c r="G20" s="129">
        <v>-2</v>
      </c>
      <c r="H20" s="121"/>
      <c r="I20" s="121"/>
      <c r="J20" s="121"/>
      <c r="K20" s="121"/>
      <c r="L20" s="153" t="str">
        <f>IF(ISTEXT(K20),_xlfn.XLOOKUP(K20,Nahkampfwaffen[Waffe],Nahkampfwaffen[Manöver mit Waffenmeister]),"")</f>
        <v/>
      </c>
      <c r="M20" s="121"/>
      <c r="N20" s="124"/>
      <c r="O20" s="124"/>
      <c r="P20" s="124"/>
      <c r="Q20" s="124"/>
      <c r="R20" s="121"/>
      <c r="S20" s="125">
        <f>MAX(Eigenschaften!$G$25,Eigenschaften!$G$27)+IF(E20=TRUE,5,3)</f>
        <v>17</v>
      </c>
    </row>
    <row r="21" spans="2:19" s="130" customFormat="1">
      <c r="E21" s="131"/>
      <c r="L21" s="132"/>
    </row>
    <row r="22" spans="2:19" ht="18.75" thickBot="1">
      <c r="E22" s="125"/>
      <c r="F22" s="130"/>
      <c r="G22" s="130"/>
      <c r="H22" s="130"/>
      <c r="I22" s="130"/>
      <c r="J22" s="130"/>
      <c r="K22" s="130"/>
      <c r="L22" s="132"/>
      <c r="N22" s="401" t="s">
        <v>242</v>
      </c>
      <c r="O22" s="401"/>
      <c r="P22" s="401"/>
      <c r="Q22" s="401"/>
    </row>
    <row r="23" spans="2:19" ht="19.5" thickTop="1">
      <c r="B23" s="113" t="s">
        <v>1171</v>
      </c>
      <c r="C23" s="114"/>
      <c r="D23" s="114"/>
      <c r="E23" s="133" t="s">
        <v>247</v>
      </c>
      <c r="F23" s="114" t="s">
        <v>1232</v>
      </c>
      <c r="G23" s="115" t="s">
        <v>96</v>
      </c>
      <c r="H23" s="115" t="s">
        <v>238</v>
      </c>
      <c r="I23" s="116" t="s">
        <v>65</v>
      </c>
      <c r="J23" s="134"/>
      <c r="K23" s="134"/>
      <c r="L23" s="135"/>
      <c r="M23" s="136"/>
      <c r="N23" s="115">
        <v>1</v>
      </c>
      <c r="O23" s="115">
        <v>2</v>
      </c>
      <c r="P23" s="115">
        <v>3</v>
      </c>
      <c r="Q23" s="115">
        <v>4</v>
      </c>
      <c r="R23" s="115" t="s">
        <v>241</v>
      </c>
      <c r="S23" s="137" t="s">
        <v>1234</v>
      </c>
    </row>
    <row r="24" spans="2:19" ht="18.75">
      <c r="B24" s="119" t="s">
        <v>1173</v>
      </c>
      <c r="C24" s="120" t="e" cm="1" vm="1">
        <f t="array" ref="C24">_xlfn.TEXTJOIN(", ",,_xlfn._xlws.FILTER(Nahkampfwaffen[Waffe],Nahkampfwaffen[Talent]=Kampftechniken!B24))</f>
        <v>#VALUE!</v>
      </c>
      <c r="D24" s="128"/>
      <c r="E24" s="138"/>
      <c r="F24" s="122" t="e">
        <f>IF(E24="Ja",_xlfn.XLOOKUP(_xlfn.XLOOKUP(_xlfn.XLOOKUP(B24,Nahkampfwaffen[Talent],Nahkampfwaffen[Komplexität]),Rechner!$A$17:$A$25,Rechner!$B$17:$B$25,,0,-1)-1,Rechner!$B$17:$B$25,Rechner!$A$17:$A$25),_xlfn.XLOOKUP(B24,Nahkampfwaffen[Talent],Nahkampfwaffen[Komplexität]))</f>
        <v>#N/A</v>
      </c>
      <c r="G24" s="123">
        <v>-5</v>
      </c>
      <c r="H24" s="138"/>
      <c r="I24" s="138">
        <f t="shared" ref="I24:I33" si="0">H24</f>
        <v>0</v>
      </c>
      <c r="J24" s="139"/>
      <c r="K24" s="139"/>
      <c r="L24" s="140"/>
      <c r="M24" s="125"/>
      <c r="N24" s="141"/>
      <c r="O24" s="141"/>
      <c r="P24" s="141"/>
      <c r="Q24" s="141"/>
      <c r="R24" s="141"/>
      <c r="S24" s="142">
        <f>MAX(Eigenschaften!$G$24,Eigenschaften!$G$27)+IF(Kampftechniken!E24="Ja",5,3)</f>
        <v>15</v>
      </c>
    </row>
    <row r="25" spans="2:19" ht="18.75">
      <c r="B25" s="119" t="s">
        <v>1184</v>
      </c>
      <c r="C25" s="120" t="e" cm="1" vm="1">
        <f t="array" ref="C25">_xlfn.TEXTJOIN(", ",,_xlfn._xlws.FILTER(Nahkampfwaffen[Waffe],Nahkampfwaffen[Talent]=Kampftechniken!B25))</f>
        <v>#VALUE!</v>
      </c>
      <c r="D25" s="128"/>
      <c r="E25" s="138"/>
      <c r="F25" s="122" t="e">
        <f>IF(E25="Ja",_xlfn.XLOOKUP(_xlfn.XLOOKUP(_xlfn.XLOOKUP(B25,Nahkampfwaffen[Talent],Nahkampfwaffen[Komplexität]),Rechner!$A$17:$A$25,Rechner!$B$17:$B$25,,0,-1)-1,Rechner!$B$17:$B$25,Rechner!$A$17:$A$25),_xlfn.XLOOKUP(B25,Nahkampfwaffen[Talent],Nahkampfwaffen[Komplexität]))</f>
        <v>#N/A</v>
      </c>
      <c r="G25" s="123" t="s">
        <v>119</v>
      </c>
      <c r="H25" s="138"/>
      <c r="I25" s="138">
        <f t="shared" si="0"/>
        <v>0</v>
      </c>
      <c r="J25" s="139"/>
      <c r="K25" s="139"/>
      <c r="L25" s="140"/>
      <c r="M25" s="125"/>
      <c r="N25" s="141"/>
      <c r="O25" s="141"/>
      <c r="P25" s="141"/>
      <c r="Q25" s="141"/>
      <c r="R25" s="141"/>
      <c r="S25" s="142">
        <f>MAX(Eigenschaften!$G$24,Eigenschaften!$G$27)+IF(Kampftechniken!E25="Ja",5,3)</f>
        <v>15</v>
      </c>
    </row>
    <row r="26" spans="2:19" ht="18.75">
      <c r="B26" s="119" t="s">
        <v>1190</v>
      </c>
      <c r="C26" s="120" t="e" cm="1" vm="1">
        <f t="array" ref="C26">_xlfn.TEXTJOIN(", ",,_xlfn._xlws.FILTER(Nahkampfwaffen[Waffe],Nahkampfwaffen[Talent]=Kampftechniken!B26))</f>
        <v>#VALUE!</v>
      </c>
      <c r="D26" s="128"/>
      <c r="E26" s="138"/>
      <c r="F26" s="122" t="e">
        <f>IF(E26="Ja",_xlfn.XLOOKUP(_xlfn.XLOOKUP(_xlfn.XLOOKUP(B26,Nahkampfwaffen[Talent],Nahkampfwaffen[Komplexität]),Rechner!$A$17:$A$25,Rechner!$B$17:$B$25,,0,-1)-1,Rechner!$B$17:$B$25,Rechner!$A$17:$A$25),_xlfn.XLOOKUP(B26,Nahkampfwaffen[Talent],Nahkampfwaffen[Komplexität]))</f>
        <v>#N/A</v>
      </c>
      <c r="G26" s="123">
        <v>-5</v>
      </c>
      <c r="H26" s="138"/>
      <c r="I26" s="138">
        <f t="shared" si="0"/>
        <v>0</v>
      </c>
      <c r="J26" s="139"/>
      <c r="K26" s="139"/>
      <c r="L26" s="140"/>
      <c r="M26" s="125"/>
      <c r="N26" s="141"/>
      <c r="O26" s="141"/>
      <c r="P26" s="141"/>
      <c r="Q26" s="141"/>
      <c r="R26" s="141"/>
      <c r="S26" s="142">
        <f>MAX(Eigenschaften!$G$24,Eigenschaften!$G$27)+IF(Kampftechniken!E26="Ja",5,3)</f>
        <v>15</v>
      </c>
    </row>
    <row r="27" spans="2:19" ht="18.75">
      <c r="B27" s="119" t="s">
        <v>1193</v>
      </c>
      <c r="C27" s="120" t="e" cm="1" vm="1">
        <f t="array" ref="C27">_xlfn.TEXTJOIN(", ",,_xlfn._xlws.FILTER(Nahkampfwaffen[Waffe],Nahkampfwaffen[Talent]=Kampftechniken!B27))</f>
        <v>#VALUE!</v>
      </c>
      <c r="D27" s="128"/>
      <c r="E27" s="138"/>
      <c r="F27" s="122" t="e">
        <f>IF(E27="Ja",_xlfn.XLOOKUP(_xlfn.XLOOKUP(_xlfn.XLOOKUP(B27,Nahkampfwaffen[Talent],Nahkampfwaffen[Komplexität]),Rechner!$A$17:$A$25,Rechner!$B$17:$B$25,,0,-1)-1,Rechner!$B$17:$B$25,Rechner!$A$17:$A$25),_xlfn.XLOOKUP(B27,Nahkampfwaffen[Talent],Nahkampfwaffen[Komplexität]))</f>
        <v>#N/A</v>
      </c>
      <c r="G27" s="129">
        <v>-3</v>
      </c>
      <c r="H27" s="138"/>
      <c r="I27" s="138">
        <f t="shared" si="0"/>
        <v>0</v>
      </c>
      <c r="J27" s="139"/>
      <c r="K27" s="139"/>
      <c r="L27" s="140"/>
      <c r="M27" s="125"/>
      <c r="N27" s="141"/>
      <c r="O27" s="141"/>
      <c r="P27" s="141"/>
      <c r="Q27" s="141"/>
      <c r="R27" s="141"/>
      <c r="S27" s="142">
        <f>MAX(Eigenschaften!$G$24,Eigenschaften!$G$27)+IF(Kampftechniken!E27="Ja",5,3)</f>
        <v>15</v>
      </c>
    </row>
    <row r="28" spans="2:19" ht="18.75">
      <c r="B28" s="119" t="s">
        <v>1199</v>
      </c>
      <c r="C28" s="120" t="e" cm="1" vm="1">
        <f t="array" ref="C28">_xlfn.TEXTJOIN(", ",,_xlfn._xlws.FILTER(Nahkampfwaffen[Waffe],Nahkampfwaffen[Talent]=Kampftechniken!B28))</f>
        <v>#VALUE!</v>
      </c>
      <c r="D28" s="128"/>
      <c r="E28" s="138"/>
      <c r="F28" s="122" t="e">
        <f>IF(E28="Ja",_xlfn.XLOOKUP(_xlfn.XLOOKUP(_xlfn.XLOOKUP(B28,Nahkampfwaffen[Talent],Nahkampfwaffen[Komplexität]),Rechner!$A$17:$A$25,Rechner!$B$17:$B$25,,0,-1)-1,Rechner!$B$17:$B$25,Rechner!$A$17:$A$25),_xlfn.XLOOKUP(B28,Nahkampfwaffen[Talent],Nahkampfwaffen[Komplexität]))</f>
        <v>#N/A</v>
      </c>
      <c r="G28" s="129">
        <v>-2</v>
      </c>
      <c r="H28" s="138"/>
      <c r="I28" s="138">
        <f t="shared" si="0"/>
        <v>0</v>
      </c>
      <c r="J28" s="139"/>
      <c r="K28" s="139"/>
      <c r="L28" s="140"/>
      <c r="M28" s="125"/>
      <c r="N28" s="141"/>
      <c r="O28" s="141"/>
      <c r="P28" s="141"/>
      <c r="Q28" s="141"/>
      <c r="R28" s="141"/>
      <c r="S28" s="142">
        <f>MAX(Eigenschaften!$G$24,Eigenschaften!$G$27)+IF(Kampftechniken!E28="Ja",5,3)</f>
        <v>15</v>
      </c>
    </row>
    <row r="29" spans="2:19" ht="18.75">
      <c r="B29" s="119" t="s">
        <v>1091</v>
      </c>
      <c r="C29" s="120" t="str" cm="1">
        <f t="array" ref="C29">_xlfn.TEXTJOIN(", ",,_xlfn._xlws.FILTER(Nahkampfwaffen[Waffe],Nahkampfwaffen[Talent]=Kampftechniken!B29))</f>
        <v>Peitsche</v>
      </c>
      <c r="D29" s="128"/>
      <c r="E29" s="138"/>
      <c r="F29" s="122" t="str">
        <f>IF(E29="Ja",_xlfn.XLOOKUP(_xlfn.XLOOKUP(_xlfn.XLOOKUP(B29,Nahkampfwaffen[Talent],Nahkampfwaffen[Komplexität]),Rechner!$A$17:$A$25,Rechner!$B$17:$B$25,,0,-1)-1,Rechner!$B$17:$B$25,Rechner!$A$17:$A$25),_xlfn.XLOOKUP(B29,Nahkampfwaffen[Talent],Nahkampfwaffen[Komplexität]))</f>
        <v>E</v>
      </c>
      <c r="G29" s="123">
        <v>-1</v>
      </c>
      <c r="H29" s="138">
        <v>1</v>
      </c>
      <c r="I29" s="138">
        <f t="shared" si="0"/>
        <v>1</v>
      </c>
      <c r="J29" s="139"/>
      <c r="K29" s="139"/>
      <c r="L29" s="140"/>
      <c r="M29" s="125"/>
      <c r="N29" s="141"/>
      <c r="O29" s="141"/>
      <c r="P29" s="141"/>
      <c r="Q29" s="141"/>
      <c r="R29" s="141"/>
      <c r="S29" s="142">
        <f>MAX(Eigenschaften!$G$24,Eigenschaften!$G$27)+IF(Kampftechniken!E29="Ja",5,3)</f>
        <v>15</v>
      </c>
    </row>
    <row r="30" spans="2:19" ht="18.75">
      <c r="B30" s="119" t="s">
        <v>1202</v>
      </c>
      <c r="C30" s="120" t="e" cm="1" vm="1">
        <f t="array" ref="C30">_xlfn.TEXTJOIN(", ",,_xlfn._xlws.FILTER(Nahkampfwaffen[Waffe],Nahkampfwaffen[Talent]=Kampftechniken!B30))</f>
        <v>#VALUE!</v>
      </c>
      <c r="D30" s="128"/>
      <c r="E30" s="138"/>
      <c r="F30" s="122" t="e">
        <f>IF(E30="Ja",_xlfn.XLOOKUP(_xlfn.XLOOKUP(_xlfn.XLOOKUP(B30,Nahkampfwaffen[Talent],Nahkampfwaffen[Komplexität]),Rechner!$A$17:$A$25,Rechner!$B$17:$B$25,,0,-1)-1,Rechner!$B$17:$B$25,Rechner!$A$17:$A$25),_xlfn.XLOOKUP(B30,Nahkampfwaffen[Talent],Nahkampfwaffen[Komplexität]))</f>
        <v>#N/A</v>
      </c>
      <c r="G30" s="129">
        <v>-2</v>
      </c>
      <c r="H30" s="138"/>
      <c r="I30" s="138">
        <f t="shared" si="0"/>
        <v>0</v>
      </c>
      <c r="J30" s="139"/>
      <c r="K30" s="139"/>
      <c r="L30" s="140"/>
      <c r="M30" s="125"/>
      <c r="N30" s="141"/>
      <c r="O30" s="141"/>
      <c r="P30" s="141"/>
      <c r="Q30" s="141"/>
      <c r="R30" s="141"/>
      <c r="S30" s="142">
        <f>MAX(Eigenschaften!$G$24,Eigenschaften!$G$27)+IF(Kampftechniken!E30="Ja",5,3)</f>
        <v>15</v>
      </c>
    </row>
    <row r="31" spans="2:19" ht="18.75">
      <c r="B31" s="119" t="s">
        <v>1211</v>
      </c>
      <c r="C31" s="120" t="e" cm="1" vm="1">
        <f t="array" ref="C31">_xlfn.TEXTJOIN(", ",,_xlfn._xlws.FILTER(Nahkampfwaffen[Waffe],Nahkampfwaffen[Talent]=Kampftechniken!B31))</f>
        <v>#VALUE!</v>
      </c>
      <c r="D31" s="128"/>
      <c r="E31" s="138"/>
      <c r="F31" s="122" t="e">
        <f>IF(E31="Ja",_xlfn.XLOOKUP(_xlfn.XLOOKUP(_xlfn.XLOOKUP(B31,Nahkampfwaffen[Talent],Nahkampfwaffen[Komplexität]),Rechner!$A$17:$A$25,Rechner!$B$17:$B$25,,0,-1)-1,Rechner!$B$17:$B$25,Rechner!$A$17:$A$25),_xlfn.XLOOKUP(B31,Nahkampfwaffen[Talent],Nahkampfwaffen[Komplexität]))</f>
        <v>#N/A</v>
      </c>
      <c r="G31" s="129">
        <v>-2</v>
      </c>
      <c r="H31" s="138"/>
      <c r="I31" s="138">
        <f t="shared" si="0"/>
        <v>0</v>
      </c>
      <c r="J31" s="139"/>
      <c r="K31" s="139"/>
      <c r="L31" s="140"/>
      <c r="M31" s="125"/>
      <c r="N31" s="141"/>
      <c r="O31" s="141"/>
      <c r="P31" s="141"/>
      <c r="Q31" s="141"/>
      <c r="R31" s="141"/>
      <c r="S31" s="142">
        <f>MAX(Eigenschaften!$G$24,Eigenschaften!$G$27)+IF(Kampftechniken!E31="Ja",5,3)</f>
        <v>15</v>
      </c>
    </row>
    <row r="32" spans="2:19" ht="18.75">
      <c r="B32" s="126" t="s">
        <v>1009</v>
      </c>
      <c r="C32" s="120" t="e" cm="1" vm="1">
        <f t="array" ref="C32">_xlfn.TEXTJOIN(", ",,_xlfn._xlws.FILTER(Nahkampfwaffen[Waffe],Nahkampfwaffen[Talent]=Kampftechniken!B32))</f>
        <v>#VALUE!</v>
      </c>
      <c r="D32" s="127"/>
      <c r="E32" s="138"/>
      <c r="F32" s="122" t="e">
        <f>IF(E32="Ja",_xlfn.XLOOKUP(_xlfn.XLOOKUP(_xlfn.XLOOKUP(B32,Nahkampfwaffen[Talent],Nahkampfwaffen[Komplexität]),Rechner!$A$17:$A$25,Rechner!$B$17:$B$25,,0,-1)-1,Rechner!$B$17:$B$25,Rechner!$A$17:$A$25),_xlfn.XLOOKUP(B32,Nahkampfwaffen[Talent],Nahkampfwaffen[Komplexität]))</f>
        <v>#N/A</v>
      </c>
      <c r="G32" s="129">
        <v>-3</v>
      </c>
      <c r="H32" s="138">
        <v>3</v>
      </c>
      <c r="I32" s="138">
        <f t="shared" si="0"/>
        <v>3</v>
      </c>
      <c r="J32" s="139"/>
      <c r="K32" s="139"/>
      <c r="L32" s="140"/>
      <c r="M32" s="125"/>
      <c r="N32" s="141"/>
      <c r="O32" s="141"/>
      <c r="P32" s="141"/>
      <c r="Q32" s="141"/>
      <c r="R32" s="141"/>
      <c r="S32" s="142">
        <f>MAX(Eigenschaften!$G$24,Eigenschaften!$G$27)+IF(Kampftechniken!E32="Ja",5,3)</f>
        <v>15</v>
      </c>
    </row>
    <row r="33" spans="2:19" ht="19.5" thickBot="1">
      <c r="B33" s="143" t="s">
        <v>1222</v>
      </c>
      <c r="C33" s="144" t="e" cm="1" vm="1">
        <f t="array" ref="C33">_xlfn.TEXTJOIN(", ",,_xlfn._xlws.FILTER(Nahkampfwaffen[Waffe],Nahkampfwaffen[Talent]=Kampftechniken!B33))</f>
        <v>#VALUE!</v>
      </c>
      <c r="D33" s="145"/>
      <c r="E33" s="146"/>
      <c r="F33" s="147" t="e">
        <f>IF(E33="Ja",_xlfn.XLOOKUP(_xlfn.XLOOKUP(_xlfn.XLOOKUP(B33,Nahkampfwaffen[Talent],Nahkampfwaffen[Komplexität]),Rechner!$A$17:$A$25,Rechner!$B$17:$B$25,,0,-1)-1,Rechner!$B$17:$B$25,Rechner!$A$17:$A$25),_xlfn.XLOOKUP(B33,Nahkampfwaffen[Talent],Nahkampfwaffen[Komplexität]))</f>
        <v>#N/A</v>
      </c>
      <c r="G33" s="148">
        <v>-2</v>
      </c>
      <c r="H33" s="146"/>
      <c r="I33" s="138">
        <f t="shared" si="0"/>
        <v>0</v>
      </c>
      <c r="J33" s="149"/>
      <c r="K33" s="149"/>
      <c r="L33" s="150"/>
      <c r="M33" s="151"/>
      <c r="N33" s="152"/>
      <c r="O33" s="152"/>
      <c r="P33" s="152"/>
      <c r="Q33" s="152"/>
      <c r="R33" s="152"/>
      <c r="S33" s="142">
        <f>MAX(Eigenschaften!$G$24,Eigenschaften!$G$27)+IF(Kampftechniken!E33="Ja",5,3)</f>
        <v>15</v>
      </c>
    </row>
    <row r="34" spans="2:19" ht="18.75" thickTop="1">
      <c r="H34" s="130"/>
    </row>
  </sheetData>
  <mergeCells count="2">
    <mergeCell ref="N2:Q2"/>
    <mergeCell ref="N22:Q22"/>
  </mergeCells>
  <phoneticPr fontId="9" type="noConversion"/>
  <dataValidations count="1">
    <dataValidation type="list" allowBlank="1" showInputMessage="1" showErrorMessage="1" sqref="N4:Q21 K4:K20" xr:uid="{2C5D25FA-A676-4BE3-B769-88B83EEB5C02}">
      <formula1>INDIRECT($B4)</formula1>
    </dataValidation>
  </dataValidations>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BE9EA05-14D4-40D8-86FF-82D8C9812E42}">
          <x14:formula1>
            <xm:f>Rechner!$A$1:$A$2</xm:f>
          </x14:formula1>
          <xm:sqref>E24:E33 E21</xm:sqref>
        </x14:dataValidation>
        <x14:dataValidation type="list" allowBlank="1" showInputMessage="1" showErrorMessage="1" xr:uid="{50320803-239C-4C34-8430-14CD54AD224C}">
          <x14:formula1>
            <xm:f>Rechner!$C$1:$C$2</xm:f>
          </x14:formula1>
          <xm:sqref>E4:E20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F784-406D-4D5B-923C-98A709C29FFE}">
  <sheetPr codeName="Tabelle5">
    <tabColor theme="5" tint="0.39997558519241921"/>
    <pageSetUpPr fitToPage="1"/>
  </sheetPr>
  <dimension ref="B2:BI107"/>
  <sheetViews>
    <sheetView zoomScale="102" zoomScaleNormal="100" workbookViewId="0">
      <selection activeCell="AN16" sqref="AN16"/>
    </sheetView>
  </sheetViews>
  <sheetFormatPr baseColWidth="10" defaultColWidth="11.44140625" defaultRowHeight="25.5"/>
  <cols>
    <col min="1" max="1" width="11.44140625" style="2"/>
    <col min="2" max="2" width="14.33203125" style="2" customWidth="1"/>
    <col min="3" max="3" width="11.44140625" style="2"/>
    <col min="4" max="4" width="13.44140625" style="2" bestFit="1" customWidth="1"/>
    <col min="5" max="5" width="6.33203125" style="2" customWidth="1"/>
    <col min="6" max="6" width="19.5546875" style="2" customWidth="1"/>
    <col min="7" max="7" width="13.44140625" style="2" bestFit="1" customWidth="1"/>
    <col min="8" max="8" width="6.44140625" style="2" bestFit="1" customWidth="1"/>
    <col min="9" max="9" width="8.88671875" style="2" bestFit="1" customWidth="1"/>
    <col min="10" max="10" width="22.21875" style="2" bestFit="1" customWidth="1"/>
    <col min="11" max="11" width="3.44140625" style="2" bestFit="1" customWidth="1"/>
    <col min="12" max="12" width="6.88671875" style="2" bestFit="1" customWidth="1"/>
    <col min="13" max="14" width="7.109375" style="2" bestFit="1" customWidth="1"/>
    <col min="15" max="15" width="22.33203125" style="2" customWidth="1"/>
    <col min="16" max="16" width="8.88671875" style="2" customWidth="1"/>
    <col min="17" max="17" width="8.6640625" style="2" customWidth="1"/>
    <col min="18" max="19" width="8.88671875" style="2" customWidth="1"/>
    <col min="20" max="20" width="11.44140625" style="2" customWidth="1"/>
    <col min="21" max="25" width="10.88671875" style="2" customWidth="1"/>
    <col min="26" max="26" width="11.6640625" style="2" customWidth="1"/>
    <col min="27" max="29" width="11.44140625" style="2"/>
    <col min="30" max="30" width="68.109375" style="2" customWidth="1"/>
    <col min="31" max="34" width="11.44140625" style="2"/>
    <col min="35" max="35" width="15.6640625" style="2" customWidth="1"/>
    <col min="36" max="36" width="11.44140625" style="2"/>
    <col min="37" max="37" width="11.44140625" style="2" customWidth="1"/>
    <col min="38" max="38" width="11.5546875" style="2" customWidth="1"/>
    <col min="39" max="40" width="11.44140625" style="2" customWidth="1"/>
    <col min="41" max="16384" width="11.44140625" style="2"/>
  </cols>
  <sheetData>
    <row r="2" spans="2:61" ht="27" hidden="1" thickTop="1" thickBot="1">
      <c r="B2" s="8"/>
      <c r="C2" s="407" t="s">
        <v>1236</v>
      </c>
      <c r="D2" s="407"/>
      <c r="E2" s="407"/>
      <c r="F2" s="35">
        <f>ROUND(Eigenschaften!P26,0)</f>
        <v>8</v>
      </c>
      <c r="G2" s="407" t="s">
        <v>1237</v>
      </c>
      <c r="H2" s="407"/>
      <c r="I2" s="407"/>
      <c r="J2" s="35">
        <f>ROUND(Eigenschaften!P27,0)</f>
        <v>8</v>
      </c>
      <c r="K2" s="408" t="s">
        <v>1238</v>
      </c>
      <c r="L2" s="408"/>
      <c r="M2" s="408"/>
      <c r="N2" s="408"/>
      <c r="O2" s="35">
        <f>ROUND(Eigenschaften!P28,0)</f>
        <v>7</v>
      </c>
      <c r="P2" s="407" t="s">
        <v>1239</v>
      </c>
      <c r="Q2" s="407"/>
      <c r="R2" s="407"/>
      <c r="S2" s="35">
        <f>ROUND(Eigenschaften!P25,0)</f>
        <v>11</v>
      </c>
      <c r="T2" s="7"/>
    </row>
    <row r="3" spans="2:61">
      <c r="P3" s="416" t="s">
        <v>1240</v>
      </c>
      <c r="Q3" s="416"/>
      <c r="R3" s="416"/>
      <c r="S3" s="416"/>
      <c r="T3" s="416"/>
      <c r="U3" s="416"/>
      <c r="V3" s="416"/>
      <c r="W3" s="416"/>
      <c r="X3" s="416"/>
      <c r="Y3" s="416"/>
      <c r="Z3" s="416"/>
    </row>
    <row r="4" spans="2:61" ht="26.25" thickBot="1">
      <c r="B4" s="409" t="s">
        <v>1241</v>
      </c>
      <c r="C4" s="409"/>
      <c r="D4" s="409"/>
      <c r="E4" s="409"/>
      <c r="F4" s="409"/>
      <c r="G4" s="409"/>
      <c r="H4" s="409"/>
      <c r="I4" s="409"/>
      <c r="J4" s="409"/>
      <c r="K4" s="409"/>
      <c r="L4" s="409"/>
      <c r="M4" s="409"/>
      <c r="N4" s="409"/>
      <c r="O4" s="409"/>
      <c r="P4" s="409"/>
      <c r="Q4" s="409"/>
      <c r="R4" s="409"/>
      <c r="S4" s="409"/>
      <c r="T4" s="409"/>
    </row>
    <row r="5" spans="2:61" ht="26.25" thickBot="1">
      <c r="B5" s="193" t="s">
        <v>1242</v>
      </c>
      <c r="C5" s="309" t="b">
        <v>0</v>
      </c>
      <c r="D5" s="266"/>
      <c r="E5" s="266"/>
      <c r="F5" s="266"/>
      <c r="G5" s="266"/>
      <c r="H5" s="266"/>
      <c r="I5" s="266"/>
      <c r="J5" s="266"/>
      <c r="K5" s="266"/>
      <c r="L5" s="266"/>
      <c r="M5" s="266"/>
      <c r="N5" s="266"/>
      <c r="O5" s="266"/>
      <c r="P5" s="266"/>
      <c r="Q5" s="266"/>
      <c r="R5" s="266"/>
      <c r="S5" s="266"/>
      <c r="T5" s="266"/>
    </row>
    <row r="6" spans="2:61">
      <c r="B6" s="266"/>
      <c r="C6" s="266"/>
      <c r="D6" s="266"/>
      <c r="E6" s="266"/>
      <c r="F6" s="155" t="s">
        <v>1244</v>
      </c>
      <c r="G6" s="166">
        <f>IF(AND(F8=B13,F10=F8),MAX(S8,S10),IF(NOT(F8=F10),MAX(S8,S10)+MIN(S8,S10),"Diese Berechnung fehlt noch"))</f>
        <v>16</v>
      </c>
      <c r="J6" s="51" t="str">
        <f>IF($C$5="Ja","Automatische Finte +2","")</f>
        <v/>
      </c>
      <c r="K6" s="266"/>
      <c r="L6" s="266"/>
      <c r="M6" s="266"/>
      <c r="Q6" s="266"/>
      <c r="R6" s="266"/>
      <c r="S6" s="266"/>
      <c r="T6" s="266"/>
    </row>
    <row r="7" spans="2:61">
      <c r="C7" s="355" t="s">
        <v>1245</v>
      </c>
      <c r="D7" s="355"/>
      <c r="E7" s="355"/>
      <c r="F7" s="155" t="s">
        <v>91</v>
      </c>
      <c r="G7" s="155" t="s">
        <v>65</v>
      </c>
      <c r="H7" s="155" t="s">
        <v>70</v>
      </c>
      <c r="I7" s="155" t="s">
        <v>1246</v>
      </c>
      <c r="J7" s="355" t="s">
        <v>1247</v>
      </c>
      <c r="K7" s="355"/>
      <c r="L7" s="355"/>
      <c r="M7" s="355"/>
      <c r="N7" s="355"/>
      <c r="O7" s="355"/>
      <c r="P7" s="155" t="s">
        <v>1248</v>
      </c>
      <c r="Q7" s="155" t="s">
        <v>1249</v>
      </c>
      <c r="R7" s="155" t="s">
        <v>1250</v>
      </c>
      <c r="S7" s="155" t="s">
        <v>60</v>
      </c>
      <c r="T7" s="155"/>
      <c r="U7" s="155"/>
      <c r="V7" s="155"/>
      <c r="W7" s="155"/>
      <c r="X7" s="155"/>
      <c r="Y7" s="155"/>
      <c r="Z7" s="155"/>
      <c r="AA7" s="155" t="s">
        <v>1246</v>
      </c>
      <c r="AB7" s="155"/>
      <c r="AC7" s="155"/>
    </row>
    <row r="8" spans="2:61" ht="50.25" customHeight="1">
      <c r="C8" s="370" t="s">
        <v>1006</v>
      </c>
      <c r="D8" s="370"/>
      <c r="E8" s="370"/>
      <c r="F8" s="170" t="str">
        <f>IF(_xlfn.XMATCH(C8,B:B)&lt;27,$B$13,IF(_xlfn.XMATCH(C8,B:B)&lt;32,$B$30,$B$35))</f>
        <v>Nahkampfwaffe</v>
      </c>
      <c r="G8" s="171">
        <f ca="1">_xlfn.XLOOKUP(C8,B:B,Y:Y)</f>
        <v>15</v>
      </c>
      <c r="H8" s="171">
        <f ca="1">_xlfn.XLOOKUP(C8,B:B,Z:Z,0)+IF(F10=B30,Z31,0)</f>
        <v>13</v>
      </c>
      <c r="I8" s="171" t="str">
        <f>_xlfn.XLOOKUP(C8,B14:B20,AA14:AA20)</f>
        <v>1W6+2</v>
      </c>
      <c r="J8" s="414" t="str">
        <f>_xlfn.XLOOKUP(C8,$B$14:$B$20,$AD$14:$AD$20,"",0,1)</f>
        <v>Finte</v>
      </c>
      <c r="K8" s="415"/>
      <c r="L8" s="415"/>
      <c r="M8" s="415"/>
      <c r="N8" s="415"/>
      <c r="O8" s="415"/>
      <c r="P8" s="169"/>
      <c r="Q8" s="169"/>
      <c r="R8" s="169"/>
      <c r="S8" s="169">
        <f>_xlfn.XLOOKUP(C:C,B:B,AB:AB)</f>
        <v>16</v>
      </c>
      <c r="T8" s="169"/>
      <c r="U8" s="169"/>
      <c r="V8" s="169"/>
      <c r="W8" s="169"/>
      <c r="X8" s="169"/>
      <c r="Y8" s="169"/>
      <c r="Z8" s="169"/>
      <c r="AA8" s="87" t="str">
        <f>_xlfn.XLOOKUP(C8,B14:B20,AA14:AA20,"")</f>
        <v>1W6+2</v>
      </c>
      <c r="AB8" s="169"/>
      <c r="AC8" s="169"/>
    </row>
    <row r="9" spans="2:61">
      <c r="C9" s="355" t="s">
        <v>1251</v>
      </c>
      <c r="D9" s="355"/>
      <c r="E9" s="355"/>
      <c r="F9" s="155" t="s">
        <v>91</v>
      </c>
      <c r="G9" s="155" t="s">
        <v>65</v>
      </c>
      <c r="H9" s="155" t="s">
        <v>70</v>
      </c>
      <c r="I9" s="155" t="s">
        <v>1246</v>
      </c>
      <c r="K9" s="51"/>
      <c r="S9" s="51" t="s">
        <v>60</v>
      </c>
    </row>
    <row r="10" spans="2:61" ht="51.75" customHeight="1">
      <c r="C10" s="370"/>
      <c r="D10" s="370"/>
      <c r="E10" s="370"/>
      <c r="F10" s="170" t="str">
        <f>IF(C10="","",IF(_xlfn.XMATCH(C10,B:B)&lt;27,$B$13,IF(_xlfn.XMATCH(C10,B:B)&lt;32,$B$30,$B$35)))</f>
        <v/>
      </c>
      <c r="G10" s="171" t="str">
        <f>IF(F10=B13,_xlfn.XLOOKUP(C10,B:B,Y:Y),"")</f>
        <v/>
      </c>
      <c r="H10" s="171" t="str">
        <f>IF(OR(C10="",F10=B30),"",_xlfn.XLOOKUP(C10,B:B,Z:Z,0)+IF(F8=B30,Z33,0))</f>
        <v/>
      </c>
      <c r="I10" s="171" t="str">
        <f>IF(F10=B13,_xlfn.XLOOKUP(C10,B:B,AA:AA),"")</f>
        <v/>
      </c>
      <c r="J10" s="172" t="str">
        <f>_xlfn.XLOOKUP(C10,$B$14:$B$20,$AD$14:$AD$20,"",0,1)</f>
        <v/>
      </c>
      <c r="K10" s="173"/>
      <c r="L10" s="173"/>
      <c r="M10" s="173"/>
      <c r="N10" s="173"/>
      <c r="O10" s="173"/>
      <c r="P10" s="173"/>
      <c r="Q10" s="173"/>
      <c r="R10" s="173"/>
      <c r="S10" s="173">
        <f>_xlfn.XLOOKUP(C:C,B:B,AB:AB)</f>
        <v>0</v>
      </c>
      <c r="T10" s="173"/>
      <c r="U10" s="173"/>
      <c r="V10" s="173"/>
      <c r="W10" s="173"/>
      <c r="X10" s="173"/>
      <c r="Y10" s="173"/>
      <c r="Z10" s="173"/>
      <c r="AA10" s="173" t="str">
        <f>IF(F10=B13,_xlfn.XLOOKUP(C8,B14:B20,AA14:AA20,""),"")</f>
        <v/>
      </c>
      <c r="AB10" s="173"/>
      <c r="AC10" s="173"/>
    </row>
    <row r="11" spans="2:61">
      <c r="C11" s="257"/>
      <c r="D11" s="257"/>
      <c r="E11" s="257"/>
      <c r="F11" s="51"/>
      <c r="G11" s="51"/>
      <c r="H11" s="51"/>
      <c r="I11" s="51"/>
      <c r="J11" s="51"/>
      <c r="K11" s="51"/>
    </row>
    <row r="12" spans="2:61" ht="26.25" thickBot="1"/>
    <row r="13" spans="2:61" ht="27" thickTop="1" thickBot="1">
      <c r="B13" s="412" t="s">
        <v>1252</v>
      </c>
      <c r="C13" s="413"/>
      <c r="D13" s="413"/>
      <c r="E13" s="413"/>
      <c r="F13" s="267" t="s">
        <v>1253</v>
      </c>
      <c r="G13" s="267" t="s">
        <v>1254</v>
      </c>
      <c r="H13" s="267" t="s">
        <v>1255</v>
      </c>
      <c r="I13" s="267" t="s">
        <v>1256</v>
      </c>
      <c r="J13" s="267" t="s">
        <v>1257</v>
      </c>
      <c r="K13" s="267" t="s">
        <v>60</v>
      </c>
      <c r="L13" s="267" t="s">
        <v>1258</v>
      </c>
      <c r="M13" s="267" t="s">
        <v>1259</v>
      </c>
      <c r="N13" s="267" t="s">
        <v>1260</v>
      </c>
      <c r="O13" s="267" t="s">
        <v>1261</v>
      </c>
      <c r="P13" s="267" t="s">
        <v>1262</v>
      </c>
      <c r="Q13" s="267" t="s">
        <v>237</v>
      </c>
      <c r="R13" s="267" t="s">
        <v>1263</v>
      </c>
      <c r="S13" s="267" t="s">
        <v>1264</v>
      </c>
      <c r="T13" s="267" t="s">
        <v>1257</v>
      </c>
      <c r="U13" s="267" t="s">
        <v>1265</v>
      </c>
      <c r="V13" s="267" t="s">
        <v>1266</v>
      </c>
      <c r="W13" s="267" t="s">
        <v>1267</v>
      </c>
      <c r="X13" s="267" t="s">
        <v>242</v>
      </c>
      <c r="Y13" s="267" t="s">
        <v>65</v>
      </c>
      <c r="Z13" s="267" t="s">
        <v>70</v>
      </c>
      <c r="AA13" s="267" t="s">
        <v>1246</v>
      </c>
      <c r="AB13" s="267" t="s">
        <v>60</v>
      </c>
      <c r="AC13" s="279" t="s">
        <v>1268</v>
      </c>
      <c r="AD13" s="155" t="s">
        <v>1247</v>
      </c>
      <c r="AI13" s="66" t="s">
        <v>1269</v>
      </c>
      <c r="AJ13" s="275" t="s">
        <v>90</v>
      </c>
      <c r="AK13" s="275" t="s">
        <v>1270</v>
      </c>
      <c r="AL13" s="275" t="s">
        <v>1271</v>
      </c>
      <c r="AM13" s="275" t="s">
        <v>1272</v>
      </c>
      <c r="AN13" s="276" t="s">
        <v>96</v>
      </c>
      <c r="AO13" s="436" t="s">
        <v>1273</v>
      </c>
      <c r="AP13" s="437"/>
      <c r="AQ13" s="437"/>
      <c r="AR13" s="437"/>
      <c r="AS13" s="438"/>
      <c r="AT13"/>
      <c r="AY13" s="439" t="s">
        <v>1274</v>
      </c>
      <c r="AZ13" s="440"/>
      <c r="BA13" s="440"/>
      <c r="BB13" s="441"/>
      <c r="BC13" s="417" t="s">
        <v>1263</v>
      </c>
      <c r="BD13" s="418"/>
      <c r="BE13" s="281" t="s">
        <v>60</v>
      </c>
      <c r="BF13" s="281" t="s">
        <v>65</v>
      </c>
      <c r="BG13" s="281" t="s">
        <v>70</v>
      </c>
      <c r="BH13" s="417" t="s">
        <v>1275</v>
      </c>
      <c r="BI13" s="433"/>
    </row>
    <row r="14" spans="2:61">
      <c r="B14" s="410" t="s">
        <v>1010</v>
      </c>
      <c r="C14" s="411"/>
      <c r="D14" s="411"/>
      <c r="E14" s="411"/>
      <c r="F14" s="270" t="s">
        <v>1002</v>
      </c>
      <c r="G14" s="270" t="s">
        <v>1010</v>
      </c>
      <c r="H14" s="270" t="s">
        <v>1276</v>
      </c>
      <c r="I14" s="270">
        <v>12</v>
      </c>
      <c r="J14" s="270">
        <v>5</v>
      </c>
      <c r="K14" s="270">
        <v>0</v>
      </c>
      <c r="L14" s="270">
        <v>0</v>
      </c>
      <c r="M14" s="270">
        <v>-1</v>
      </c>
      <c r="N14" s="270">
        <v>1</v>
      </c>
      <c r="O14" s="270">
        <v>1</v>
      </c>
      <c r="P14" s="188">
        <f>IF(ISBLANK(F14),"",_xlfn.XLOOKUP(F14,Nahkampftalente,Kampftechniken!$G$4:$G$20))</f>
        <v>-1</v>
      </c>
      <c r="Q14" s="188">
        <f t="shared" ref="Q14:Q20" si="0">IF(ISBLANK(F14),"",IF(-$AP$17-P14&gt;0,0,-$AP$17-P14))</f>
        <v>0</v>
      </c>
      <c r="R14" s="188">
        <f>IF(ISBLANK(F14),"",ROUNDDOWN((MIN(30,Eigenschaften!$H$27)-(I14-_xlfn.XLOOKUP(G14,Nahkampfwaffen[Waffe],Nahkampfwaffen[Waffenmeister:TP])))/(J14-_xlfn.XLOOKUP(G14,Nahkampfwaffen[Waffe],Nahkampfwaffen[Waffenmeister:TP])),0))</f>
        <v>0</v>
      </c>
      <c r="S14" s="188">
        <f>IF(ISBLANK(F14),"",26-I14-_xlfn.XLOOKUP(G14,Nahkampfwaffen[Waffe],Nahkampfwaffen[Waffenmeister:INI],0))</f>
        <v>14</v>
      </c>
      <c r="T14" s="188">
        <f>IF(ISBLANK(F14),"",7-J14-_xlfn.XLOOKUP(G14,Nahkampfwaffen[Waffe],Nahkampfwaffen[Waffenmeister:INI],0))</f>
        <v>2</v>
      </c>
      <c r="U14" s="188">
        <f>IF(ISBLANK(F14),"",ROUNDDOWN((Eigenschaften!$H$25-S14)/T14,0))</f>
        <v>0</v>
      </c>
      <c r="V14" s="189">
        <f>IF(ISBLANK(F14),"",MAX(ROUNDDOWN((AB14-11)/10,0)))</f>
        <v>0</v>
      </c>
      <c r="W14" s="189">
        <f t="shared" ref="W14:W20" si="1">IF(ISBLANK(F14),"",O14+R14+IF($C$5="Ja",2,0))</f>
        <v>1</v>
      </c>
      <c r="X14" s="189" t="b">
        <f ca="1">IF(ISBLANK(F14),"",NOT(ISERROR(MATCH(G14,INDIRECT("Kampftechniken!L"&amp;_xlfn.XMATCH(F14,Kampftechniken!B:B)&amp;":O"&amp;_xlfn.XMATCH(F14,Kampftechniken!B:B)),0))))</f>
        <v>0</v>
      </c>
      <c r="Y14" s="190" cm="1">
        <f t="array" aca="1" ref="Y14" ca="1">IF(ISBLANK(F14),"",_xlfn.XLOOKUP(F14,Nahkampftalente,Kampftechniken!$I$4:$I$20+$F$2+L14+IF(X14,1,0))+ROUNDDOWN(Q14/2,0)+_xlfn.XLOOKUP(G14,Nahkampfwaffen[Waffe],Nahkampfwaffen[Waffenmeister: AT]))</f>
        <v>16</v>
      </c>
      <c r="Z14" s="190" cm="1">
        <f t="array" aca="1" ref="Z14" ca="1">IF(ISBLANK(F14),"",_xlfn.XLOOKUP(F14,Nahkampftalente,Kampftechniken!$J$4:$J$20+$J$2+M14+IF(X14,1,0))+ROUNDUP(Q14/2,0)+_xlfn.XLOOKUP(G14,Nahkampfwaffen[Waffe],Nahkampfwaffen[Waffenmeister: PA]))</f>
        <v>10</v>
      </c>
      <c r="AA14" s="190" t="str">
        <f t="shared" ref="AA14:AA20" si="2">IF(ISBLANK(F14),"",N14&amp;"W6"&amp;IF(W14&gt;0,"+","")&amp;W14)</f>
        <v>1W6+1</v>
      </c>
      <c r="AB14" s="190">
        <f>IF(ISBLANK(F14),"",U14+K14+$AK$29+_xlfn.XLOOKUP(G14,Nahkampfwaffen[Waffe],Nahkampfwaffen[Waffenmeister: INI]))</f>
        <v>16</v>
      </c>
      <c r="AC14" s="174"/>
      <c r="AD14" s="185" t="str">
        <f>_xlfn.XLOOKUP(G14,Nahkampfwaffen[Waffe],Nahkampfwaffen[Aktivierte Manöver],"",0,1)</f>
        <v>Finte</v>
      </c>
      <c r="AI14" s="60" t="s">
        <v>1407</v>
      </c>
      <c r="AJ14" s="313" t="b">
        <v>1</v>
      </c>
      <c r="AK14" s="313" t="b">
        <v>0</v>
      </c>
      <c r="AL14" s="61" t="b">
        <f t="shared" ref="AL14:AL19" si="3">IF(AND(AJ14=TRUE,AK14=TRUE),TRUE,FALSE)</f>
        <v>0</v>
      </c>
      <c r="AM14" s="61">
        <v>1</v>
      </c>
      <c r="AN14" s="62">
        <v>1</v>
      </c>
      <c r="AO14" s="69" t="s">
        <v>1277</v>
      </c>
      <c r="AP14" s="67" t="s">
        <v>1278</v>
      </c>
      <c r="AQ14" s="67" t="s">
        <v>1279</v>
      </c>
      <c r="AR14" s="67" t="s">
        <v>1280</v>
      </c>
      <c r="AS14" s="68" t="s">
        <v>1281</v>
      </c>
      <c r="AT14"/>
      <c r="AY14" s="402" t="s">
        <v>1170</v>
      </c>
      <c r="AZ14" s="403"/>
      <c r="BA14" s="403"/>
      <c r="BB14" s="404"/>
      <c r="BC14" s="429" t="s">
        <v>1282</v>
      </c>
      <c r="BD14" s="430"/>
      <c r="BE14" s="283">
        <v>0</v>
      </c>
      <c r="BF14" s="283"/>
      <c r="BG14" s="283"/>
      <c r="BH14" s="434"/>
      <c r="BI14" s="435"/>
    </row>
    <row r="15" spans="2:61" ht="26.25" thickBot="1">
      <c r="B15" s="405" t="s">
        <v>1006</v>
      </c>
      <c r="C15" s="406"/>
      <c r="D15" s="406"/>
      <c r="E15" s="406"/>
      <c r="F15" s="252" t="s">
        <v>1106</v>
      </c>
      <c r="G15" s="252" t="s">
        <v>1006</v>
      </c>
      <c r="H15" s="252" t="s">
        <v>1639</v>
      </c>
      <c r="I15" s="252">
        <v>11</v>
      </c>
      <c r="J15" s="252">
        <v>4</v>
      </c>
      <c r="K15" s="252">
        <v>0</v>
      </c>
      <c r="L15" s="252">
        <v>0</v>
      </c>
      <c r="M15" s="252">
        <v>-1</v>
      </c>
      <c r="N15" s="252">
        <v>1</v>
      </c>
      <c r="O15" s="252">
        <v>2</v>
      </c>
      <c r="P15" s="20">
        <f>IF(ISBLANK(F15),"",_xlfn.XLOOKUP(F15,Nahkampftalente,Kampftechniken!$G$4:$G$20))</f>
        <v>-2</v>
      </c>
      <c r="Q15" s="20">
        <f t="shared" si="0"/>
        <v>0</v>
      </c>
      <c r="R15" s="20">
        <f>IF(ISBLANK(F15),"",ROUNDDOWN((MIN(30,Eigenschaften!$H$27)-(I15-_xlfn.XLOOKUP(G15,Nahkampfwaffen[Waffe],Nahkampfwaffen[Waffenmeister:TP])))/(J15-_xlfn.XLOOKUP(G15,Nahkampfwaffen[Waffe],Nahkampfwaffen[Waffenmeister:TP])),0))</f>
        <v>0</v>
      </c>
      <c r="S15" s="20">
        <f>IF(ISBLANK(F15),"",26-I15-_xlfn.XLOOKUP(G15,Nahkampfwaffen[Waffe],Nahkampfwaffen[Waffenmeister:INI],0))</f>
        <v>15</v>
      </c>
      <c r="T15" s="20">
        <f>IF(ISBLANK(F15),"",7-J15-_xlfn.XLOOKUP(G15,Nahkampfwaffen[Waffe],Nahkampfwaffen[Waffenmeister:INI],0))</f>
        <v>3</v>
      </c>
      <c r="U15" s="20">
        <f>IF(ISBLANK(F15),"",ROUNDDOWN((Eigenschaften!$H$25-S15)/T15,0))</f>
        <v>0</v>
      </c>
      <c r="V15" s="21">
        <f t="shared" ref="V15:V20" si="4">IF(ISBLANK(F15),"",MAX(ROUNDDOWN((AB15-11)/10,0)*0))</f>
        <v>0</v>
      </c>
      <c r="W15" s="21">
        <f t="shared" si="1"/>
        <v>2</v>
      </c>
      <c r="X15" s="21" t="b">
        <f ca="1">IF(ISBLANK(F15),"",NOT(ISERROR(MATCH(G15,INDIRECT("Kampftechniken!L"&amp;_xlfn.XMATCH(F15,Kampftechniken!B:B)&amp;":O"&amp;_xlfn.XMATCH(F15,Kampftechniken!B:B)),0))))</f>
        <v>0</v>
      </c>
      <c r="Y15" s="87" cm="1">
        <f t="array" aca="1" ref="Y15" ca="1">IF(ISBLANK(F15),"",_xlfn.XLOOKUP(F15,Nahkampftalente,Kampftechniken!$I$4:$I$20+$F$2+L15+IF(X15,1,0))+ROUNDDOWN(Q15/2,0)+_xlfn.XLOOKUP(G15,Nahkampfwaffen[Waffe],Nahkampfwaffen[Waffenmeister: AT]))</f>
        <v>15</v>
      </c>
      <c r="Z15" s="87" cm="1">
        <f t="array" aca="1" ref="Z15" ca="1">IF(ISBLANK(F15),"",_xlfn.XLOOKUP(F15,Nahkampftalente,Kampftechniken!$J$4:$J$20+$J$2+M15+IF(X15,1,0))+ROUNDUP(Q15/2,0)+_xlfn.XLOOKUP(G15,Nahkampfwaffen[Waffe],Nahkampfwaffen[Waffenmeister: PA]))</f>
        <v>13</v>
      </c>
      <c r="AA15" s="87" t="str">
        <f t="shared" si="2"/>
        <v>1W6+2</v>
      </c>
      <c r="AB15" s="87">
        <f>IF(ISBLANK(F15),"",U15+K15+$AK$29+_xlfn.XLOOKUP(G15,Nahkampfwaffen[Waffe],Nahkampfwaffen[Waffenmeister: INI]))</f>
        <v>16</v>
      </c>
      <c r="AC15" s="256"/>
      <c r="AD15" s="185" t="str">
        <f>_xlfn.XLOOKUP(G15,Nahkampfwaffen[Waffe],Nahkampfwaffen[Aktivierte Manöver],"",0,1)</f>
        <v>Finte</v>
      </c>
      <c r="AH15"/>
      <c r="AI15" s="60" t="s">
        <v>280</v>
      </c>
      <c r="AJ15" s="313" t="b">
        <v>1</v>
      </c>
      <c r="AK15" s="313" t="b">
        <v>0</v>
      </c>
      <c r="AL15" s="61" t="b">
        <f t="shared" si="3"/>
        <v>0</v>
      </c>
      <c r="AM15" s="61">
        <v>4</v>
      </c>
      <c r="AN15" s="62">
        <v>0</v>
      </c>
      <c r="AO15" s="311" t="b">
        <v>0</v>
      </c>
      <c r="AP15" s="312" t="b">
        <v>0</v>
      </c>
      <c r="AQ15" s="312" t="b">
        <v>0</v>
      </c>
      <c r="AR15" s="312" t="b">
        <v>0</v>
      </c>
      <c r="AS15" s="77">
        <f>IF(AQ15=TRUE,-2,IF(AP15=TRUE,-1,IF(AO15=TRUE,IF(COUNTIF(AL14:AL19,TRUE)&gt;0,-1,0),0)))</f>
        <v>0</v>
      </c>
      <c r="AT15"/>
      <c r="AY15" s="402" t="s">
        <v>1168</v>
      </c>
      <c r="AZ15" s="403"/>
      <c r="BA15" s="403"/>
      <c r="BB15" s="404"/>
      <c r="BC15" s="429" t="s">
        <v>1282</v>
      </c>
      <c r="BD15" s="430"/>
      <c r="BE15" s="283">
        <v>0</v>
      </c>
      <c r="BF15" s="283"/>
      <c r="BG15" s="283"/>
      <c r="BH15" s="434"/>
      <c r="BI15" s="435"/>
    </row>
    <row r="16" spans="2:61">
      <c r="B16" s="405"/>
      <c r="C16" s="406"/>
      <c r="D16" s="406"/>
      <c r="E16" s="406"/>
      <c r="F16" s="252"/>
      <c r="G16" s="252"/>
      <c r="H16" s="252"/>
      <c r="I16" s="252"/>
      <c r="J16" s="252"/>
      <c r="K16" s="252"/>
      <c r="L16" s="252"/>
      <c r="M16" s="252"/>
      <c r="N16" s="252"/>
      <c r="O16" s="252"/>
      <c r="P16" s="20" t="str">
        <f>IF(ISBLANK(F16),"",_xlfn.XLOOKUP(F16,Nahkampftalente,Kampftechniken!$G$4:$G$20))</f>
        <v/>
      </c>
      <c r="Q16" s="20" t="str">
        <f t="shared" si="0"/>
        <v/>
      </c>
      <c r="R16" s="20" t="str">
        <f>IF(ISBLANK(F16),"",ROUNDDOWN((MIN(30,Eigenschaften!$H$27)-(I16-_xlfn.XLOOKUP(G16,Nahkampfwaffen[Waffe],Nahkampfwaffen[Waffenmeister:TP])))/(J16-_xlfn.XLOOKUP(G16,Nahkampfwaffen[Waffe],Nahkampfwaffen[Waffenmeister:TP])),0))</f>
        <v/>
      </c>
      <c r="S16" s="20" t="str">
        <f>IF(ISBLANK(F16),"",26-I16-_xlfn.XLOOKUP(G16,Nahkampfwaffen[Waffe],Nahkampfwaffen[Waffenmeister:INI],0))</f>
        <v/>
      </c>
      <c r="T16" s="20" t="str">
        <f>IF(ISBLANK(F16),"",7-J16-_xlfn.XLOOKUP(G16,Nahkampfwaffen[Waffe],Nahkampfwaffen[Waffenmeister:INI],0))</f>
        <v/>
      </c>
      <c r="U16" s="20" t="str">
        <f>IF(ISBLANK(F16),"",ROUNDDOWN((Eigenschaften!$H$25-S16)/T16,0))</f>
        <v/>
      </c>
      <c r="V16" s="21" t="str">
        <f t="shared" si="4"/>
        <v/>
      </c>
      <c r="W16" s="21" t="str">
        <f t="shared" si="1"/>
        <v/>
      </c>
      <c r="X16" s="21" t="str">
        <f ca="1">IF(ISBLANK(F16),"",NOT(ISERROR(MATCH(G16,INDIRECT("Kampftechniken!L"&amp;_xlfn.XMATCH(F16,Kampftechniken!B:B)&amp;":O"&amp;_xlfn.XMATCH(F16,Kampftechniken!B:B)),0))))</f>
        <v/>
      </c>
      <c r="Y16" s="87" t="str" cm="1">
        <f t="array" ref="Y16">IF(ISBLANK(F16),"",_xlfn.XLOOKUP(F16,Nahkampftalente,Kampftechniken!$I$4:$I$20+$F$2+L16+IF(X16,1,0))+ROUNDDOWN(Q16/2,0)+_xlfn.XLOOKUP(G16,Nahkampfwaffen[Waffe],Nahkampfwaffen[Waffenmeister: AT]))</f>
        <v/>
      </c>
      <c r="Z16" s="87" t="str" cm="1">
        <f t="array" ref="Z16">IF(ISBLANK(F16),"",_xlfn.XLOOKUP(F16,Nahkampftalente,Kampftechniken!$J$4:$J$20+$J$2+M16+IF(X16,1,0))+ROUNDUP(Q16/2,0)+_xlfn.XLOOKUP(G16,Nahkampfwaffen[Waffe],Nahkampfwaffen[Waffenmeister: PA]))</f>
        <v/>
      </c>
      <c r="AA16" s="87" t="str">
        <f t="shared" si="2"/>
        <v/>
      </c>
      <c r="AB16" s="87" t="str">
        <f>IF(ISBLANK(F16),"",U16+K16+$AK$29+_xlfn.XLOOKUP(G16,Nahkampfwaffen[Waffe],Nahkampfwaffen[Waffenmeister: INI]))</f>
        <v/>
      </c>
      <c r="AC16" s="256"/>
      <c r="AD16" s="185" t="str">
        <f>_xlfn.XLOOKUP(G16,Nahkampfwaffen[Waffe],Nahkampfwaffen[Aktivierte Manöver],"",0,1)</f>
        <v/>
      </c>
      <c r="AH16"/>
      <c r="AI16" s="60"/>
      <c r="AJ16" s="313" t="b">
        <v>0</v>
      </c>
      <c r="AK16" s="313" t="b">
        <v>0</v>
      </c>
      <c r="AL16" s="61" t="b">
        <f t="shared" si="3"/>
        <v>0</v>
      </c>
      <c r="AM16" s="61"/>
      <c r="AN16" s="62"/>
      <c r="AO16" s="71" t="s">
        <v>1283</v>
      </c>
      <c r="AP16" s="72">
        <f>AM20+SUMIF(AJ14:AJ19,TRUE,AM14:AM19)</f>
        <v>5</v>
      </c>
      <c r="AQ16" s="72" t="s">
        <v>1284</v>
      </c>
      <c r="AR16" s="72">
        <f>AN20+SUMIF(AJ14:AJ19,TRUE,AN14:AN19)+AS15</f>
        <v>1</v>
      </c>
      <c r="AS16" s="75"/>
      <c r="AT16"/>
      <c r="AY16" s="443" t="s">
        <v>1285</v>
      </c>
      <c r="AZ16" s="444"/>
      <c r="BA16" s="444"/>
      <c r="BB16" s="444"/>
      <c r="BC16" s="444"/>
      <c r="BD16" s="444"/>
      <c r="BE16" s="444"/>
      <c r="BF16" s="444"/>
      <c r="BG16" s="444"/>
      <c r="BH16" s="444"/>
      <c r="BI16" s="445"/>
    </row>
    <row r="17" spans="2:61" ht="26.25" thickBot="1">
      <c r="B17" s="405"/>
      <c r="C17" s="406"/>
      <c r="D17" s="406"/>
      <c r="E17" s="406"/>
      <c r="F17" s="252"/>
      <c r="G17" s="252"/>
      <c r="H17" s="252"/>
      <c r="I17" s="252"/>
      <c r="J17" s="252"/>
      <c r="K17" s="252"/>
      <c r="L17" s="252"/>
      <c r="M17" s="252"/>
      <c r="N17" s="252"/>
      <c r="O17" s="252"/>
      <c r="P17" s="20" t="str">
        <f>IF(ISBLANK(F17),"",_xlfn.XLOOKUP(F17,Nahkampftalente,Kampftechniken!$G$4:$G$20))</f>
        <v/>
      </c>
      <c r="Q17" s="20" t="str">
        <f t="shared" si="0"/>
        <v/>
      </c>
      <c r="R17" s="20" t="str">
        <f>IF(ISBLANK(F17),"",ROUNDDOWN((MIN(30,Eigenschaften!$H$27)-(I17-_xlfn.XLOOKUP(G17,Nahkampfwaffen[Waffe],Nahkampfwaffen[Waffenmeister:TP])))/(J17-_xlfn.XLOOKUP(G17,Nahkampfwaffen[Waffe],Nahkampfwaffen[Waffenmeister:TP])),0))</f>
        <v/>
      </c>
      <c r="S17" s="20" t="str">
        <f>IF(ISBLANK(F17),"",26-I17-_xlfn.XLOOKUP(G17,Nahkampfwaffen[Waffe],Nahkampfwaffen[Waffenmeister:INI],0))</f>
        <v/>
      </c>
      <c r="T17" s="20" t="str">
        <f>IF(ISBLANK(F17),"",7-J17-_xlfn.XLOOKUP(G17,Nahkampfwaffen[Waffe],Nahkampfwaffen[Waffenmeister:INI],0))</f>
        <v/>
      </c>
      <c r="U17" s="20" t="str">
        <f>IF(ISBLANK(F17),"",ROUNDDOWN((Eigenschaften!$H$25-S17)/T17,0))</f>
        <v/>
      </c>
      <c r="V17" s="21" t="str">
        <f t="shared" si="4"/>
        <v/>
      </c>
      <c r="W17" s="21" t="str">
        <f t="shared" si="1"/>
        <v/>
      </c>
      <c r="X17" s="21" t="str">
        <f ca="1">IF(ISBLANK(F17),"",NOT(ISERROR(MATCH(G17,INDIRECT("Kampftechniken!L"&amp;_xlfn.XMATCH(F17,Kampftechniken!B:B)&amp;":O"&amp;_xlfn.XMATCH(F17,Kampftechniken!B:B)),0))))</f>
        <v/>
      </c>
      <c r="Y17" s="87" t="str" cm="1">
        <f t="array" ref="Y17">IF(ISBLANK(F17),"",_xlfn.XLOOKUP(F17,Nahkampftalente,Kampftechniken!$I$4:$I$20+$F$2+L17+IF(X17,1,0))+ROUNDDOWN(Q17/2,0)+_xlfn.XLOOKUP(G17,Nahkampfwaffen[Waffe],Nahkampfwaffen[Waffenmeister: AT]))</f>
        <v/>
      </c>
      <c r="Z17" s="87" t="str" cm="1">
        <f t="array" ref="Z17">IF(ISBLANK(F17),"",_xlfn.XLOOKUP(F17,Nahkampftalente,Kampftechniken!$J$4:$J$20+$J$2+M17+IF(X17,1,0))+ROUNDUP(Q17/2,0)+_xlfn.XLOOKUP(G17,Nahkampfwaffen[Waffe],Nahkampfwaffen[Waffenmeister: PA]))</f>
        <v/>
      </c>
      <c r="AA17" s="87" t="str">
        <f t="shared" si="2"/>
        <v/>
      </c>
      <c r="AB17" s="87" t="str">
        <f>IF(ISBLANK(F17),"",U17+K17+$AK$29+_xlfn.XLOOKUP(G17,Nahkampfwaffen[Waffe],Nahkampfwaffen[Waffenmeister: INI]))</f>
        <v/>
      </c>
      <c r="AC17" s="256"/>
      <c r="AD17" s="185" t="str">
        <f>_xlfn.XLOOKUP(G17,Nahkampfwaffen[Waffe],Nahkampfwaffen[Aktivierte Manöver],"",0,1)</f>
        <v/>
      </c>
      <c r="AH17"/>
      <c r="AI17" s="60"/>
      <c r="AJ17" s="313" t="b">
        <v>0</v>
      </c>
      <c r="AK17" s="313" t="b">
        <v>0</v>
      </c>
      <c r="AL17" s="61" t="b">
        <f t="shared" si="3"/>
        <v>0</v>
      </c>
      <c r="AM17" s="61"/>
      <c r="AN17" s="62"/>
      <c r="AO17" s="73" t="s">
        <v>1286</v>
      </c>
      <c r="AP17" s="74">
        <f>AR16</f>
        <v>1</v>
      </c>
      <c r="AQ17" s="59"/>
      <c r="AR17" s="59"/>
      <c r="AS17" s="76"/>
      <c r="AT17"/>
      <c r="AY17" s="420"/>
      <c r="AZ17" s="421"/>
      <c r="BA17" s="421"/>
      <c r="BB17" s="421"/>
      <c r="BC17" s="421"/>
      <c r="BD17" s="421"/>
      <c r="BE17" s="421"/>
      <c r="BF17" s="421"/>
      <c r="BG17" s="421"/>
      <c r="BH17" s="421"/>
      <c r="BI17" s="422"/>
    </row>
    <row r="18" spans="2:61" ht="24.4" customHeight="1">
      <c r="B18" s="405"/>
      <c r="C18" s="406"/>
      <c r="D18" s="406"/>
      <c r="E18" s="406"/>
      <c r="F18" s="252"/>
      <c r="G18" s="252"/>
      <c r="H18" s="252"/>
      <c r="I18" s="252"/>
      <c r="J18" s="252"/>
      <c r="K18" s="252"/>
      <c r="L18" s="252"/>
      <c r="M18" s="252"/>
      <c r="N18" s="252"/>
      <c r="O18" s="252"/>
      <c r="P18" s="20" t="str">
        <f>IF(ISBLANK(F18),"",_xlfn.XLOOKUP(F18,Nahkampftalente,Kampftechniken!$G$4:$G$20))</f>
        <v/>
      </c>
      <c r="Q18" s="20" t="str">
        <f t="shared" si="0"/>
        <v/>
      </c>
      <c r="R18" s="20" t="str">
        <f>IF(ISBLANK(F18),"",ROUNDDOWN((MIN(30,Eigenschaften!$H$27)-(I18-_xlfn.XLOOKUP(G18,Nahkampfwaffen[Waffe],Nahkampfwaffen[Waffenmeister:TP])))/(J18-_xlfn.XLOOKUP(G18,Nahkampfwaffen[Waffe],Nahkampfwaffen[Waffenmeister:TP])),0))</f>
        <v/>
      </c>
      <c r="S18" s="20" t="str">
        <f>IF(ISBLANK(F18),"",26-I18-_xlfn.XLOOKUP(G18,Nahkampfwaffen[Waffe],Nahkampfwaffen[Waffenmeister:INI],0))</f>
        <v/>
      </c>
      <c r="T18" s="20" t="str">
        <f>IF(ISBLANK(F18),"",7-J18-_xlfn.XLOOKUP(G18,Nahkampfwaffen[Waffe],Nahkampfwaffen[Waffenmeister:INI],0))</f>
        <v/>
      </c>
      <c r="U18" s="20" t="str">
        <f>IF(ISBLANK(F18),"",ROUNDDOWN((Eigenschaften!$H$25-S18)/T18,0))</f>
        <v/>
      </c>
      <c r="V18" s="21" t="str">
        <f t="shared" si="4"/>
        <v/>
      </c>
      <c r="W18" s="21" t="str">
        <f t="shared" si="1"/>
        <v/>
      </c>
      <c r="X18" s="21" t="str">
        <f ca="1">IF(ISBLANK(F18),"",NOT(ISERROR(MATCH(G18,INDIRECT("Kampftechniken!L"&amp;_xlfn.XMATCH(F18,Kampftechniken!B:B)&amp;":O"&amp;_xlfn.XMATCH(F18,Kampftechniken!B:B)),0))))</f>
        <v/>
      </c>
      <c r="Y18" s="87" t="str" cm="1">
        <f t="array" ref="Y18">IF(ISBLANK(F18),"",_xlfn.XLOOKUP(F18,Nahkampftalente,Kampftechniken!$I$4:$I$20+$F$2+L18+IF(X18,1,0))+ROUNDDOWN(Q18/2,0)+_xlfn.XLOOKUP(G18,Nahkampfwaffen[Waffe],Nahkampfwaffen[Waffenmeister: AT]))</f>
        <v/>
      </c>
      <c r="Z18" s="87" t="str" cm="1">
        <f t="array" ref="Z18">IF(ISBLANK(F18),"",_xlfn.XLOOKUP(F18,Nahkampftalente,Kampftechniken!$J$4:$J$20+$J$2+M18+IF(X18,1,0))+ROUNDUP(Q18/2,0)+_xlfn.XLOOKUP(G18,Nahkampfwaffen[Waffe],Nahkampfwaffen[Waffenmeister: PA]))</f>
        <v/>
      </c>
      <c r="AA18" s="87" t="str">
        <f t="shared" si="2"/>
        <v/>
      </c>
      <c r="AB18" s="87" t="str">
        <f>IF(ISBLANK(F18),"",U18+K18+$AK$29+_xlfn.XLOOKUP(G18,Nahkampfwaffen[Waffe],Nahkampfwaffen[Waffenmeister: INI]))</f>
        <v/>
      </c>
      <c r="AC18" s="256"/>
      <c r="AD18" s="185" t="str">
        <f>_xlfn.XLOOKUP(G18,Nahkampfwaffen[Waffe],Nahkampfwaffen[Aktivierte Manöver],"",0,1)</f>
        <v/>
      </c>
      <c r="AH18"/>
      <c r="AI18" s="60"/>
      <c r="AJ18" s="313" t="b">
        <v>0</v>
      </c>
      <c r="AK18" s="313" t="b">
        <v>0</v>
      </c>
      <c r="AL18" s="61" t="b">
        <f t="shared" si="3"/>
        <v>0</v>
      </c>
      <c r="AM18" s="61"/>
      <c r="AN18" s="62"/>
      <c r="AO18"/>
      <c r="AP18"/>
      <c r="AQ18"/>
      <c r="AT18"/>
      <c r="AY18" s="423"/>
      <c r="AZ18" s="424"/>
      <c r="BA18" s="424"/>
      <c r="BB18" s="424"/>
      <c r="BC18" s="424"/>
      <c r="BD18" s="424"/>
      <c r="BE18" s="424"/>
      <c r="BF18" s="424"/>
      <c r="BG18" s="424"/>
      <c r="BH18" s="424"/>
      <c r="BI18" s="425"/>
    </row>
    <row r="19" spans="2:61" ht="26.25" thickBot="1">
      <c r="B19" s="405"/>
      <c r="C19" s="406"/>
      <c r="D19" s="406"/>
      <c r="E19" s="406"/>
      <c r="F19" s="252"/>
      <c r="G19" s="252"/>
      <c r="H19" s="252"/>
      <c r="I19" s="252"/>
      <c r="J19" s="252"/>
      <c r="K19" s="252"/>
      <c r="L19" s="252"/>
      <c r="M19" s="252"/>
      <c r="N19" s="252"/>
      <c r="O19" s="252"/>
      <c r="P19" s="20" t="str">
        <f>IF(ISBLANK(F19),"",_xlfn.XLOOKUP(F19,Nahkampftalente,Kampftechniken!$G$4:$G$20))</f>
        <v/>
      </c>
      <c r="Q19" s="20" t="str">
        <f t="shared" si="0"/>
        <v/>
      </c>
      <c r="R19" s="20" t="str">
        <f>IF(ISBLANK(F19),"",ROUNDDOWN((MIN(30,Eigenschaften!$H$27)-(I19-_xlfn.XLOOKUP(G19,Nahkampfwaffen[Waffe],Nahkampfwaffen[Waffenmeister:TP])))/(J19-_xlfn.XLOOKUP(G19,Nahkampfwaffen[Waffe],Nahkampfwaffen[Waffenmeister:TP])),0))</f>
        <v/>
      </c>
      <c r="S19" s="20" t="str">
        <f>IF(ISBLANK(F19),"",26-I19-_xlfn.XLOOKUP(G19,Nahkampfwaffen[Waffe],Nahkampfwaffen[Waffenmeister:INI],0))</f>
        <v/>
      </c>
      <c r="T19" s="20" t="str">
        <f>IF(ISBLANK(F19),"",7-J19-_xlfn.XLOOKUP(G19,Nahkampfwaffen[Waffe],Nahkampfwaffen[Waffenmeister:INI],0))</f>
        <v/>
      </c>
      <c r="U19" s="20" t="str">
        <f>IF(ISBLANK(F19),"",ROUNDDOWN((Eigenschaften!$H$25-S19)/T19,0))</f>
        <v/>
      </c>
      <c r="V19" s="21" t="str">
        <f t="shared" si="4"/>
        <v/>
      </c>
      <c r="W19" s="21" t="str">
        <f t="shared" si="1"/>
        <v/>
      </c>
      <c r="X19" s="21" t="str">
        <f ca="1">IF(ISBLANK(F19),"",NOT(ISERROR(MATCH(G19,INDIRECT("Kampftechniken!L"&amp;_xlfn.XMATCH(F19,Kampftechniken!B:B)&amp;":O"&amp;_xlfn.XMATCH(F19,Kampftechniken!B:B)),0))))</f>
        <v/>
      </c>
      <c r="Y19" s="87" t="str" cm="1">
        <f t="array" ref="Y19">IF(ISBLANK(F19),"",_xlfn.XLOOKUP(F19,Nahkampftalente,Kampftechniken!$I$4:$I$20+$F$2+L19+IF(X19,1,0))+ROUNDDOWN(Q19/2,0)+_xlfn.XLOOKUP(G19,Nahkampfwaffen[Waffe],Nahkampfwaffen[Waffenmeister: AT]))</f>
        <v/>
      </c>
      <c r="Z19" s="87" t="str" cm="1">
        <f t="array" ref="Z19">IF(ISBLANK(F19),"",_xlfn.XLOOKUP(F19,Nahkampftalente,Kampftechniken!$J$4:$J$20+$J$2+M19+IF(X19,1,0))+ROUNDUP(Q19/2,0)+_xlfn.XLOOKUP(G19,Nahkampfwaffen[Waffe],Nahkampfwaffen[Waffenmeister: PA]))</f>
        <v/>
      </c>
      <c r="AA19" s="87" t="str">
        <f t="shared" si="2"/>
        <v/>
      </c>
      <c r="AB19" s="87" t="str">
        <f>IF(ISBLANK(F19),"",U19+K19+$AK$29+_xlfn.XLOOKUP(G19,Nahkampfwaffen[Waffe],Nahkampfwaffen[Waffenmeister: INI]))</f>
        <v/>
      </c>
      <c r="AC19" s="186"/>
      <c r="AD19" s="185" t="str">
        <f>_xlfn.XLOOKUP(G19,Nahkampfwaffen[Waffe],Nahkampfwaffen[Aktivierte Manöver],"",0,1)</f>
        <v/>
      </c>
      <c r="AH19"/>
      <c r="AI19" s="63"/>
      <c r="AJ19" s="314" t="b">
        <v>0</v>
      </c>
      <c r="AK19" s="314" t="b">
        <v>0</v>
      </c>
      <c r="AL19" s="61" t="b">
        <f t="shared" si="3"/>
        <v>0</v>
      </c>
      <c r="AM19" s="64"/>
      <c r="AN19" s="65"/>
      <c r="AO19"/>
      <c r="AP19"/>
      <c r="AQ19"/>
      <c r="AR19"/>
      <c r="AS19"/>
      <c r="AT19"/>
      <c r="AY19" s="423"/>
      <c r="AZ19" s="424"/>
      <c r="BA19" s="424"/>
      <c r="BB19" s="424"/>
      <c r="BC19" s="424"/>
      <c r="BD19" s="424"/>
      <c r="BE19" s="424"/>
      <c r="BF19" s="424"/>
      <c r="BG19" s="424"/>
      <c r="BH19" s="424"/>
      <c r="BI19" s="425"/>
    </row>
    <row r="20" spans="2:61" ht="26.25" thickBot="1">
      <c r="B20" s="431"/>
      <c r="C20" s="432"/>
      <c r="D20" s="432"/>
      <c r="E20" s="432"/>
      <c r="F20" s="254"/>
      <c r="G20" s="254"/>
      <c r="H20" s="254"/>
      <c r="I20" s="254"/>
      <c r="J20" s="254"/>
      <c r="K20" s="254"/>
      <c r="L20" s="254"/>
      <c r="M20" s="254"/>
      <c r="N20" s="254"/>
      <c r="O20" s="254"/>
      <c r="P20" s="248" t="str">
        <f>IF(ISBLANK(F20),"",_xlfn.XLOOKUP(F20,Nahkampftalente,Kampftechniken!$G$4:$G$20))</f>
        <v/>
      </c>
      <c r="Q20" s="248" t="str">
        <f t="shared" si="0"/>
        <v/>
      </c>
      <c r="R20" s="248" t="str">
        <f>IF(ISBLANK(F20),"",ROUNDDOWN((MIN(30,Eigenschaften!$H$27)-(I20-_xlfn.XLOOKUP(G20,Nahkampfwaffen[Waffe],Nahkampfwaffen[Waffenmeister:TP])))/(J20-_xlfn.XLOOKUP(G20,Nahkampfwaffen[Waffe],Nahkampfwaffen[Waffenmeister:TP])),0))</f>
        <v/>
      </c>
      <c r="S20" s="248" t="str">
        <f>IF(ISBLANK(F20),"",26-I20-_xlfn.XLOOKUP(G20,Nahkampfwaffen[Waffe],Nahkampfwaffen[Waffenmeister:INI],0))</f>
        <v/>
      </c>
      <c r="T20" s="248" t="str">
        <f>IF(ISBLANK(F20),"",7-J20-_xlfn.XLOOKUP(G20,Nahkampfwaffen[Waffe],Nahkampfwaffen[Waffenmeister:INI],0))</f>
        <v/>
      </c>
      <c r="U20" s="248" t="str">
        <f>IF(ISBLANK(F20),"",ROUNDDOWN((Eigenschaften!$H$25-S20)/T20,0))</f>
        <v/>
      </c>
      <c r="V20" s="191" t="str">
        <f t="shared" si="4"/>
        <v/>
      </c>
      <c r="W20" s="191" t="str">
        <f t="shared" si="1"/>
        <v/>
      </c>
      <c r="X20" s="191" t="str">
        <f ca="1">IF(ISBLANK(F20),"",NOT(ISERROR(MATCH(G20,INDIRECT("Kampftechniken!L"&amp;_xlfn.XMATCH(F20,Kampftechniken!B:B)&amp;":O"&amp;_xlfn.XMATCH(F20,Kampftechniken!B:B)),0))))</f>
        <v/>
      </c>
      <c r="Y20" s="192" t="str" cm="1">
        <f t="array" ref="Y20">IF(ISBLANK(F20),"",_xlfn.XLOOKUP(F20,Nahkampftalente,Kampftechniken!$I$4:$I$20+$F$2+L20+IF(X20,1,0))+ROUNDDOWN(Q20/2,0)+_xlfn.XLOOKUP(G20,Nahkampfwaffen[Waffe],Nahkampfwaffen[Waffenmeister: AT]))</f>
        <v/>
      </c>
      <c r="Z20" s="192" t="str" cm="1">
        <f t="array" ref="Z20">IF(ISBLANK(F20),"",_xlfn.XLOOKUP(F20,Nahkampftalente,Kampftechniken!$J$4:$J$20+$J$2+M20+IF(X20,1,0))+ROUNDUP(Q20/2,0)+_xlfn.XLOOKUP(G20,Nahkampfwaffen[Waffe],Nahkampfwaffen[Waffenmeister: PA]))</f>
        <v/>
      </c>
      <c r="AA20" s="192" t="str">
        <f t="shared" si="2"/>
        <v/>
      </c>
      <c r="AB20" s="192" t="str">
        <f>IF(ISBLANK(F20),"",U20+K20+$AK$29+_xlfn.XLOOKUP(G20,Nahkampfwaffen[Waffe],Nahkampfwaffen[Waffenmeister: INI]))</f>
        <v/>
      </c>
      <c r="AC20" s="187"/>
      <c r="AD20" s="185" t="str">
        <f>_xlfn.XLOOKUP(G20,Nahkampfwaffen[Waffe],Nahkampfwaffen[Aktivierte Manöver],"",0,1)</f>
        <v/>
      </c>
      <c r="AI20"/>
      <c r="AJ20"/>
      <c r="AK20" s="70" t="s">
        <v>240</v>
      </c>
      <c r="AL20" s="84"/>
      <c r="AM20" s="85">
        <v>0</v>
      </c>
      <c r="AN20" s="86">
        <v>0</v>
      </c>
      <c r="AO20"/>
      <c r="AP20"/>
      <c r="AQ20"/>
      <c r="AR20"/>
      <c r="AS20"/>
      <c r="AT20"/>
      <c r="AY20" s="423"/>
      <c r="AZ20" s="424"/>
      <c r="BA20" s="424"/>
      <c r="BB20" s="424"/>
      <c r="BC20" s="424"/>
      <c r="BD20" s="424"/>
      <c r="BE20" s="424"/>
      <c r="BF20" s="424"/>
      <c r="BG20" s="424"/>
      <c r="BH20" s="424"/>
      <c r="BI20" s="425"/>
    </row>
    <row r="21" spans="2:61" ht="26.25" thickBot="1">
      <c r="B21" s="372" t="s">
        <v>1287</v>
      </c>
      <c r="C21" s="355"/>
      <c r="D21" s="355"/>
      <c r="E21" s="355"/>
      <c r="F21" s="355"/>
      <c r="G21" s="355"/>
      <c r="H21" s="355"/>
      <c r="I21" s="355"/>
      <c r="J21" s="355"/>
      <c r="K21" s="355"/>
      <c r="L21" s="355"/>
      <c r="M21" s="355"/>
      <c r="N21" s="355"/>
      <c r="O21" s="355"/>
      <c r="P21" s="355"/>
      <c r="Q21" s="355"/>
      <c r="R21" s="355"/>
      <c r="S21" s="355"/>
      <c r="T21" s="355"/>
      <c r="U21" s="355"/>
      <c r="V21" s="355"/>
      <c r="W21" s="355"/>
      <c r="X21" s="355"/>
      <c r="Y21" s="355"/>
      <c r="Z21" s="355"/>
      <c r="AA21" s="355"/>
      <c r="AB21" s="355"/>
      <c r="AC21" s="373"/>
      <c r="AD21" s="284"/>
      <c r="AH21" s="262"/>
      <c r="AI21" s="262"/>
      <c r="AJ21" s="262"/>
      <c r="AK21" s="262"/>
      <c r="AL21" s="262"/>
      <c r="AM21" s="262"/>
      <c r="AN21" s="262"/>
      <c r="AO21" s="262"/>
      <c r="AP21" s="262"/>
      <c r="AQ21" s="262"/>
      <c r="AR21" s="262"/>
      <c r="AY21" s="423"/>
      <c r="AZ21" s="424"/>
      <c r="BA21" s="424"/>
      <c r="BB21" s="424"/>
      <c r="BC21" s="424"/>
      <c r="BD21" s="424"/>
      <c r="BE21" s="424"/>
      <c r="BF21" s="424"/>
      <c r="BG21" s="424"/>
      <c r="BH21" s="424"/>
      <c r="BI21" s="425"/>
    </row>
    <row r="22" spans="2:61" ht="26.25" thickBot="1">
      <c r="B22" s="442" t="s">
        <v>1288</v>
      </c>
      <c r="C22" s="370"/>
      <c r="D22" s="370"/>
      <c r="E22" s="370"/>
      <c r="F22" s="370"/>
      <c r="G22" s="370"/>
      <c r="H22" s="370"/>
      <c r="I22" s="370"/>
      <c r="J22" s="370"/>
      <c r="K22" s="370"/>
      <c r="L22" s="370"/>
      <c r="M22" s="370"/>
      <c r="N22" s="370"/>
      <c r="O22" s="370"/>
      <c r="P22" s="370"/>
      <c r="Q22" s="370"/>
      <c r="R22" s="370"/>
      <c r="S22" s="370"/>
      <c r="T22" s="370"/>
      <c r="U22" s="370"/>
      <c r="V22" s="370"/>
      <c r="W22" s="370"/>
      <c r="X22" s="370"/>
      <c r="Y22" s="370"/>
      <c r="Z22" s="370"/>
      <c r="AA22" s="370"/>
      <c r="AB22" s="370"/>
      <c r="AC22" s="371"/>
      <c r="AD22" s="271"/>
      <c r="AH22" s="262"/>
      <c r="AI22" s="277" t="s">
        <v>1289</v>
      </c>
      <c r="AJ22" s="53"/>
      <c r="AK22" s="54">
        <f>Eigenschaften!P25</f>
        <v>11</v>
      </c>
      <c r="AO22" s="262"/>
      <c r="AP22" s="262"/>
      <c r="AQ22" s="262"/>
      <c r="AR22" s="262"/>
      <c r="AY22" s="426"/>
      <c r="AZ22" s="427"/>
      <c r="BA22" s="427"/>
      <c r="BB22" s="427"/>
      <c r="BC22" s="427"/>
      <c r="BD22" s="427"/>
      <c r="BE22" s="427"/>
      <c r="BF22" s="427"/>
      <c r="BG22" s="427"/>
      <c r="BH22" s="427"/>
      <c r="BI22" s="428"/>
    </row>
    <row r="23" spans="2:61" ht="26.25" thickTop="1">
      <c r="B23" s="419"/>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1"/>
      <c r="AD23" s="271"/>
      <c r="AH23" s="262"/>
      <c r="AI23" s="278" t="s">
        <v>237</v>
      </c>
      <c r="AJ23" s="36"/>
      <c r="AK23" s="55">
        <f>AP17</f>
        <v>1</v>
      </c>
      <c r="AP23" s="262"/>
      <c r="AQ23" s="262"/>
      <c r="AR23" s="262"/>
    </row>
    <row r="24" spans="2:61">
      <c r="B24" s="419"/>
      <c r="C24" s="370"/>
      <c r="D24" s="370"/>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1"/>
      <c r="AD24" s="271"/>
      <c r="AH24" s="262"/>
      <c r="AI24" s="278" t="s">
        <v>1290</v>
      </c>
      <c r="AJ24" s="36"/>
      <c r="AK24" s="56">
        <f>AK22-AK23</f>
        <v>10</v>
      </c>
      <c r="AP24" s="262"/>
      <c r="AQ24" s="262"/>
      <c r="AR24" s="262"/>
    </row>
    <row r="25" spans="2:61">
      <c r="B25" s="419"/>
      <c r="C25" s="370"/>
      <c r="D25" s="370"/>
      <c r="E25" s="370"/>
      <c r="F25" s="370"/>
      <c r="G25" s="370"/>
      <c r="H25" s="370"/>
      <c r="I25" s="370"/>
      <c r="J25" s="370"/>
      <c r="K25" s="370"/>
      <c r="L25" s="370"/>
      <c r="M25" s="370"/>
      <c r="N25" s="370"/>
      <c r="O25" s="370"/>
      <c r="P25" s="370"/>
      <c r="Q25" s="370"/>
      <c r="R25" s="370"/>
      <c r="S25" s="370"/>
      <c r="T25" s="370"/>
      <c r="U25" s="370"/>
      <c r="V25" s="370"/>
      <c r="W25" s="370"/>
      <c r="X25" s="370"/>
      <c r="Y25" s="370"/>
      <c r="Z25" s="370"/>
      <c r="AA25" s="370"/>
      <c r="AB25" s="370"/>
      <c r="AC25" s="371"/>
      <c r="AD25" s="271"/>
      <c r="AI25" s="278" t="s">
        <v>1291</v>
      </c>
      <c r="AJ25" s="310" t="b">
        <v>0</v>
      </c>
      <c r="AK25" s="55">
        <f>IF(AJ25=TRUE,4,0)</f>
        <v>0</v>
      </c>
    </row>
    <row r="26" spans="2:61">
      <c r="B26" s="419"/>
      <c r="C26" s="370"/>
      <c r="D26" s="370"/>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1"/>
      <c r="AD26" s="271"/>
      <c r="AI26" s="278" t="s">
        <v>1292</v>
      </c>
      <c r="AJ26" s="310" t="b">
        <v>0</v>
      </c>
      <c r="AK26" s="55">
        <f>IF(AJ26=TRUE,2,0)</f>
        <v>0</v>
      </c>
    </row>
    <row r="27" spans="2:61" ht="26.25" thickBot="1">
      <c r="B27" s="374"/>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c r="AA27" s="375"/>
      <c r="AB27" s="375"/>
      <c r="AC27" s="376"/>
      <c r="AD27" s="271"/>
      <c r="AI27" s="278" t="s">
        <v>1293</v>
      </c>
      <c r="AJ27" s="36"/>
      <c r="AK27" s="55">
        <f>IF(NOT(ISERROR(SEARCH("Klingentänzer",B22))),12,6)</f>
        <v>6</v>
      </c>
    </row>
    <row r="28" spans="2:61" customFormat="1" ht="15">
      <c r="L28" s="348"/>
      <c r="M28" s="348"/>
      <c r="N28" s="348"/>
      <c r="O28" s="348"/>
      <c r="AI28" s="278" t="s">
        <v>1294</v>
      </c>
      <c r="AJ28" s="36"/>
      <c r="AK28" s="56">
        <f>IF($C$5=TRUE,AK22,0)</f>
        <v>0</v>
      </c>
    </row>
    <row r="29" spans="2:61" customFormat="1" ht="16.5" thickBot="1">
      <c r="AI29" s="52" t="s">
        <v>60</v>
      </c>
      <c r="AJ29" s="59"/>
      <c r="AK29" s="58">
        <f>SUM(AK24:AK28)</f>
        <v>16</v>
      </c>
      <c r="AM29" s="348"/>
      <c r="AN29" s="348"/>
      <c r="AO29" s="348"/>
      <c r="AP29" s="348"/>
    </row>
    <row r="30" spans="2:61">
      <c r="B30" s="368" t="s">
        <v>1295</v>
      </c>
      <c r="C30" s="364"/>
      <c r="D30" s="364"/>
      <c r="E30" s="364"/>
      <c r="F30" s="249" t="s">
        <v>1253</v>
      </c>
      <c r="G30" s="249" t="s">
        <v>1296</v>
      </c>
      <c r="H30" s="53"/>
      <c r="I30" s="53"/>
      <c r="J30" s="53"/>
      <c r="K30" s="249" t="s">
        <v>60</v>
      </c>
      <c r="L30" s="53"/>
      <c r="M30" s="249" t="s">
        <v>1258</v>
      </c>
      <c r="N30" s="249" t="s">
        <v>1259</v>
      </c>
      <c r="O30" s="53"/>
      <c r="P30" s="175"/>
      <c r="Q30" s="175"/>
      <c r="R30" s="175"/>
      <c r="S30" s="175"/>
      <c r="T30" s="175"/>
      <c r="U30" s="175"/>
      <c r="V30" s="175"/>
      <c r="W30" s="175"/>
      <c r="X30" s="175"/>
      <c r="Y30" s="53"/>
      <c r="Z30" s="249" t="s">
        <v>70</v>
      </c>
      <c r="AA30" s="53"/>
      <c r="AB30" s="249" t="s">
        <v>60</v>
      </c>
      <c r="AC30" s="251" t="s">
        <v>1268</v>
      </c>
      <c r="AI30" s="277" t="s">
        <v>1297</v>
      </c>
      <c r="AJ30" s="53"/>
      <c r="AK30" s="54">
        <f>Eigenschaften!P27</f>
        <v>8</v>
      </c>
      <c r="AM30"/>
      <c r="AN30"/>
      <c r="AO30"/>
      <c r="AP30"/>
    </row>
    <row r="31" spans="2:61">
      <c r="B31" s="419"/>
      <c r="C31" s="370"/>
      <c r="D31" s="370"/>
      <c r="E31" s="370"/>
      <c r="F31" s="252"/>
      <c r="G31" s="252"/>
      <c r="H31" s="36"/>
      <c r="I31" s="36"/>
      <c r="J31" s="36"/>
      <c r="K31" s="154"/>
      <c r="L31" s="36"/>
      <c r="M31" s="176"/>
      <c r="N31" s="176"/>
      <c r="O31" s="36"/>
      <c r="Y31" s="36"/>
      <c r="Z31" s="177" t="b">
        <f>IF(ISTEXT(B31),IF(J41="Ja",2+N31,IF(G41="Ja",-1+N31,IF(D40="Ja",-4+N31,"Nicht möglich"))))</f>
        <v>0</v>
      </c>
      <c r="AA31" s="36"/>
      <c r="AB31" s="22">
        <f>K31</f>
        <v>0</v>
      </c>
      <c r="AC31" s="178"/>
      <c r="AI31" s="278" t="s">
        <v>237</v>
      </c>
      <c r="AJ31" s="36"/>
      <c r="AK31" s="55">
        <f>AP17</f>
        <v>1</v>
      </c>
      <c r="AL31" s="262"/>
      <c r="AM31"/>
      <c r="AN31"/>
      <c r="AO31"/>
      <c r="AP31"/>
    </row>
    <row r="32" spans="2:61">
      <c r="B32" s="419"/>
      <c r="C32" s="370"/>
      <c r="D32" s="370"/>
      <c r="E32" s="370"/>
      <c r="F32" s="252"/>
      <c r="G32" s="252"/>
      <c r="H32" s="36"/>
      <c r="I32" s="36"/>
      <c r="J32" s="36"/>
      <c r="K32" s="154"/>
      <c r="L32" s="36"/>
      <c r="M32" s="176"/>
      <c r="N32" s="176"/>
      <c r="O32" s="36"/>
      <c r="Y32" s="36"/>
      <c r="Z32" s="177"/>
      <c r="AA32" s="36"/>
      <c r="AB32" s="22"/>
      <c r="AC32" s="178"/>
      <c r="AI32" s="278" t="s">
        <v>1298</v>
      </c>
      <c r="AJ32" s="310" t="b">
        <v>1</v>
      </c>
      <c r="AK32" s="55">
        <f>IF(AJ32=TRUE,3,0)</f>
        <v>3</v>
      </c>
      <c r="AL32" s="262"/>
      <c r="AM32"/>
      <c r="AN32"/>
      <c r="AO32"/>
      <c r="AP32"/>
    </row>
    <row r="33" spans="2:42" ht="26.25" thickBot="1">
      <c r="B33" s="374"/>
      <c r="C33" s="375"/>
      <c r="D33" s="375"/>
      <c r="E33" s="375"/>
      <c r="F33" s="254"/>
      <c r="G33" s="254"/>
      <c r="H33" s="59"/>
      <c r="I33" s="59"/>
      <c r="J33" s="59"/>
      <c r="K33" s="179"/>
      <c r="L33" s="59"/>
      <c r="M33" s="180"/>
      <c r="N33" s="180"/>
      <c r="O33" s="59"/>
      <c r="P33" s="181"/>
      <c r="Q33" s="181"/>
      <c r="R33" s="181"/>
      <c r="S33" s="181"/>
      <c r="T33" s="181"/>
      <c r="U33" s="181"/>
      <c r="V33" s="181"/>
      <c r="W33" s="181"/>
      <c r="X33" s="181"/>
      <c r="Y33" s="59"/>
      <c r="Z33" s="182"/>
      <c r="AA33" s="59"/>
      <c r="AB33" s="183"/>
      <c r="AC33" s="184"/>
      <c r="AI33" s="278" t="s">
        <v>1299</v>
      </c>
      <c r="AJ33" s="310" t="b">
        <v>0</v>
      </c>
      <c r="AK33" s="55">
        <f>IF(AJ33=TRUE,3,0)</f>
        <v>0</v>
      </c>
      <c r="AL33" s="262"/>
      <c r="AM33"/>
      <c r="AN33"/>
      <c r="AO33"/>
      <c r="AP33"/>
    </row>
    <row r="34" spans="2:42" ht="26.25" thickBot="1">
      <c r="AA34"/>
      <c r="AB34"/>
      <c r="AI34" s="278" t="s">
        <v>1300</v>
      </c>
      <c r="AJ34" s="310" t="b">
        <v>0</v>
      </c>
      <c r="AK34" s="55">
        <f>IF(AJ34=TRUE,3,0)</f>
        <v>0</v>
      </c>
      <c r="AL34" s="262"/>
      <c r="AM34"/>
      <c r="AN34"/>
      <c r="AO34"/>
      <c r="AP34"/>
    </row>
    <row r="35" spans="2:42">
      <c r="B35" s="368" t="s">
        <v>1301</v>
      </c>
      <c r="C35" s="364"/>
      <c r="D35" s="364"/>
      <c r="E35" s="364"/>
      <c r="F35" s="249" t="s">
        <v>1253</v>
      </c>
      <c r="G35" s="249" t="s">
        <v>1296</v>
      </c>
      <c r="H35" s="249" t="s">
        <v>15</v>
      </c>
      <c r="I35" s="53"/>
      <c r="J35" s="53"/>
      <c r="K35" s="249" t="s">
        <v>60</v>
      </c>
      <c r="L35" s="53"/>
      <c r="M35" s="249" t="s">
        <v>1258</v>
      </c>
      <c r="N35" s="249" t="s">
        <v>1259</v>
      </c>
      <c r="O35" s="53"/>
      <c r="P35" s="175"/>
      <c r="Q35" s="175"/>
      <c r="R35" s="175"/>
      <c r="S35" s="175"/>
      <c r="T35" s="175"/>
      <c r="U35" s="175"/>
      <c r="V35" s="175"/>
      <c r="W35" s="175"/>
      <c r="X35" s="175"/>
      <c r="Y35" s="53"/>
      <c r="Z35" s="249" t="s">
        <v>70</v>
      </c>
      <c r="AA35" s="53"/>
      <c r="AB35" s="249" t="s">
        <v>60</v>
      </c>
      <c r="AC35" s="251" t="s">
        <v>1268</v>
      </c>
      <c r="AI35" s="278" t="s">
        <v>127</v>
      </c>
      <c r="AJ35" s="46">
        <f>'Fertigkeiten &amp; Talente'!M4</f>
        <v>0</v>
      </c>
      <c r="AK35" s="55">
        <f>MAX(ROUNDDOWN((AJ35-9)/3,0),0)</f>
        <v>0</v>
      </c>
      <c r="AL35" s="262"/>
      <c r="AM35"/>
      <c r="AN35"/>
      <c r="AO35"/>
      <c r="AP35"/>
    </row>
    <row r="36" spans="2:42">
      <c r="B36" s="419"/>
      <c r="C36" s="370"/>
      <c r="D36" s="370"/>
      <c r="E36" s="370"/>
      <c r="F36" s="252" t="str">
        <f>IF(ISTEXT(B36),$B$35,"")</f>
        <v/>
      </c>
      <c r="G36" s="252"/>
      <c r="H36" s="154"/>
      <c r="I36" s="36"/>
      <c r="J36" s="36"/>
      <c r="K36" s="154">
        <v>-3</v>
      </c>
      <c r="L36" s="36"/>
      <c r="M36" s="176">
        <v>-5</v>
      </c>
      <c r="N36" s="176">
        <v>7</v>
      </c>
      <c r="O36" s="36"/>
      <c r="Y36" s="36"/>
      <c r="Z36" s="177" t="str">
        <f>IF(ISTEXT(B36),IF(J40="Ja",5+N36,IF(G40="Ja",3+N36,IF(D40="Ja",1+N36,N36)))+Eigenschaften!P27+MIN(MAX(ROUNDDOWN((H8-12)/3,0),0),3),"")</f>
        <v/>
      </c>
      <c r="AA36" s="36"/>
      <c r="AB36" s="22">
        <f>K36</f>
        <v>-3</v>
      </c>
      <c r="AC36" s="178"/>
      <c r="AI36" s="278" t="s">
        <v>1302</v>
      </c>
      <c r="AJ36" s="46" t="b">
        <f>IF(NOT(ISERROR(SEARCH(AI36,Eigenschaften!B33))),TRUE,FALSE)</f>
        <v>0</v>
      </c>
      <c r="AK36" s="55">
        <f>IF(AJ36=TRUE,1,0)</f>
        <v>0</v>
      </c>
      <c r="AL36" s="262"/>
      <c r="AM36"/>
      <c r="AN36"/>
      <c r="AO36"/>
      <c r="AP36"/>
    </row>
    <row r="37" spans="2:42">
      <c r="B37" s="419"/>
      <c r="C37" s="370"/>
      <c r="D37" s="370"/>
      <c r="E37" s="370"/>
      <c r="F37" s="252" t="str">
        <f>IF(ISTEXT(B37),$B$35,"")</f>
        <v/>
      </c>
      <c r="G37" s="252"/>
      <c r="H37" s="154"/>
      <c r="I37" s="36"/>
      <c r="J37" s="36"/>
      <c r="K37" s="154"/>
      <c r="L37" s="36"/>
      <c r="M37" s="176"/>
      <c r="N37" s="176"/>
      <c r="O37" s="36"/>
      <c r="Y37" s="36"/>
      <c r="Z37" s="177"/>
      <c r="AA37" s="36"/>
      <c r="AB37" s="22"/>
      <c r="AC37" s="178"/>
      <c r="AI37" s="278" t="s">
        <v>1303</v>
      </c>
      <c r="AJ37" s="46" t="b">
        <f>IF(NOT(ISERROR(SEARCH(AI37,Eigenschaften!B37))),TRUE,FALSE)</f>
        <v>0</v>
      </c>
      <c r="AK37" s="55">
        <f>IF(AJ37=TRUE,-1,0)</f>
        <v>0</v>
      </c>
      <c r="AL37" s="262"/>
      <c r="AM37"/>
      <c r="AN37"/>
      <c r="AO37"/>
      <c r="AP37"/>
    </row>
    <row r="38" spans="2:42" ht="26.25" thickBot="1">
      <c r="B38" s="374"/>
      <c r="C38" s="375"/>
      <c r="D38" s="375"/>
      <c r="E38" s="375"/>
      <c r="F38" s="254" t="str">
        <f>IF(ISTEXT(B38),$B$35,"")</f>
        <v/>
      </c>
      <c r="G38" s="254"/>
      <c r="H38" s="179"/>
      <c r="I38" s="59"/>
      <c r="J38" s="59"/>
      <c r="K38" s="179"/>
      <c r="L38" s="59"/>
      <c r="M38" s="180"/>
      <c r="N38" s="180"/>
      <c r="O38" s="59"/>
      <c r="P38" s="181"/>
      <c r="Q38" s="181"/>
      <c r="R38" s="181"/>
      <c r="S38" s="181"/>
      <c r="T38" s="181"/>
      <c r="U38" s="181"/>
      <c r="V38" s="181"/>
      <c r="W38" s="181"/>
      <c r="X38" s="181"/>
      <c r="Y38" s="59"/>
      <c r="Z38" s="182"/>
      <c r="AA38" s="59"/>
      <c r="AB38" s="183"/>
      <c r="AC38" s="184"/>
      <c r="AI38" s="278" t="s">
        <v>1294</v>
      </c>
      <c r="AJ38" s="36"/>
      <c r="AK38" s="56">
        <f>IF($C$5=TRUE,2,0)</f>
        <v>0</v>
      </c>
      <c r="AL38" s="262"/>
      <c r="AM38" s="262"/>
    </row>
    <row r="39" spans="2:42" ht="26.25" thickBot="1">
      <c r="AI39" s="278" t="s">
        <v>60</v>
      </c>
      <c r="AJ39" s="78">
        <f>IF(G6&lt;21,0,ROUNDUP((G6-20)/10,0))</f>
        <v>0</v>
      </c>
      <c r="AK39" s="79">
        <f>AJ39</f>
        <v>0</v>
      </c>
      <c r="AL39" s="262"/>
      <c r="AM39" s="262"/>
    </row>
    <row r="40" spans="2:42">
      <c r="B40" s="368" t="s">
        <v>1015</v>
      </c>
      <c r="C40" s="364"/>
      <c r="D40" s="455" t="b">
        <v>0</v>
      </c>
      <c r="E40" s="364" t="s">
        <v>1304</v>
      </c>
      <c r="F40" s="364"/>
      <c r="G40" s="318" t="b">
        <v>0</v>
      </c>
      <c r="H40" s="364" t="s">
        <v>1305</v>
      </c>
      <c r="I40" s="364"/>
      <c r="J40" s="316" t="b">
        <v>0</v>
      </c>
      <c r="K40"/>
      <c r="L40"/>
      <c r="AI40" s="81" t="s">
        <v>1306</v>
      </c>
      <c r="AJ40" s="80"/>
      <c r="AK40" s="82">
        <f>AJ40</f>
        <v>0</v>
      </c>
    </row>
    <row r="41" spans="2:42" ht="26.25" thickBot="1">
      <c r="B41" s="454"/>
      <c r="C41" s="356"/>
      <c r="D41" s="456"/>
      <c r="E41" s="356" t="s">
        <v>1307</v>
      </c>
      <c r="F41" s="356"/>
      <c r="G41" s="319" t="b">
        <v>0</v>
      </c>
      <c r="H41" s="356" t="s">
        <v>1308</v>
      </c>
      <c r="I41" s="356"/>
      <c r="J41" s="317" t="b">
        <v>0</v>
      </c>
      <c r="K41"/>
      <c r="L41"/>
      <c r="AI41" s="52" t="s">
        <v>1309</v>
      </c>
      <c r="AJ41" s="59"/>
      <c r="AK41" s="83">
        <f>SUM(AK30,AK32:AL40)-AK31</f>
        <v>10</v>
      </c>
    </row>
    <row r="42" spans="2:42">
      <c r="AI42" s="81" t="s">
        <v>1310</v>
      </c>
    </row>
    <row r="46" spans="2:42" ht="26.25" thickBot="1">
      <c r="N46" s="266"/>
      <c r="O46"/>
      <c r="P46"/>
      <c r="Q46"/>
      <c r="R46"/>
      <c r="S46"/>
    </row>
    <row r="47" spans="2:42" ht="26.25" thickBot="1">
      <c r="B47" s="412" t="s">
        <v>1247</v>
      </c>
      <c r="C47" s="457"/>
      <c r="D47" s="251" t="s">
        <v>384</v>
      </c>
      <c r="E47" s="448" t="s">
        <v>1318</v>
      </c>
      <c r="F47" s="449"/>
      <c r="G47" s="264" t="s">
        <v>1319</v>
      </c>
      <c r="H47" s="452" t="s">
        <v>1320</v>
      </c>
      <c r="I47" s="452"/>
      <c r="J47" s="452"/>
      <c r="K47" s="452"/>
      <c r="L47" s="452"/>
      <c r="M47" s="452"/>
      <c r="N47" s="452"/>
      <c r="O47" s="452"/>
      <c r="P47" s="452"/>
      <c r="Q47" s="452"/>
      <c r="R47" s="453"/>
    </row>
    <row r="48" spans="2:42" ht="26.25" thickBot="1">
      <c r="B48" s="368" t="s">
        <v>935</v>
      </c>
      <c r="C48" s="369"/>
      <c r="D48" s="320" t="b">
        <f>IF(NOT(ISERROR(SEARCH(B48,Nahkampf!$B$22))),TRUE,FALSE)</f>
        <v>0</v>
      </c>
      <c r="E48" s="450" t="s">
        <v>1321</v>
      </c>
      <c r="F48" s="451"/>
      <c r="G48" s="262">
        <v>59</v>
      </c>
      <c r="H48" s="446" t="s">
        <v>1322</v>
      </c>
      <c r="I48" s="446"/>
      <c r="J48" s="446"/>
      <c r="K48" s="446"/>
      <c r="L48" s="446"/>
      <c r="M48" s="446"/>
      <c r="N48" s="446"/>
      <c r="O48" s="446"/>
      <c r="P48" s="446"/>
      <c r="Q48" s="446"/>
      <c r="R48" s="447"/>
      <c r="S48"/>
      <c r="T48"/>
    </row>
    <row r="49" spans="2:20" ht="36.75" customHeight="1" thickBot="1">
      <c r="B49" s="368" t="s">
        <v>936</v>
      </c>
      <c r="C49" s="369"/>
      <c r="D49" s="320" t="b">
        <v>0</v>
      </c>
      <c r="E49" s="450" t="s">
        <v>1323</v>
      </c>
      <c r="F49" s="451"/>
      <c r="G49" s="262">
        <v>60</v>
      </c>
      <c r="H49" s="446" t="s">
        <v>1324</v>
      </c>
      <c r="I49" s="446"/>
      <c r="J49" s="446"/>
      <c r="K49" s="446"/>
      <c r="L49" s="446"/>
      <c r="M49" s="446"/>
      <c r="N49" s="446"/>
      <c r="O49" s="446"/>
      <c r="P49" s="446"/>
      <c r="Q49" s="446"/>
      <c r="R49" s="447"/>
      <c r="T49"/>
    </row>
    <row r="50" spans="2:20" ht="38.25" customHeight="1" thickBot="1">
      <c r="B50" s="368" t="s">
        <v>937</v>
      </c>
      <c r="C50" s="369"/>
      <c r="D50" s="320" t="b">
        <v>0</v>
      </c>
      <c r="E50" s="450" t="s">
        <v>1321</v>
      </c>
      <c r="F50" s="451"/>
      <c r="G50" s="262">
        <v>61</v>
      </c>
      <c r="H50" s="446" t="s">
        <v>1325</v>
      </c>
      <c r="I50" s="446"/>
      <c r="J50" s="446"/>
      <c r="K50" s="446"/>
      <c r="L50" s="446"/>
      <c r="M50" s="446"/>
      <c r="N50" s="446"/>
      <c r="O50" s="446"/>
      <c r="P50" s="446"/>
      <c r="Q50" s="446"/>
      <c r="R50" s="447"/>
      <c r="T50"/>
    </row>
    <row r="51" spans="2:20" ht="86.25" customHeight="1" thickBot="1">
      <c r="B51" s="368" t="s">
        <v>938</v>
      </c>
      <c r="C51" s="369"/>
      <c r="D51" s="320" t="b">
        <v>0</v>
      </c>
      <c r="E51" s="450" t="s">
        <v>1326</v>
      </c>
      <c r="F51" s="451"/>
      <c r="G51" s="262">
        <v>67</v>
      </c>
      <c r="H51" s="446" t="s">
        <v>1327</v>
      </c>
      <c r="I51" s="446"/>
      <c r="J51" s="446"/>
      <c r="K51" s="446"/>
      <c r="L51" s="446"/>
      <c r="M51" s="446"/>
      <c r="N51" s="446"/>
      <c r="O51" s="446"/>
      <c r="P51" s="446"/>
      <c r="Q51" s="446"/>
      <c r="R51" s="447"/>
      <c r="T51"/>
    </row>
    <row r="52" spans="2:20" ht="26.25" thickBot="1">
      <c r="B52" s="368" t="s">
        <v>939</v>
      </c>
      <c r="C52" s="369"/>
      <c r="D52" s="320" t="b">
        <v>0</v>
      </c>
      <c r="E52" s="450" t="s">
        <v>119</v>
      </c>
      <c r="F52" s="451"/>
      <c r="G52" s="262">
        <v>67</v>
      </c>
      <c r="H52" s="446" t="s">
        <v>1328</v>
      </c>
      <c r="I52" s="446"/>
      <c r="J52" s="446"/>
      <c r="K52" s="446"/>
      <c r="L52" s="446"/>
      <c r="M52" s="446"/>
      <c r="N52" s="446"/>
      <c r="O52" s="446"/>
      <c r="P52" s="446"/>
      <c r="Q52" s="446"/>
      <c r="R52" s="447"/>
      <c r="T52"/>
    </row>
    <row r="53" spans="2:20" ht="26.25" thickBot="1">
      <c r="B53" s="368" t="s">
        <v>940</v>
      </c>
      <c r="C53" s="369"/>
      <c r="D53" s="320" t="b">
        <v>0</v>
      </c>
      <c r="E53" s="450" t="s">
        <v>1329</v>
      </c>
      <c r="F53" s="451"/>
      <c r="G53" s="262">
        <v>61</v>
      </c>
      <c r="H53" s="446" t="s">
        <v>1330</v>
      </c>
      <c r="I53" s="446"/>
      <c r="J53" s="446"/>
      <c r="K53" s="446"/>
      <c r="L53" s="446"/>
      <c r="M53" s="446"/>
      <c r="N53" s="446"/>
      <c r="O53" s="446"/>
      <c r="P53" s="446"/>
      <c r="Q53" s="446"/>
      <c r="R53" s="447"/>
    </row>
    <row r="54" spans="2:20" ht="26.25" thickBot="1">
      <c r="B54" s="368" t="s">
        <v>941</v>
      </c>
      <c r="C54" s="369"/>
      <c r="D54" s="320" t="b">
        <v>0</v>
      </c>
      <c r="E54" s="450" t="s">
        <v>1331</v>
      </c>
      <c r="F54" s="451"/>
      <c r="G54" s="262">
        <v>61</v>
      </c>
      <c r="H54" s="446" t="s">
        <v>1332</v>
      </c>
      <c r="I54" s="446"/>
      <c r="J54" s="446"/>
      <c r="K54" s="446"/>
      <c r="L54" s="446"/>
      <c r="M54" s="446"/>
      <c r="N54" s="446"/>
      <c r="O54" s="446"/>
      <c r="P54" s="446"/>
      <c r="Q54" s="446"/>
      <c r="R54" s="447"/>
    </row>
    <row r="55" spans="2:20" ht="26.25" thickBot="1">
      <c r="B55" s="368" t="s">
        <v>942</v>
      </c>
      <c r="C55" s="369"/>
      <c r="D55" s="320" t="b">
        <v>0</v>
      </c>
      <c r="E55" s="450"/>
      <c r="F55" s="451"/>
      <c r="G55" s="262"/>
      <c r="H55" s="446"/>
      <c r="I55" s="446"/>
      <c r="J55" s="446"/>
      <c r="K55" s="446"/>
      <c r="L55" s="446"/>
      <c r="M55" s="446"/>
      <c r="N55" s="446"/>
      <c r="O55" s="446"/>
      <c r="P55" s="446"/>
      <c r="Q55" s="446"/>
      <c r="R55" s="447"/>
    </row>
    <row r="56" spans="2:20" ht="26.25" thickBot="1">
      <c r="B56" s="368" t="s">
        <v>943</v>
      </c>
      <c r="C56" s="369"/>
      <c r="D56" s="320" t="b">
        <v>0</v>
      </c>
      <c r="E56" s="450" t="s">
        <v>1333</v>
      </c>
      <c r="F56" s="451"/>
      <c r="G56" s="262">
        <v>62</v>
      </c>
      <c r="H56" s="446" t="s">
        <v>1334</v>
      </c>
      <c r="I56" s="446"/>
      <c r="J56" s="446"/>
      <c r="K56" s="446"/>
      <c r="L56" s="446"/>
      <c r="M56" s="446"/>
      <c r="N56" s="446"/>
      <c r="O56" s="446"/>
      <c r="P56" s="446"/>
      <c r="Q56" s="446"/>
      <c r="R56" s="447"/>
    </row>
    <row r="57" spans="2:20" ht="75.75" customHeight="1" thickBot="1">
      <c r="B57" s="368" t="s">
        <v>944</v>
      </c>
      <c r="C57" s="369"/>
      <c r="D57" s="320" t="b">
        <v>1</v>
      </c>
      <c r="E57" s="450" t="s">
        <v>1326</v>
      </c>
      <c r="F57" s="451"/>
      <c r="G57" s="262">
        <v>68</v>
      </c>
      <c r="H57" s="446" t="s">
        <v>1335</v>
      </c>
      <c r="I57" s="446"/>
      <c r="J57" s="446"/>
      <c r="K57" s="446"/>
      <c r="L57" s="446"/>
      <c r="M57" s="446"/>
      <c r="N57" s="446"/>
      <c r="O57" s="446"/>
      <c r="P57" s="446"/>
      <c r="Q57" s="446"/>
      <c r="R57" s="447"/>
    </row>
    <row r="58" spans="2:20" ht="26.25" thickBot="1">
      <c r="B58" s="368" t="s">
        <v>945</v>
      </c>
      <c r="C58" s="369"/>
      <c r="D58" s="320" t="b">
        <v>0</v>
      </c>
      <c r="E58" s="450"/>
      <c r="F58" s="451"/>
      <c r="G58" s="262"/>
      <c r="H58" s="446"/>
      <c r="I58" s="446"/>
      <c r="J58" s="446"/>
      <c r="K58" s="446"/>
      <c r="L58" s="446"/>
      <c r="M58" s="446"/>
      <c r="N58" s="446"/>
      <c r="O58" s="446"/>
      <c r="P58" s="446"/>
      <c r="Q58" s="446"/>
      <c r="R58" s="447"/>
    </row>
    <row r="59" spans="2:20" ht="26.25" thickBot="1">
      <c r="B59" s="368" t="s">
        <v>946</v>
      </c>
      <c r="C59" s="369"/>
      <c r="D59" s="320" t="b">
        <v>0</v>
      </c>
      <c r="E59" s="450"/>
      <c r="F59" s="451"/>
      <c r="G59" s="262"/>
      <c r="H59" s="446"/>
      <c r="I59" s="446"/>
      <c r="J59" s="446"/>
      <c r="K59" s="446"/>
      <c r="L59" s="446"/>
      <c r="M59" s="446"/>
      <c r="N59" s="446"/>
      <c r="O59" s="446"/>
      <c r="P59" s="446"/>
      <c r="Q59" s="446"/>
      <c r="R59" s="447"/>
    </row>
    <row r="60" spans="2:20" ht="26.25" thickBot="1">
      <c r="B60" s="368" t="s">
        <v>947</v>
      </c>
      <c r="C60" s="369"/>
      <c r="D60" s="320" t="b">
        <v>0</v>
      </c>
      <c r="E60" s="450"/>
      <c r="F60" s="451"/>
      <c r="G60" s="262"/>
      <c r="H60" s="446"/>
      <c r="I60" s="446"/>
      <c r="J60" s="446"/>
      <c r="K60" s="446"/>
      <c r="L60" s="446"/>
      <c r="M60" s="446"/>
      <c r="N60" s="446"/>
      <c r="O60" s="446"/>
      <c r="P60" s="446"/>
      <c r="Q60" s="446"/>
      <c r="R60" s="447"/>
    </row>
    <row r="61" spans="2:20" ht="26.25" thickBot="1">
      <c r="B61" s="368" t="s">
        <v>948</v>
      </c>
      <c r="C61" s="369"/>
      <c r="D61" s="320" t="b">
        <v>0</v>
      </c>
      <c r="E61" s="450"/>
      <c r="F61" s="451"/>
      <c r="G61" s="262"/>
      <c r="H61" s="446"/>
      <c r="I61" s="446"/>
      <c r="J61" s="446"/>
      <c r="K61" s="446"/>
      <c r="L61" s="446"/>
      <c r="M61" s="446"/>
      <c r="N61" s="446"/>
      <c r="O61" s="446"/>
      <c r="P61" s="446"/>
      <c r="Q61" s="446"/>
      <c r="R61" s="447"/>
    </row>
    <row r="62" spans="2:20" ht="26.25" thickBot="1">
      <c r="B62" s="368" t="s">
        <v>949</v>
      </c>
      <c r="C62" s="369"/>
      <c r="D62" s="320" t="b">
        <v>0</v>
      </c>
      <c r="E62" s="450"/>
      <c r="F62" s="451"/>
      <c r="G62" s="262"/>
      <c r="H62" s="446"/>
      <c r="I62" s="446"/>
      <c r="J62" s="446"/>
      <c r="K62" s="446"/>
      <c r="L62" s="446"/>
      <c r="M62" s="446"/>
      <c r="N62" s="446"/>
      <c r="O62" s="446"/>
      <c r="P62" s="446"/>
      <c r="Q62" s="446"/>
      <c r="R62" s="447"/>
    </row>
    <row r="63" spans="2:20" ht="26.25" thickBot="1">
      <c r="B63" s="368" t="s">
        <v>950</v>
      </c>
      <c r="C63" s="369"/>
      <c r="D63" s="320" t="b">
        <v>0</v>
      </c>
      <c r="E63" s="450"/>
      <c r="F63" s="451"/>
      <c r="G63" s="262"/>
      <c r="H63" s="446"/>
      <c r="I63" s="446"/>
      <c r="J63" s="446"/>
      <c r="K63" s="446"/>
      <c r="L63" s="446"/>
      <c r="M63" s="446"/>
      <c r="N63" s="446"/>
      <c r="O63" s="446"/>
      <c r="P63" s="446"/>
      <c r="Q63" s="446"/>
      <c r="R63" s="447"/>
    </row>
    <row r="64" spans="2:20" ht="26.25" thickBot="1">
      <c r="B64" s="368" t="s">
        <v>951</v>
      </c>
      <c r="C64" s="369"/>
      <c r="D64" s="320" t="b">
        <v>0</v>
      </c>
      <c r="E64" s="450">
        <v>0</v>
      </c>
      <c r="F64" s="451"/>
      <c r="G64" s="262">
        <v>63</v>
      </c>
      <c r="H64" s="446" t="s">
        <v>1336</v>
      </c>
      <c r="I64" s="446"/>
      <c r="J64" s="446"/>
      <c r="K64" s="446"/>
      <c r="L64" s="446"/>
      <c r="M64" s="446"/>
      <c r="N64" s="446"/>
      <c r="O64" s="446"/>
      <c r="P64" s="446"/>
      <c r="Q64" s="446"/>
      <c r="R64" s="447"/>
    </row>
    <row r="65" spans="2:18" ht="26.25" thickBot="1">
      <c r="B65" s="368" t="s">
        <v>952</v>
      </c>
      <c r="C65" s="369"/>
      <c r="D65" s="320" t="b">
        <v>0</v>
      </c>
      <c r="E65" s="450">
        <v>0</v>
      </c>
      <c r="F65" s="451"/>
      <c r="G65" s="262">
        <v>69</v>
      </c>
      <c r="H65" s="446" t="s">
        <v>1337</v>
      </c>
      <c r="I65" s="446"/>
      <c r="J65" s="446"/>
      <c r="K65" s="446"/>
      <c r="L65" s="446"/>
      <c r="M65" s="446"/>
      <c r="N65" s="446"/>
      <c r="O65" s="446"/>
      <c r="P65" s="446"/>
      <c r="Q65" s="446"/>
      <c r="R65" s="447"/>
    </row>
    <row r="66" spans="2:18" ht="26.25" thickBot="1">
      <c r="B66" s="368" t="s">
        <v>953</v>
      </c>
      <c r="C66" s="369"/>
      <c r="D66" s="320" t="b">
        <v>0</v>
      </c>
      <c r="E66" s="450" t="s">
        <v>1338</v>
      </c>
      <c r="F66" s="451"/>
      <c r="G66" s="262"/>
      <c r="H66" s="446"/>
      <c r="I66" s="446"/>
      <c r="J66" s="446"/>
      <c r="K66" s="446"/>
      <c r="L66" s="446"/>
      <c r="M66" s="446"/>
      <c r="N66" s="446"/>
      <c r="O66" s="446"/>
      <c r="P66" s="446"/>
      <c r="Q66" s="446"/>
      <c r="R66" s="447"/>
    </row>
    <row r="67" spans="2:18" ht="39" customHeight="1" thickBot="1">
      <c r="B67" s="368" t="s">
        <v>954</v>
      </c>
      <c r="C67" s="369"/>
      <c r="D67" s="320" t="b">
        <v>0</v>
      </c>
      <c r="E67" s="450" t="s">
        <v>1339</v>
      </c>
      <c r="F67" s="451"/>
      <c r="G67" s="262">
        <v>63</v>
      </c>
      <c r="H67" s="446" t="s">
        <v>1340</v>
      </c>
      <c r="I67" s="446"/>
      <c r="J67" s="446"/>
      <c r="K67" s="446"/>
      <c r="L67" s="446"/>
      <c r="M67" s="446"/>
      <c r="N67" s="446"/>
      <c r="O67" s="446"/>
      <c r="P67" s="446"/>
      <c r="Q67" s="446"/>
      <c r="R67" s="447"/>
    </row>
    <row r="68" spans="2:18" ht="26.25" thickBot="1">
      <c r="B68" s="368" t="s">
        <v>955</v>
      </c>
      <c r="C68" s="369"/>
      <c r="D68" s="320" t="b">
        <v>0</v>
      </c>
      <c r="E68" s="450"/>
      <c r="F68" s="451"/>
      <c r="G68" s="262"/>
      <c r="H68" s="446"/>
      <c r="I68" s="446"/>
      <c r="J68" s="446"/>
      <c r="K68" s="446"/>
      <c r="L68" s="446"/>
      <c r="M68" s="446"/>
      <c r="N68" s="446"/>
      <c r="O68" s="446"/>
      <c r="P68" s="446"/>
      <c r="Q68" s="446"/>
      <c r="R68" s="447"/>
    </row>
    <row r="69" spans="2:18" ht="26.25" thickBot="1">
      <c r="B69" s="368" t="s">
        <v>956</v>
      </c>
      <c r="C69" s="369"/>
      <c r="D69" s="320" t="b">
        <v>0</v>
      </c>
      <c r="E69" s="450"/>
      <c r="F69" s="451"/>
      <c r="G69" s="262"/>
      <c r="H69" s="446"/>
      <c r="I69" s="446"/>
      <c r="J69" s="446"/>
      <c r="K69" s="446"/>
      <c r="L69" s="446"/>
      <c r="M69" s="446"/>
      <c r="N69" s="446"/>
      <c r="O69" s="446"/>
      <c r="P69" s="446"/>
      <c r="Q69" s="446"/>
      <c r="R69" s="447"/>
    </row>
    <row r="70" spans="2:18" ht="26.25" thickBot="1">
      <c r="B70" s="368" t="s">
        <v>958</v>
      </c>
      <c r="C70" s="369"/>
      <c r="D70" s="320" t="b">
        <v>0</v>
      </c>
      <c r="E70" s="450"/>
      <c r="F70" s="451"/>
      <c r="G70" s="262"/>
      <c r="H70" s="446"/>
      <c r="I70" s="446"/>
      <c r="J70" s="446"/>
      <c r="K70" s="446"/>
      <c r="L70" s="446"/>
      <c r="M70" s="446"/>
      <c r="N70" s="446"/>
      <c r="O70" s="446"/>
      <c r="P70" s="446"/>
      <c r="Q70" s="446"/>
      <c r="R70" s="447"/>
    </row>
    <row r="71" spans="2:18" ht="177" customHeight="1" thickBot="1">
      <c r="B71" s="368" t="s">
        <v>957</v>
      </c>
      <c r="C71" s="369"/>
      <c r="D71" s="320" t="b">
        <v>0</v>
      </c>
      <c r="E71" s="450"/>
      <c r="F71" s="451"/>
      <c r="G71" s="262"/>
      <c r="H71" s="446" t="s">
        <v>1341</v>
      </c>
      <c r="I71" s="446"/>
      <c r="J71" s="446"/>
      <c r="K71" s="446"/>
      <c r="L71" s="446"/>
      <c r="M71" s="446"/>
      <c r="N71" s="446"/>
      <c r="O71" s="446"/>
      <c r="P71" s="446"/>
      <c r="Q71" s="446"/>
      <c r="R71" s="447"/>
    </row>
    <row r="72" spans="2:18" ht="26.25" thickBot="1">
      <c r="B72" s="368" t="s">
        <v>959</v>
      </c>
      <c r="C72" s="369"/>
      <c r="D72" s="320" t="b">
        <v>0</v>
      </c>
      <c r="E72" s="450" t="s">
        <v>1321</v>
      </c>
      <c r="F72" s="451"/>
      <c r="G72" s="262">
        <v>64</v>
      </c>
      <c r="H72" s="446" t="s">
        <v>1342</v>
      </c>
      <c r="I72" s="446"/>
      <c r="J72" s="446"/>
      <c r="K72" s="446"/>
      <c r="L72" s="446"/>
      <c r="M72" s="446"/>
      <c r="N72" s="446"/>
      <c r="O72" s="446"/>
      <c r="P72" s="446"/>
      <c r="Q72" s="446"/>
      <c r="R72" s="447"/>
    </row>
    <row r="73" spans="2:18" ht="26.25" thickBot="1">
      <c r="B73" s="368" t="s">
        <v>960</v>
      </c>
      <c r="C73" s="369"/>
      <c r="D73" s="320" t="b">
        <v>0</v>
      </c>
      <c r="E73" s="450" t="s">
        <v>1321</v>
      </c>
      <c r="F73" s="451"/>
      <c r="G73" s="262">
        <v>64</v>
      </c>
      <c r="H73" s="446" t="s">
        <v>1343</v>
      </c>
      <c r="I73" s="446"/>
      <c r="J73" s="446"/>
      <c r="K73" s="446"/>
      <c r="L73" s="446"/>
      <c r="M73" s="446"/>
      <c r="N73" s="446"/>
      <c r="O73" s="446"/>
      <c r="P73" s="446"/>
      <c r="Q73" s="446"/>
      <c r="R73" s="447"/>
    </row>
    <row r="74" spans="2:18" ht="26.25" thickBot="1">
      <c r="B74" s="368" t="s">
        <v>961</v>
      </c>
      <c r="C74" s="369"/>
      <c r="D74" s="320" t="b">
        <v>0</v>
      </c>
      <c r="E74" s="450"/>
      <c r="F74" s="451"/>
      <c r="G74" s="262"/>
      <c r="H74" s="446"/>
      <c r="I74" s="446"/>
      <c r="J74" s="446"/>
      <c r="K74" s="446"/>
      <c r="L74" s="446"/>
      <c r="M74" s="446"/>
      <c r="N74" s="446"/>
      <c r="O74" s="446"/>
      <c r="P74" s="446"/>
      <c r="Q74" s="446"/>
      <c r="R74" s="447"/>
    </row>
    <row r="75" spans="2:18" ht="26.25" thickBot="1">
      <c r="B75" s="368" t="s">
        <v>962</v>
      </c>
      <c r="C75" s="369"/>
      <c r="D75" s="320" t="b">
        <v>0</v>
      </c>
      <c r="E75" s="450"/>
      <c r="F75" s="451"/>
      <c r="G75" s="262"/>
      <c r="H75" s="446"/>
      <c r="I75" s="446"/>
      <c r="J75" s="446"/>
      <c r="K75" s="446"/>
      <c r="L75" s="446"/>
      <c r="M75" s="446"/>
      <c r="N75" s="446"/>
      <c r="O75" s="446"/>
      <c r="P75" s="446"/>
      <c r="Q75" s="446"/>
      <c r="R75" s="447"/>
    </row>
    <row r="76" spans="2:18" ht="60" customHeight="1" thickBot="1">
      <c r="B76" s="368" t="s">
        <v>963</v>
      </c>
      <c r="C76" s="369"/>
      <c r="D76" s="320" t="b">
        <v>0</v>
      </c>
      <c r="E76" s="450" t="s">
        <v>1344</v>
      </c>
      <c r="F76" s="451"/>
      <c r="G76" s="262">
        <v>71</v>
      </c>
      <c r="H76" s="446" t="s">
        <v>1345</v>
      </c>
      <c r="I76" s="446"/>
      <c r="J76" s="446"/>
      <c r="K76" s="446"/>
      <c r="L76" s="446"/>
      <c r="M76" s="446"/>
      <c r="N76" s="446"/>
      <c r="O76" s="446"/>
      <c r="P76" s="446"/>
      <c r="Q76" s="446"/>
      <c r="R76" s="447"/>
    </row>
    <row r="77" spans="2:18" ht="26.25" thickBot="1">
      <c r="B77" s="412" t="s">
        <v>964</v>
      </c>
      <c r="C77" s="457"/>
      <c r="D77" s="320" t="b">
        <v>0</v>
      </c>
      <c r="E77" s="458" t="s">
        <v>1333</v>
      </c>
      <c r="F77" s="459"/>
      <c r="G77" s="263">
        <v>65</v>
      </c>
      <c r="H77" s="446" t="s">
        <v>1346</v>
      </c>
      <c r="I77" s="446"/>
      <c r="J77" s="446"/>
      <c r="K77" s="446"/>
      <c r="L77" s="446"/>
      <c r="M77" s="446"/>
      <c r="N77" s="446"/>
      <c r="O77" s="446"/>
      <c r="P77" s="446"/>
      <c r="Q77" s="446"/>
      <c r="R77" s="447"/>
    </row>
    <row r="78" spans="2:18" ht="26.25" thickBot="1"/>
    <row r="79" spans="2:18" ht="26.25" thickBot="1">
      <c r="B79" s="412" t="s">
        <v>1347</v>
      </c>
      <c r="C79" s="457"/>
      <c r="D79" s="251" t="s">
        <v>384</v>
      </c>
      <c r="E79" s="448" t="s">
        <v>1318</v>
      </c>
      <c r="F79" s="449"/>
      <c r="G79" s="264" t="s">
        <v>1319</v>
      </c>
      <c r="H79" s="452" t="s">
        <v>1320</v>
      </c>
      <c r="I79" s="452"/>
      <c r="J79" s="452"/>
      <c r="K79" s="452"/>
      <c r="L79" s="452"/>
      <c r="M79" s="452"/>
      <c r="N79" s="452"/>
      <c r="O79" s="452"/>
      <c r="P79" s="452"/>
      <c r="Q79" s="452"/>
      <c r="R79" s="453"/>
    </row>
    <row r="80" spans="2:18" ht="26.25" thickBot="1">
      <c r="B80" s="368" t="s">
        <v>965</v>
      </c>
      <c r="C80" s="369"/>
      <c r="D80" s="320" t="b">
        <v>1</v>
      </c>
      <c r="E80" s="450"/>
      <c r="F80" s="451"/>
      <c r="G80" s="262"/>
      <c r="H80" s="446"/>
      <c r="I80" s="446"/>
      <c r="J80" s="446"/>
      <c r="K80" s="446"/>
      <c r="L80" s="446"/>
      <c r="M80" s="446"/>
      <c r="N80" s="446"/>
      <c r="O80" s="446"/>
      <c r="P80" s="446"/>
      <c r="Q80" s="446"/>
      <c r="R80" s="447"/>
    </row>
    <row r="81" spans="2:18" ht="26.25" thickBot="1">
      <c r="B81" s="368" t="s">
        <v>966</v>
      </c>
      <c r="C81" s="369"/>
      <c r="D81" s="320" t="b">
        <v>1</v>
      </c>
      <c r="E81" s="450"/>
      <c r="F81" s="451"/>
      <c r="G81" s="262"/>
      <c r="H81" s="446"/>
      <c r="I81" s="446"/>
      <c r="J81" s="446"/>
      <c r="K81" s="446"/>
      <c r="L81" s="446"/>
      <c r="M81" s="446"/>
      <c r="N81" s="446"/>
      <c r="O81" s="446"/>
      <c r="P81" s="446"/>
      <c r="Q81" s="446"/>
      <c r="R81" s="447"/>
    </row>
    <row r="82" spans="2:18" ht="26.25" thickBot="1">
      <c r="B82" s="368" t="s">
        <v>967</v>
      </c>
      <c r="C82" s="369"/>
      <c r="D82" s="320" t="b">
        <v>0</v>
      </c>
      <c r="E82" s="450"/>
      <c r="F82" s="451"/>
      <c r="G82" s="262"/>
      <c r="H82" s="446"/>
      <c r="I82" s="446"/>
      <c r="J82" s="446"/>
      <c r="K82" s="446"/>
      <c r="L82" s="446"/>
      <c r="M82" s="446"/>
      <c r="N82" s="446"/>
      <c r="O82" s="446"/>
      <c r="P82" s="446"/>
      <c r="Q82" s="446"/>
      <c r="R82" s="447"/>
    </row>
    <row r="83" spans="2:18" ht="26.25" thickBot="1">
      <c r="B83" s="368" t="s">
        <v>968</v>
      </c>
      <c r="C83" s="369"/>
      <c r="D83" s="320" t="b">
        <v>0</v>
      </c>
      <c r="E83" s="450"/>
      <c r="F83" s="451"/>
      <c r="G83" s="262"/>
      <c r="H83" s="446"/>
      <c r="I83" s="446"/>
      <c r="J83" s="446"/>
      <c r="K83" s="446"/>
      <c r="L83" s="446"/>
      <c r="M83" s="446"/>
      <c r="N83" s="446"/>
      <c r="O83" s="446"/>
      <c r="P83" s="446"/>
      <c r="Q83" s="446"/>
      <c r="R83" s="447"/>
    </row>
    <row r="84" spans="2:18" ht="26.25" thickBot="1">
      <c r="B84" s="368" t="s">
        <v>969</v>
      </c>
      <c r="C84" s="369"/>
      <c r="D84" s="320" t="b">
        <v>0</v>
      </c>
      <c r="E84" s="450"/>
      <c r="F84" s="451"/>
      <c r="G84" s="262"/>
      <c r="H84" s="446"/>
      <c r="I84" s="446"/>
      <c r="J84" s="446"/>
      <c r="K84" s="446"/>
      <c r="L84" s="446"/>
      <c r="M84" s="446"/>
      <c r="N84" s="446"/>
      <c r="O84" s="446"/>
      <c r="P84" s="446"/>
      <c r="Q84" s="446"/>
      <c r="R84" s="447"/>
    </row>
    <row r="85" spans="2:18" ht="26.25" thickBot="1">
      <c r="B85" s="368" t="s">
        <v>970</v>
      </c>
      <c r="C85" s="369"/>
      <c r="D85" s="320" t="b">
        <v>1</v>
      </c>
      <c r="E85" s="450"/>
      <c r="F85" s="451"/>
      <c r="G85" s="262"/>
      <c r="H85" s="446"/>
      <c r="I85" s="446"/>
      <c r="J85" s="446"/>
      <c r="K85" s="446"/>
      <c r="L85" s="446"/>
      <c r="M85" s="446"/>
      <c r="N85" s="446"/>
      <c r="O85" s="446"/>
      <c r="P85" s="446"/>
      <c r="Q85" s="446"/>
      <c r="R85" s="447"/>
    </row>
    <row r="86" spans="2:18" ht="26.25" thickBot="1">
      <c r="B86" s="368" t="s">
        <v>971</v>
      </c>
      <c r="C86" s="369"/>
      <c r="D86" s="320" t="b">
        <v>1</v>
      </c>
      <c r="E86" s="450"/>
      <c r="F86" s="451"/>
      <c r="G86" s="262"/>
      <c r="H86" s="446"/>
      <c r="I86" s="446"/>
      <c r="J86" s="446"/>
      <c r="K86" s="446"/>
      <c r="L86" s="446"/>
      <c r="M86" s="446"/>
      <c r="N86" s="446"/>
      <c r="O86" s="446"/>
      <c r="P86" s="446"/>
      <c r="Q86" s="446"/>
      <c r="R86" s="447"/>
    </row>
    <row r="87" spans="2:18" ht="26.25" thickBot="1">
      <c r="B87" s="368" t="s">
        <v>972</v>
      </c>
      <c r="C87" s="369"/>
      <c r="D87" s="320" t="b">
        <v>0</v>
      </c>
      <c r="E87" s="450"/>
      <c r="F87" s="451"/>
      <c r="G87" s="262"/>
      <c r="H87" s="446"/>
      <c r="I87" s="446"/>
      <c r="J87" s="446"/>
      <c r="K87" s="446"/>
      <c r="L87" s="446"/>
      <c r="M87" s="446"/>
      <c r="N87" s="446"/>
      <c r="O87" s="446"/>
      <c r="P87" s="446"/>
      <c r="Q87" s="446"/>
      <c r="R87" s="447"/>
    </row>
    <row r="88" spans="2:18" ht="26.25" thickBot="1">
      <c r="B88" s="368" t="s">
        <v>973</v>
      </c>
      <c r="C88" s="369"/>
      <c r="D88" s="320" t="b">
        <v>1</v>
      </c>
      <c r="E88" s="450"/>
      <c r="F88" s="451"/>
      <c r="G88" s="262"/>
      <c r="H88" s="446"/>
      <c r="I88" s="446"/>
      <c r="J88" s="446"/>
      <c r="K88" s="446"/>
      <c r="L88" s="446"/>
      <c r="M88" s="446"/>
      <c r="N88" s="446"/>
      <c r="O88" s="446"/>
      <c r="P88" s="446"/>
      <c r="Q88" s="446"/>
      <c r="R88" s="447"/>
    </row>
    <row r="89" spans="2:18" ht="26.25" thickBot="1">
      <c r="B89" s="368" t="s">
        <v>974</v>
      </c>
      <c r="C89" s="369"/>
      <c r="D89" s="320" t="b">
        <v>0</v>
      </c>
      <c r="E89" s="450"/>
      <c r="F89" s="451"/>
      <c r="G89" s="262"/>
      <c r="H89" s="446"/>
      <c r="I89" s="446"/>
      <c r="J89" s="446"/>
      <c r="K89" s="446"/>
      <c r="L89" s="446"/>
      <c r="M89" s="446"/>
      <c r="N89" s="446"/>
      <c r="O89" s="446"/>
      <c r="P89" s="446"/>
      <c r="Q89" s="446"/>
      <c r="R89" s="447"/>
    </row>
    <row r="90" spans="2:18" ht="26.25" thickBot="1">
      <c r="B90" s="368" t="s">
        <v>975</v>
      </c>
      <c r="C90" s="369"/>
      <c r="D90" s="320" t="b">
        <v>1</v>
      </c>
      <c r="E90" s="450"/>
      <c r="F90" s="451"/>
      <c r="G90" s="262"/>
      <c r="H90" s="446"/>
      <c r="I90" s="446"/>
      <c r="J90" s="446"/>
      <c r="K90" s="446"/>
      <c r="L90" s="446"/>
      <c r="M90" s="446"/>
      <c r="N90" s="446"/>
      <c r="O90" s="446"/>
      <c r="P90" s="446"/>
      <c r="Q90" s="446"/>
      <c r="R90" s="447"/>
    </row>
    <row r="91" spans="2:18" ht="26.25" thickBot="1">
      <c r="B91" s="368" t="s">
        <v>976</v>
      </c>
      <c r="C91" s="369"/>
      <c r="D91" s="320" t="b">
        <v>0</v>
      </c>
      <c r="E91" s="450"/>
      <c r="F91" s="451"/>
      <c r="G91" s="262"/>
      <c r="H91" s="446"/>
      <c r="I91" s="446"/>
      <c r="J91" s="446"/>
      <c r="K91" s="446"/>
      <c r="L91" s="446"/>
      <c r="M91" s="446"/>
      <c r="N91" s="446"/>
      <c r="O91" s="446"/>
      <c r="P91" s="446"/>
      <c r="Q91" s="446"/>
      <c r="R91" s="447"/>
    </row>
    <row r="92" spans="2:18" ht="26.25" thickBot="1">
      <c r="B92" s="368" t="s">
        <v>977</v>
      </c>
      <c r="C92" s="369"/>
      <c r="D92" s="320" t="b">
        <v>1</v>
      </c>
      <c r="E92" s="450"/>
      <c r="F92" s="451"/>
      <c r="G92" s="262"/>
      <c r="H92" s="446"/>
      <c r="I92" s="446"/>
      <c r="J92" s="446"/>
      <c r="K92" s="446"/>
      <c r="L92" s="446"/>
      <c r="M92" s="446"/>
      <c r="N92" s="446"/>
      <c r="O92" s="446"/>
      <c r="P92" s="446"/>
      <c r="Q92" s="446"/>
      <c r="R92" s="447"/>
    </row>
    <row r="93" spans="2:18" ht="26.25" thickBot="1">
      <c r="B93" s="368" t="s">
        <v>978</v>
      </c>
      <c r="C93" s="369"/>
      <c r="D93" s="320" t="b">
        <v>0</v>
      </c>
      <c r="E93" s="450"/>
      <c r="F93" s="451"/>
      <c r="G93" s="262"/>
      <c r="H93" s="446"/>
      <c r="I93" s="446"/>
      <c r="J93" s="446"/>
      <c r="K93" s="446"/>
      <c r="L93" s="446"/>
      <c r="M93" s="446"/>
      <c r="N93" s="446"/>
      <c r="O93" s="446"/>
      <c r="P93" s="446"/>
      <c r="Q93" s="446"/>
      <c r="R93" s="447"/>
    </row>
    <row r="94" spans="2:18" ht="26.25" thickBot="1">
      <c r="B94" s="368" t="s">
        <v>979</v>
      </c>
      <c r="C94" s="369"/>
      <c r="D94" s="320" t="b">
        <v>0</v>
      </c>
      <c r="E94" s="450"/>
      <c r="F94" s="451"/>
      <c r="G94" s="262"/>
      <c r="H94" s="446"/>
      <c r="I94" s="446"/>
      <c r="J94" s="446"/>
      <c r="K94" s="446"/>
      <c r="L94" s="446"/>
      <c r="M94" s="446"/>
      <c r="N94" s="446"/>
      <c r="O94" s="446"/>
      <c r="P94" s="446"/>
      <c r="Q94" s="446"/>
      <c r="R94" s="447"/>
    </row>
    <row r="95" spans="2:18" ht="26.25" thickBot="1">
      <c r="B95" s="368" t="s">
        <v>980</v>
      </c>
      <c r="C95" s="369"/>
      <c r="D95" s="320" t="b">
        <v>0</v>
      </c>
      <c r="E95" s="450"/>
      <c r="F95" s="451"/>
      <c r="G95" s="262"/>
      <c r="H95" s="446"/>
      <c r="I95" s="446"/>
      <c r="J95" s="446"/>
      <c r="K95" s="446"/>
      <c r="L95" s="446"/>
      <c r="M95" s="446"/>
      <c r="N95" s="446"/>
      <c r="O95" s="446"/>
      <c r="P95" s="446"/>
      <c r="Q95" s="446"/>
      <c r="R95" s="447"/>
    </row>
    <row r="96" spans="2:18" ht="26.25" thickBot="1">
      <c r="B96" s="368" t="s">
        <v>981</v>
      </c>
      <c r="C96" s="369"/>
      <c r="D96" s="320" t="b">
        <v>0</v>
      </c>
      <c r="E96" s="450"/>
      <c r="F96" s="451"/>
      <c r="G96" s="262"/>
      <c r="H96" s="446"/>
      <c r="I96" s="446"/>
      <c r="J96" s="446"/>
      <c r="K96" s="446"/>
      <c r="L96" s="446"/>
      <c r="M96" s="446"/>
      <c r="N96" s="446"/>
      <c r="O96" s="446"/>
      <c r="P96" s="446"/>
      <c r="Q96" s="446"/>
      <c r="R96" s="447"/>
    </row>
    <row r="97" spans="2:18" ht="26.25" thickBot="1">
      <c r="B97" s="368" t="s">
        <v>982</v>
      </c>
      <c r="C97" s="369"/>
      <c r="D97" s="320" t="b">
        <v>1</v>
      </c>
      <c r="E97" s="450"/>
      <c r="F97" s="451"/>
      <c r="G97" s="262"/>
      <c r="H97" s="446"/>
      <c r="I97" s="446"/>
      <c r="J97" s="446"/>
      <c r="K97" s="446"/>
      <c r="L97" s="446"/>
      <c r="M97" s="446"/>
      <c r="N97" s="446"/>
      <c r="O97" s="446"/>
      <c r="P97" s="446"/>
      <c r="Q97" s="446"/>
      <c r="R97" s="447"/>
    </row>
    <row r="98" spans="2:18" ht="26.25" thickBot="1">
      <c r="B98" s="368" t="s">
        <v>983</v>
      </c>
      <c r="C98" s="369"/>
      <c r="D98" s="320" t="b">
        <v>0</v>
      </c>
      <c r="E98" s="450"/>
      <c r="F98" s="451"/>
      <c r="G98" s="262"/>
      <c r="H98" s="446"/>
      <c r="I98" s="446"/>
      <c r="J98" s="446"/>
      <c r="K98" s="446"/>
      <c r="L98" s="446"/>
      <c r="M98" s="446"/>
      <c r="N98" s="446"/>
      <c r="O98" s="446"/>
      <c r="P98" s="446"/>
      <c r="Q98" s="446"/>
      <c r="R98" s="447"/>
    </row>
    <row r="99" spans="2:18" ht="26.25" thickBot="1">
      <c r="B99" s="368" t="s">
        <v>984</v>
      </c>
      <c r="C99" s="369"/>
      <c r="D99" s="320" t="b">
        <v>0</v>
      </c>
      <c r="E99" s="450"/>
      <c r="F99" s="451"/>
      <c r="G99" s="262"/>
      <c r="H99" s="446"/>
      <c r="I99" s="446"/>
      <c r="J99" s="446"/>
      <c r="K99" s="446"/>
      <c r="L99" s="446"/>
      <c r="M99" s="446"/>
      <c r="N99" s="446"/>
      <c r="O99" s="446"/>
      <c r="P99" s="446"/>
      <c r="Q99" s="446"/>
      <c r="R99" s="447"/>
    </row>
    <row r="100" spans="2:18" ht="26.25" thickBot="1">
      <c r="B100" s="368" t="s">
        <v>985</v>
      </c>
      <c r="C100" s="369"/>
      <c r="D100" s="320" t="b">
        <v>0</v>
      </c>
      <c r="E100" s="450"/>
      <c r="F100" s="451"/>
      <c r="G100" s="262"/>
      <c r="H100" s="446"/>
      <c r="I100" s="446"/>
      <c r="J100" s="446"/>
      <c r="K100" s="446"/>
      <c r="L100" s="446"/>
      <c r="M100" s="446"/>
      <c r="N100" s="446"/>
      <c r="O100" s="446"/>
      <c r="P100" s="446"/>
      <c r="Q100" s="446"/>
      <c r="R100" s="447"/>
    </row>
    <row r="101" spans="2:18" ht="26.25" thickBot="1">
      <c r="B101" s="368" t="s">
        <v>986</v>
      </c>
      <c r="C101" s="369"/>
      <c r="D101" s="320" t="b">
        <v>1</v>
      </c>
      <c r="E101" s="450"/>
      <c r="F101" s="451"/>
      <c r="G101" s="262"/>
      <c r="H101" s="446"/>
      <c r="I101" s="446"/>
      <c r="J101" s="446"/>
      <c r="K101" s="446"/>
      <c r="L101" s="446"/>
      <c r="M101" s="446"/>
      <c r="N101" s="446"/>
      <c r="O101" s="446"/>
      <c r="P101" s="446"/>
      <c r="Q101" s="446"/>
      <c r="R101" s="447"/>
    </row>
    <row r="102" spans="2:18" ht="26.25" thickBot="1">
      <c r="B102" s="368" t="s">
        <v>987</v>
      </c>
      <c r="C102" s="369"/>
      <c r="D102" s="320" t="b">
        <v>0</v>
      </c>
      <c r="E102" s="450"/>
      <c r="F102" s="451"/>
      <c r="G102" s="262"/>
      <c r="H102" s="446"/>
      <c r="I102" s="446"/>
      <c r="J102" s="446"/>
      <c r="K102" s="446"/>
      <c r="L102" s="446"/>
      <c r="M102" s="446"/>
      <c r="N102" s="446"/>
      <c r="O102" s="446"/>
      <c r="P102" s="446"/>
      <c r="Q102" s="446"/>
      <c r="R102" s="447"/>
    </row>
    <row r="103" spans="2:18" ht="26.25" thickBot="1">
      <c r="B103" s="368" t="s">
        <v>988</v>
      </c>
      <c r="C103" s="369"/>
      <c r="D103" s="320" t="b">
        <v>0</v>
      </c>
      <c r="E103" s="450"/>
      <c r="F103" s="451"/>
      <c r="G103" s="262"/>
      <c r="H103" s="446"/>
      <c r="I103" s="446"/>
      <c r="J103" s="446"/>
      <c r="K103" s="446"/>
      <c r="L103" s="446"/>
      <c r="M103" s="446"/>
      <c r="N103" s="446"/>
      <c r="O103" s="446"/>
      <c r="P103" s="446"/>
      <c r="Q103" s="446"/>
      <c r="R103" s="447"/>
    </row>
    <row r="104" spans="2:18" ht="26.25" thickBot="1">
      <c r="B104" s="368" t="s">
        <v>989</v>
      </c>
      <c r="C104" s="369"/>
      <c r="D104" s="320" t="b">
        <v>0</v>
      </c>
      <c r="E104" s="450"/>
      <c r="F104" s="451"/>
      <c r="G104" s="262"/>
      <c r="H104" s="446"/>
      <c r="I104" s="446"/>
      <c r="J104" s="446"/>
      <c r="K104" s="446"/>
      <c r="L104" s="446"/>
      <c r="M104" s="446"/>
      <c r="N104" s="446"/>
      <c r="O104" s="446"/>
      <c r="P104" s="446"/>
      <c r="Q104" s="446"/>
      <c r="R104" s="447"/>
    </row>
    <row r="105" spans="2:18" ht="26.25" thickBot="1">
      <c r="B105" s="368" t="s">
        <v>990</v>
      </c>
      <c r="C105" s="369"/>
      <c r="D105" s="320" t="b">
        <v>0</v>
      </c>
      <c r="E105" s="450"/>
      <c r="F105" s="451"/>
      <c r="G105" s="262"/>
      <c r="H105" s="446"/>
      <c r="I105" s="446"/>
      <c r="J105" s="446"/>
      <c r="K105" s="446"/>
      <c r="L105" s="446"/>
      <c r="M105" s="446"/>
      <c r="N105" s="446"/>
      <c r="O105" s="446"/>
      <c r="P105" s="446"/>
      <c r="Q105" s="446"/>
      <c r="R105" s="447"/>
    </row>
    <row r="106" spans="2:18" ht="26.25" thickBot="1">
      <c r="B106" s="368" t="s">
        <v>991</v>
      </c>
      <c r="C106" s="369"/>
      <c r="D106" s="320" t="b">
        <v>1</v>
      </c>
      <c r="E106" s="450"/>
      <c r="F106" s="451"/>
      <c r="G106" s="262"/>
      <c r="H106" s="446"/>
      <c r="I106" s="446"/>
      <c r="J106" s="446"/>
      <c r="K106" s="446"/>
      <c r="L106" s="446"/>
      <c r="M106" s="446"/>
      <c r="N106" s="446"/>
      <c r="O106" s="446"/>
      <c r="P106" s="446"/>
      <c r="Q106" s="446"/>
      <c r="R106" s="447"/>
    </row>
    <row r="107" spans="2:18" ht="26.25" thickBot="1">
      <c r="B107" s="412" t="s">
        <v>992</v>
      </c>
      <c r="C107" s="457"/>
      <c r="D107" s="320" t="b">
        <v>0</v>
      </c>
      <c r="E107" s="458"/>
      <c r="F107" s="459"/>
      <c r="G107" s="263"/>
      <c r="H107" s="460"/>
      <c r="I107" s="460"/>
      <c r="J107" s="460"/>
      <c r="K107" s="460"/>
      <c r="L107" s="460"/>
      <c r="M107" s="460"/>
      <c r="N107" s="460"/>
      <c r="O107" s="460"/>
      <c r="P107" s="460"/>
      <c r="Q107" s="460"/>
      <c r="R107" s="461"/>
    </row>
  </sheetData>
  <mergeCells count="230">
    <mergeCell ref="E105:F105"/>
    <mergeCell ref="H105:R105"/>
    <mergeCell ref="E106:F106"/>
    <mergeCell ref="H106:R106"/>
    <mergeCell ref="E107:F107"/>
    <mergeCell ref="H107:R107"/>
    <mergeCell ref="E100:F100"/>
    <mergeCell ref="H100:R100"/>
    <mergeCell ref="E101:F101"/>
    <mergeCell ref="H101:R101"/>
    <mergeCell ref="E102:F102"/>
    <mergeCell ref="H102:R102"/>
    <mergeCell ref="E103:F103"/>
    <mergeCell ref="H103:R103"/>
    <mergeCell ref="E104:F104"/>
    <mergeCell ref="H104:R104"/>
    <mergeCell ref="E95:F95"/>
    <mergeCell ref="H95:R95"/>
    <mergeCell ref="E96:F96"/>
    <mergeCell ref="H96:R96"/>
    <mergeCell ref="E97:F97"/>
    <mergeCell ref="H97:R97"/>
    <mergeCell ref="E98:F98"/>
    <mergeCell ref="H98:R98"/>
    <mergeCell ref="E99:F99"/>
    <mergeCell ref="H99:R99"/>
    <mergeCell ref="E90:F90"/>
    <mergeCell ref="H90:R90"/>
    <mergeCell ref="E91:F91"/>
    <mergeCell ref="H91:R91"/>
    <mergeCell ref="E92:F92"/>
    <mergeCell ref="H92:R92"/>
    <mergeCell ref="E93:F93"/>
    <mergeCell ref="H93:R93"/>
    <mergeCell ref="E94:F94"/>
    <mergeCell ref="H94:R94"/>
    <mergeCell ref="B107:C107"/>
    <mergeCell ref="B79:C79"/>
    <mergeCell ref="E79:F79"/>
    <mergeCell ref="H79:R79"/>
    <mergeCell ref="E80:F80"/>
    <mergeCell ref="H80:R80"/>
    <mergeCell ref="E81:F81"/>
    <mergeCell ref="H81:R81"/>
    <mergeCell ref="E82:F82"/>
    <mergeCell ref="H82:R82"/>
    <mergeCell ref="E83:F83"/>
    <mergeCell ref="H83:R83"/>
    <mergeCell ref="E84:F84"/>
    <mergeCell ref="H84:R84"/>
    <mergeCell ref="E85:F85"/>
    <mergeCell ref="H85:R85"/>
    <mergeCell ref="E86:F86"/>
    <mergeCell ref="H86:R86"/>
    <mergeCell ref="E87:F87"/>
    <mergeCell ref="H87:R87"/>
    <mergeCell ref="E88:F88"/>
    <mergeCell ref="H88:R88"/>
    <mergeCell ref="E89:F89"/>
    <mergeCell ref="H89:R89"/>
    <mergeCell ref="B98:C98"/>
    <mergeCell ref="B99:C99"/>
    <mergeCell ref="B100:C100"/>
    <mergeCell ref="B101:C101"/>
    <mergeCell ref="B102:C102"/>
    <mergeCell ref="B103:C103"/>
    <mergeCell ref="B104:C104"/>
    <mergeCell ref="B105:C105"/>
    <mergeCell ref="B106:C106"/>
    <mergeCell ref="B89:C89"/>
    <mergeCell ref="B90:C90"/>
    <mergeCell ref="B91:C91"/>
    <mergeCell ref="B92:C92"/>
    <mergeCell ref="B93:C93"/>
    <mergeCell ref="B94:C94"/>
    <mergeCell ref="B95:C95"/>
    <mergeCell ref="B96:C96"/>
    <mergeCell ref="B97:C97"/>
    <mergeCell ref="B80:C80"/>
    <mergeCell ref="B81:C81"/>
    <mergeCell ref="B82:C82"/>
    <mergeCell ref="B83:C83"/>
    <mergeCell ref="B84:C84"/>
    <mergeCell ref="B85:C85"/>
    <mergeCell ref="B86:C86"/>
    <mergeCell ref="B87:C87"/>
    <mergeCell ref="B88:C88"/>
    <mergeCell ref="H58:R58"/>
    <mergeCell ref="H69:R69"/>
    <mergeCell ref="H70:R70"/>
    <mergeCell ref="H71:R71"/>
    <mergeCell ref="H72:R72"/>
    <mergeCell ref="H64:R64"/>
    <mergeCell ref="H65:R65"/>
    <mergeCell ref="H66:R66"/>
    <mergeCell ref="H67:R67"/>
    <mergeCell ref="H68:R68"/>
    <mergeCell ref="H59:R59"/>
    <mergeCell ref="H60:R60"/>
    <mergeCell ref="H61:R61"/>
    <mergeCell ref="H62:R62"/>
    <mergeCell ref="H63:R63"/>
    <mergeCell ref="E56:F56"/>
    <mergeCell ref="E57:F57"/>
    <mergeCell ref="E54:F54"/>
    <mergeCell ref="E55:F55"/>
    <mergeCell ref="E52:F52"/>
    <mergeCell ref="E53:F53"/>
    <mergeCell ref="H54:R54"/>
    <mergeCell ref="H55:R55"/>
    <mergeCell ref="H56:R56"/>
    <mergeCell ref="H57:R57"/>
    <mergeCell ref="E66:F66"/>
    <mergeCell ref="E67:F67"/>
    <mergeCell ref="E64:F64"/>
    <mergeCell ref="E65:F65"/>
    <mergeCell ref="E62:F62"/>
    <mergeCell ref="E63:F63"/>
    <mergeCell ref="E60:F60"/>
    <mergeCell ref="E61:F61"/>
    <mergeCell ref="E58:F58"/>
    <mergeCell ref="E59:F59"/>
    <mergeCell ref="E76:F76"/>
    <mergeCell ref="E68:F68"/>
    <mergeCell ref="E69:F69"/>
    <mergeCell ref="E70:F70"/>
    <mergeCell ref="E71:F71"/>
    <mergeCell ref="E77:F77"/>
    <mergeCell ref="H74:R74"/>
    <mergeCell ref="H75:R75"/>
    <mergeCell ref="H76:R76"/>
    <mergeCell ref="H77:R77"/>
    <mergeCell ref="E74:F74"/>
    <mergeCell ref="E75:F75"/>
    <mergeCell ref="E72:F72"/>
    <mergeCell ref="E73:F73"/>
    <mergeCell ref="H73:R73"/>
    <mergeCell ref="B64:C64"/>
    <mergeCell ref="B65:C65"/>
    <mergeCell ref="B66:C66"/>
    <mergeCell ref="B57:C57"/>
    <mergeCell ref="B58:C58"/>
    <mergeCell ref="B59:C59"/>
    <mergeCell ref="B60:C60"/>
    <mergeCell ref="B61:C61"/>
    <mergeCell ref="B77:C77"/>
    <mergeCell ref="B72:C72"/>
    <mergeCell ref="B73:C73"/>
    <mergeCell ref="B74:C74"/>
    <mergeCell ref="B75:C75"/>
    <mergeCell ref="B76:C76"/>
    <mergeCell ref="B67:C67"/>
    <mergeCell ref="B68:C68"/>
    <mergeCell ref="B69:C69"/>
    <mergeCell ref="B70:C70"/>
    <mergeCell ref="B71:C71"/>
    <mergeCell ref="B55:C55"/>
    <mergeCell ref="B56:C56"/>
    <mergeCell ref="B47:C47"/>
    <mergeCell ref="B48:C48"/>
    <mergeCell ref="B49:C49"/>
    <mergeCell ref="B50:C50"/>
    <mergeCell ref="B51:C51"/>
    <mergeCell ref="B62:C62"/>
    <mergeCell ref="B63:C63"/>
    <mergeCell ref="B38:E38"/>
    <mergeCell ref="B31:E31"/>
    <mergeCell ref="B30:E30"/>
    <mergeCell ref="B37:E37"/>
    <mergeCell ref="B52:C52"/>
    <mergeCell ref="B53:C53"/>
    <mergeCell ref="B54:C54"/>
    <mergeCell ref="H52:R52"/>
    <mergeCell ref="H53:R53"/>
    <mergeCell ref="E47:F47"/>
    <mergeCell ref="E48:F48"/>
    <mergeCell ref="E49:F49"/>
    <mergeCell ref="E50:F50"/>
    <mergeCell ref="E51:F51"/>
    <mergeCell ref="H47:R47"/>
    <mergeCell ref="H48:R48"/>
    <mergeCell ref="H49:R49"/>
    <mergeCell ref="H50:R50"/>
    <mergeCell ref="H51:R51"/>
    <mergeCell ref="H40:I40"/>
    <mergeCell ref="H41:I41"/>
    <mergeCell ref="B40:C41"/>
    <mergeCell ref="D40:D41"/>
    <mergeCell ref="E40:F40"/>
    <mergeCell ref="E41:F41"/>
    <mergeCell ref="BC13:BD13"/>
    <mergeCell ref="B35:E35"/>
    <mergeCell ref="B36:E36"/>
    <mergeCell ref="AY17:BI22"/>
    <mergeCell ref="BC14:BD14"/>
    <mergeCell ref="BC15:BD15"/>
    <mergeCell ref="B20:E20"/>
    <mergeCell ref="B19:E19"/>
    <mergeCell ref="B17:E17"/>
    <mergeCell ref="B16:E16"/>
    <mergeCell ref="BH13:BI13"/>
    <mergeCell ref="BH14:BI14"/>
    <mergeCell ref="AO13:AS13"/>
    <mergeCell ref="AY13:BB13"/>
    <mergeCell ref="B32:E32"/>
    <mergeCell ref="B33:E33"/>
    <mergeCell ref="L28:O28"/>
    <mergeCell ref="AM29:AP29"/>
    <mergeCell ref="B21:AC21"/>
    <mergeCell ref="B22:AC27"/>
    <mergeCell ref="BH15:BI15"/>
    <mergeCell ref="AY16:BI16"/>
    <mergeCell ref="AY14:BB14"/>
    <mergeCell ref="AY15:BB15"/>
    <mergeCell ref="B18:E18"/>
    <mergeCell ref="P2:R2"/>
    <mergeCell ref="K2:N2"/>
    <mergeCell ref="B4:T4"/>
    <mergeCell ref="B15:E15"/>
    <mergeCell ref="B14:E14"/>
    <mergeCell ref="C2:E2"/>
    <mergeCell ref="G2:I2"/>
    <mergeCell ref="B13:E13"/>
    <mergeCell ref="C7:E7"/>
    <mergeCell ref="C8:E8"/>
    <mergeCell ref="C9:E9"/>
    <mergeCell ref="C10:E10"/>
    <mergeCell ref="J7:O7"/>
    <mergeCell ref="J8:O8"/>
    <mergeCell ref="P3:Z3"/>
  </mergeCells>
  <conditionalFormatting sqref="G10 I10:J10">
    <cfRule type="expression" dxfId="1" priority="1">
      <formula>$F$10=$B$35</formula>
    </cfRule>
  </conditionalFormatting>
  <conditionalFormatting sqref="G10:R10 T10:AC10">
    <cfRule type="expression" dxfId="0" priority="2">
      <formula>$F$10=$B$30</formula>
    </cfRule>
  </conditionalFormatting>
  <dataValidations count="4">
    <dataValidation type="list" allowBlank="1" showInputMessage="1" showErrorMessage="1" sqref="G14:G20" xr:uid="{ADDE1E71-58AD-4AC9-B691-71958D0A0AE7}">
      <formula1>INDIRECT(F14)</formula1>
    </dataValidation>
    <dataValidation type="list" allowBlank="1" showInputMessage="1" showErrorMessage="1" sqref="F31:F33 F36:F38" xr:uid="{42A21E59-9BEE-4B4F-8F4B-DEBB14C85E76}">
      <formula1>"Schild,Parierwaffe"</formula1>
    </dataValidation>
    <dataValidation type="list" allowBlank="1" showInputMessage="1" showErrorMessage="1" sqref="H36" xr:uid="{746EE8CD-706C-4554-8920-42C56CA31B68}">
      <formula1>"Klein, Groß, Sehr Groß,"</formula1>
    </dataValidation>
    <dataValidation type="list" allowBlank="1" showInputMessage="1" showErrorMessage="1" sqref="D80:D107 D48:D77" xr:uid="{6C5A6D26-2D55-4F9E-8991-85F788D64CF6}">
      <formula1>"WAHR,FALSCH"</formula1>
    </dataValidation>
  </dataValidations>
  <hyperlinks>
    <hyperlink ref="B48" r:id="rId1" tooltip="Ausfall (Zweikampf)" display="https://de.wiki-aventurica.de/wiki/Ausfall_(Zweikampf)" xr:uid="{D953C3CF-86C9-4FD5-A840-4514B7FB1279}"/>
    <hyperlink ref="B49" r:id="rId2" tooltip="Befreiungsschlag" display="https://de.wiki-aventurica.de/wiki/Befreiungsschlag" xr:uid="{0811317F-5BD7-4B98-BF86-3D6B9D2B5A43}"/>
    <hyperlink ref="B50" r:id="rId3" tooltip="Betäubungsschlag" display="https://de.wiki-aventurica.de/wiki/Bet%C3%A4ubungsschlag" xr:uid="{46444230-B3B3-4B1A-A084-13353FAA2F27}"/>
    <hyperlink ref="B51" r:id="rId4" tooltip="Binden" display="https://de.wiki-aventurica.de/wiki/Binden" xr:uid="{4DBF4F4A-C461-4EAA-92AC-2E1383BD7B43}"/>
    <hyperlink ref="B52" r:id="rId5" tooltip="Defensiver Kampfstil" display="https://de.wiki-aventurica.de/wiki/Defensiver_Kampfstil" xr:uid="{EC18115D-AE76-45AF-9F57-A8D3B6A888B4}"/>
    <hyperlink ref="B53" r:id="rId6" tooltip="Doppelangriff" display="https://de.wiki-aventurica.de/wiki/Doppelangriff" xr:uid="{89CD0898-C7F8-4F11-A834-8C916072C87C}"/>
    <hyperlink ref="B54" r:id="rId7" tooltip="Entwaffnen" display="https://de.wiki-aventurica.de/wiki/Entwaffnen" xr:uid="{B797DD0D-F4EA-421F-AB1B-7A9BFE99F2D8}"/>
    <hyperlink ref="B56" r:id="rId8" tooltip="Festnageln" display="https://de.wiki-aventurica.de/wiki/Festnageln" xr:uid="{55BDCA98-3C18-4421-A60F-C508FF531E05}"/>
    <hyperlink ref="B57" r:id="rId9" tooltip="Finte" display="https://de.wiki-aventurica.de/wiki/Finte" xr:uid="{9225B57A-B04D-4C4C-BA6F-000C8D096F9D}"/>
    <hyperlink ref="B58" r:id="rId10" tooltip="Formation" display="https://de.wiki-aventurica.de/wiki/Formation" xr:uid="{F926B522-B7D9-441D-971A-7FDF0013807E}"/>
    <hyperlink ref="B59" r:id="rId11" tooltip="Formation" display="https://de.wiki-aventurica.de/wiki/Formation" xr:uid="{384B51CF-9DF3-4E8A-A52A-29B41FA9DA98}"/>
    <hyperlink ref="B60" r:id="rId12" tooltip="Gegenhalten" display="https://de.wiki-aventurica.de/wiki/Gegenhalten" xr:uid="{335C511B-7F07-4DC5-BC0D-8BD75558A80D}"/>
    <hyperlink ref="B61" r:id="rId13" tooltip="Gezielter Stich" display="https://de.wiki-aventurica.de/wiki/Gezielter_Stich" xr:uid="{B4D034AB-E048-4F6E-8892-47D1C07DC12A}"/>
    <hyperlink ref="B62" r:id="rId14" tooltip="Halbschwert" display="https://de.wiki-aventurica.de/wiki/Halbschwert" xr:uid="{E1A6171D-6C4E-4AF2-A036-D6A8786B774E}"/>
    <hyperlink ref="B63" r:id="rId15" tooltip="Hammerschlag (Sonderfertigkeit)" display="https://de.wiki-aventurica.de/wiki/Hammerschlag_(Sonderfertigkeit)" xr:uid="{8B40F59E-045E-484C-BE62-C0A8B1AF2584}"/>
    <hyperlink ref="B64" r:id="rId16" tooltip="Klingensturm" display="https://de.wiki-aventurica.de/wiki/Klingensturm" xr:uid="{FEE999C7-728A-48D2-A635-43A38CF3D248}"/>
    <hyperlink ref="B65" r:id="rId17" tooltip="Klingenwand" display="https://de.wiki-aventurica.de/wiki/Klingenwand" xr:uid="{51F07534-93CA-4B33-AF73-96C6EBDA341C}"/>
    <hyperlink ref="B66" r:id="rId18" tooltip="Meisterparade" display="https://de.wiki-aventurica.de/wiki/Meisterparade" xr:uid="{780944C1-DE3C-4A77-B8D8-C06436F97CC1}"/>
    <hyperlink ref="B67" r:id="rId19" tooltip="Niederwerfen" display="https://de.wiki-aventurica.de/wiki/Niederwerfen" xr:uid="{F26BB8B0-C804-4996-BB20-315CD4E3F8CF}"/>
    <hyperlink ref="B70" r:id="rId20" tooltip="Schildspalter" display="https://de.wiki-aventurica.de/wiki/Schildspalter" xr:uid="{5D61C9D6-8060-467A-98C3-0AE05065C8BB}"/>
    <hyperlink ref="B72" r:id="rId21" tooltip="Stumpfer Schlag (Seite nicht vorhanden)" display="https://de.wiki-aventurica.de/de/index.php?title=Stumpfer_Schlag&amp;action=edit&amp;redlink=1" xr:uid="{CABF0B9E-E9E2-4EC2-A288-837F62A79D64}"/>
    <hyperlink ref="B73" r:id="rId22" tooltip="Sturmangriff (Sonderfertigkeit)" display="https://de.wiki-aventurica.de/wiki/Sturmangriff_(Sonderfertigkeit)" xr:uid="{C7939E3F-8FF8-4DC5-9227-A31A5BF04125}"/>
    <hyperlink ref="B74" r:id="rId23" tooltip="Todesstoß" display="https://de.wiki-aventurica.de/wiki/Todessto%C3%9F" xr:uid="{4D6B8ACD-D6DE-4165-B109-766952EE38E0}"/>
    <hyperlink ref="B75" r:id="rId24" tooltip="Umreißen" display="https://de.wiki-aventurica.de/wiki/Umrei%C3%9Fen" xr:uid="{DE180837-75C9-4D01-8FBC-A8F76142687D}"/>
    <hyperlink ref="B76" r:id="rId25" tooltip="Windmühle (Sonderfertigkeit)" display="https://de.wiki-aventurica.de/wiki/Windm%C3%BChle_(Sonderfertigkeit)" xr:uid="{1815430C-9D3D-4495-8323-B4EA31F8806A}"/>
    <hyperlink ref="B77" r:id="rId26" tooltip="Wuchtschlag" display="https://de.wiki-aventurica.de/wiki/Wuchtschlag" xr:uid="{5EE63B57-6D1F-48D1-8AFF-B6DA3344E25D}"/>
    <hyperlink ref="B55" r:id="rId27" tooltip="Entwaffnen" display="https://de.wiki-aventurica.de/wiki/Entwaffnen" xr:uid="{4FAE4283-D752-41B1-8DAE-55C86B6639F4}"/>
  </hyperlinks>
  <pageMargins left="0.7" right="0.7" top="0.78740157499999996" bottom="0.78740157499999996" header="0.3" footer="0.3"/>
  <pageSetup paperSize="9" scale="38" orientation="portrait" r:id="rId28"/>
  <extLst>
    <ext xmlns:x14="http://schemas.microsoft.com/office/spreadsheetml/2009/9/main" uri="{CCE6A557-97BC-4b89-ADB6-D9C93CAAB3DF}">
      <x14:dataValidations xmlns:xm="http://schemas.microsoft.com/office/excel/2006/main" count="5">
        <x14:dataValidation type="list" allowBlank="1" showInputMessage="1" showErrorMessage="1" xr:uid="{90DB2882-284B-4326-B946-91443285BBCD}">
          <x14:formula1>
            <xm:f>Rechner!$A$1:$A$2</xm:f>
          </x14:formula1>
          <xm:sqref>H40:H41</xm:sqref>
        </x14:dataValidation>
        <x14:dataValidation type="list" allowBlank="1" showInputMessage="1" showErrorMessage="1" xr:uid="{83294C4F-F1FE-4686-B58D-8F6630774350}">
          <x14:formula1>
            <xm:f>Rechner!$B$1:$B$2</xm:f>
          </x14:formula1>
          <xm:sqref>AI37 AL36:AM36</xm:sqref>
        </x14:dataValidation>
        <x14:dataValidation type="list" allowBlank="1" showInputMessage="1" showErrorMessage="1" xr:uid="{155C4E28-3AE7-4187-A230-FC416EF7106A}">
          <x14:formula1>
            <xm:f>Kampftechniken!$B$4:$B$20</xm:f>
          </x14:formula1>
          <xm:sqref>F14:F20</xm:sqref>
        </x14:dataValidation>
        <x14:dataValidation type="list" allowBlank="1" showInputMessage="1" showErrorMessage="1" xr:uid="{5AFDEA39-EAEE-4D5D-8944-ADEB6D95AB4B}">
          <x14:formula1>
            <xm:f>Rechner!$H$2:$H$14</xm:f>
          </x14:formula1>
          <xm:sqref>C8 C10:C11</xm:sqref>
        </x14:dataValidation>
        <x14:dataValidation type="list" allowBlank="1" showInputMessage="1" showErrorMessage="1" xr:uid="{E0E30581-3AF7-4BD9-AD6F-1981A6675CF6}">
          <x14:formula1>
            <xm:f>Rechner!$C$1:$C$2</xm:f>
          </x14:formula1>
          <xm:sqref>AJ14:AJ19 D40:D41 G40 G41 J40 J41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2D81-4FD4-4240-A441-D5F406D0A03F}">
  <sheetPr>
    <pageSetUpPr fitToPage="1"/>
  </sheetPr>
  <dimension ref="B1:AS69"/>
  <sheetViews>
    <sheetView topLeftCell="B1" workbookViewId="0">
      <selection activeCell="B7" sqref="B7:O12"/>
    </sheetView>
  </sheetViews>
  <sheetFormatPr baseColWidth="10" defaultColWidth="11.44140625" defaultRowHeight="25.5"/>
  <cols>
    <col min="1" max="5" width="11.44140625" style="2"/>
    <col min="6" max="6" width="18.33203125" style="2" customWidth="1"/>
    <col min="7" max="7" width="17.6640625" style="2" customWidth="1"/>
    <col min="8" max="20" width="11.44140625" style="2"/>
    <col min="21" max="26" width="10.88671875" style="2" customWidth="1"/>
    <col min="27" max="35" width="11.44140625" style="2"/>
    <col min="36" max="36" width="11.33203125" style="2" customWidth="1"/>
    <col min="37" max="37" width="11.5546875" style="2" customWidth="1"/>
    <col min="38" max="16384" width="11.44140625" style="2"/>
  </cols>
  <sheetData>
    <row r="1" spans="2:45" ht="26.25" thickBot="1"/>
    <row r="2" spans="2:45" ht="27" thickTop="1" thickBot="1">
      <c r="B2" s="8"/>
      <c r="C2" s="407" t="s">
        <v>1236</v>
      </c>
      <c r="D2" s="407"/>
      <c r="E2" s="407"/>
      <c r="F2" s="35">
        <f>ROUND(Eigenschaften!P26,0)</f>
        <v>8</v>
      </c>
      <c r="G2" s="407" t="s">
        <v>1237</v>
      </c>
      <c r="H2" s="407"/>
      <c r="I2" s="407"/>
      <c r="J2" s="35">
        <f>ROUND(Eigenschaften!P27,0)</f>
        <v>8</v>
      </c>
      <c r="K2" s="408" t="s">
        <v>1238</v>
      </c>
      <c r="L2" s="408"/>
      <c r="M2" s="408"/>
      <c r="N2" s="408"/>
      <c r="O2" s="35">
        <f>ROUND(Eigenschaften!P28,0)</f>
        <v>7</v>
      </c>
      <c r="P2" s="407" t="s">
        <v>1239</v>
      </c>
      <c r="Q2" s="407"/>
      <c r="R2" s="407"/>
      <c r="S2" s="35">
        <f>ROUND(Eigenschaften!P25,0)</f>
        <v>11</v>
      </c>
      <c r="T2" s="7"/>
    </row>
    <row r="3" spans="2:45" ht="26.25" thickTop="1"/>
    <row r="4" spans="2:45">
      <c r="B4" s="409" t="s">
        <v>1241</v>
      </c>
      <c r="C4" s="409"/>
      <c r="D4" s="409"/>
      <c r="E4" s="409"/>
      <c r="F4" s="409"/>
      <c r="G4" s="409"/>
      <c r="H4" s="409"/>
      <c r="I4" s="409"/>
      <c r="J4" s="409"/>
      <c r="K4" s="409"/>
      <c r="L4" s="409"/>
      <c r="M4" s="409"/>
      <c r="N4" s="409"/>
      <c r="O4" s="409"/>
      <c r="P4" s="409"/>
      <c r="Q4" s="409"/>
      <c r="R4" s="409"/>
      <c r="S4" s="409"/>
      <c r="T4" s="409"/>
    </row>
    <row r="5" spans="2:45" ht="26.25" thickBot="1">
      <c r="N5" s="4"/>
      <c r="O5" s="4"/>
      <c r="P5" s="4"/>
      <c r="Q5" s="4"/>
      <c r="R5" s="4"/>
      <c r="S5" s="4"/>
    </row>
    <row r="6" spans="2:45" ht="26.25" thickTop="1">
      <c r="B6" s="462" t="s">
        <v>1252</v>
      </c>
      <c r="C6" s="463"/>
      <c r="D6" s="463"/>
      <c r="E6" s="463"/>
      <c r="F6" s="17" t="s">
        <v>1253</v>
      </c>
      <c r="G6" s="17" t="s">
        <v>1254</v>
      </c>
      <c r="H6" s="17" t="s">
        <v>1255</v>
      </c>
      <c r="I6" s="17" t="s">
        <v>1256</v>
      </c>
      <c r="J6" s="17" t="s">
        <v>1257</v>
      </c>
      <c r="K6" s="17" t="s">
        <v>60</v>
      </c>
      <c r="L6" s="17" t="s">
        <v>1258</v>
      </c>
      <c r="M6" s="17" t="s">
        <v>1259</v>
      </c>
      <c r="N6" s="17" t="s">
        <v>1260</v>
      </c>
      <c r="O6" s="17" t="s">
        <v>1261</v>
      </c>
      <c r="P6" s="18" t="s">
        <v>1262</v>
      </c>
      <c r="Q6" s="18" t="s">
        <v>237</v>
      </c>
      <c r="R6" s="18" t="s">
        <v>1263</v>
      </c>
      <c r="S6" s="18" t="s">
        <v>1264</v>
      </c>
      <c r="T6" s="18" t="s">
        <v>1257</v>
      </c>
      <c r="U6" s="18" t="s">
        <v>1265</v>
      </c>
      <c r="V6" s="18" t="s">
        <v>1266</v>
      </c>
      <c r="W6" s="18" t="s">
        <v>1267</v>
      </c>
      <c r="X6" s="18" t="s">
        <v>242</v>
      </c>
      <c r="Y6" s="17" t="s">
        <v>65</v>
      </c>
      <c r="Z6" s="17" t="s">
        <v>70</v>
      </c>
      <c r="AA6" s="17" t="s">
        <v>1246</v>
      </c>
      <c r="AB6" s="17" t="s">
        <v>60</v>
      </c>
      <c r="AC6" s="19" t="s">
        <v>1268</v>
      </c>
      <c r="AH6" s="260" t="s">
        <v>1269</v>
      </c>
      <c r="AI6" s="264" t="s">
        <v>90</v>
      </c>
      <c r="AJ6" s="264" t="s">
        <v>1270</v>
      </c>
      <c r="AK6" s="264" t="s">
        <v>1271</v>
      </c>
      <c r="AL6" s="264" t="s">
        <v>1272</v>
      </c>
      <c r="AM6" s="265" t="s">
        <v>96</v>
      </c>
      <c r="AN6" s="448" t="s">
        <v>1273</v>
      </c>
      <c r="AO6" s="449"/>
      <c r="AP6" s="449"/>
      <c r="AQ6" s="449"/>
      <c r="AR6" s="472"/>
      <c r="AS6"/>
    </row>
    <row r="7" spans="2:45">
      <c r="B7" s="473"/>
      <c r="C7" s="474"/>
      <c r="D7" s="474"/>
      <c r="E7" s="474"/>
      <c r="F7" s="252"/>
      <c r="G7" s="252"/>
      <c r="H7" s="252"/>
      <c r="I7" s="252"/>
      <c r="J7" s="252"/>
      <c r="K7" s="252"/>
      <c r="L7" s="252"/>
      <c r="M7" s="252"/>
      <c r="N7" s="252"/>
      <c r="O7" s="252"/>
      <c r="P7" s="20" t="e">
        <f>_xlfn.XLOOKUP(F7,Nahkampftalente,Kampftechniken!$G$4:$G$20)</f>
        <v>#N/A</v>
      </c>
      <c r="Q7" s="20" t="e">
        <f>IF(-$AO$10-P7&gt;0,0,-$AO$10-P7)</f>
        <v>#N/A</v>
      </c>
      <c r="R7" s="20" t="e">
        <f>ROUNDDOWN((Eigenschaften!$G$27-I7)/J7,0)</f>
        <v>#DIV/0!</v>
      </c>
      <c r="S7" s="20">
        <f>26-I7</f>
        <v>26</v>
      </c>
      <c r="T7" s="20">
        <f>7-J7</f>
        <v>7</v>
      </c>
      <c r="U7" s="20">
        <f>ROUNDDOWN((Eigenschaften!$G$25-S7)/T7,0)</f>
        <v>-1</v>
      </c>
      <c r="V7" s="21">
        <f>MAX(ROUNDDOWN((AB7-11)/10,0)*0)</f>
        <v>0</v>
      </c>
      <c r="W7" s="21" t="e">
        <f>O7+R7</f>
        <v>#DIV/0!</v>
      </c>
      <c r="X7" s="21" t="b">
        <f ca="1">NOT(ISERROR(MATCH(G7,INDIRECT("Kampftechniken!L"&amp;_xlfn.XMATCH(F7,Kampftechniken!B:B)&amp;":O"&amp;_xlfn.XMATCH(F7,Kampftechniken!B:B)),0)))</f>
        <v>0</v>
      </c>
      <c r="Y7" s="22" t="e" cm="1">
        <f t="array" aca="1" ref="Y7" ca="1">_xlfn.XLOOKUP(F7,Nahkampftalente,Kampftechniken!$I$4:$I$20+$F$2+L7+IF(X7,1,0))+ROUNDDOWN(Q7/2,0)</f>
        <v>#N/A</v>
      </c>
      <c r="Z7" s="22" t="e" cm="1">
        <f t="array" aca="1" ref="Z7" ca="1">_xlfn.XLOOKUP(F7,Nahkampftalente,Kampftechniken!$J$4:$J$20+$J$2+M7+IF(X7,1,0))+ROUNDUP(Q7/2,0)</f>
        <v>#N/A</v>
      </c>
      <c r="AA7" s="22" t="e">
        <f>N7&amp;"W6"&amp;IF(W7&gt;0,"+","")&amp;W7</f>
        <v>#DIV/0!</v>
      </c>
      <c r="AB7" s="22">
        <f>$S$64+U7+K7</f>
        <v>-1</v>
      </c>
      <c r="AC7" s="23">
        <v>3</v>
      </c>
      <c r="AH7" s="258" t="s">
        <v>1348</v>
      </c>
      <c r="AI7" s="262" t="s">
        <v>294</v>
      </c>
      <c r="AJ7" s="262" t="s">
        <v>294</v>
      </c>
      <c r="AK7" s="262" t="b">
        <f>IF(AND(AI7="Ja",AJ7="Ja"),TRUE,FALSE)</f>
        <v>1</v>
      </c>
      <c r="AL7" s="262">
        <v>5</v>
      </c>
      <c r="AM7" s="41">
        <v>3</v>
      </c>
      <c r="AN7" s="278" t="s">
        <v>1277</v>
      </c>
      <c r="AO7" s="262" t="s">
        <v>1278</v>
      </c>
      <c r="AP7" s="262" t="s">
        <v>1279</v>
      </c>
      <c r="AQ7" s="262" t="s">
        <v>1280</v>
      </c>
      <c r="AR7" s="41" t="s">
        <v>1281</v>
      </c>
      <c r="AS7"/>
    </row>
    <row r="8" spans="2:45" ht="26.25" thickBot="1">
      <c r="B8" s="473"/>
      <c r="C8" s="474"/>
      <c r="D8" s="474"/>
      <c r="E8" s="474"/>
      <c r="F8" s="252"/>
      <c r="G8" s="252"/>
      <c r="H8" s="252"/>
      <c r="I8" s="252"/>
      <c r="J8" s="252"/>
      <c r="K8" s="252"/>
      <c r="L8" s="252"/>
      <c r="M8" s="252"/>
      <c r="N8" s="252"/>
      <c r="O8" s="252"/>
      <c r="P8" s="20" t="e">
        <f>_xlfn.XLOOKUP(F8,Nahkampftalente,Kampftechniken!$G$4:$G$20)</f>
        <v>#N/A</v>
      </c>
      <c r="Q8" s="20" t="e">
        <f>IF(-$AS$11-P8&gt;0,0,-$AS$11-P8)</f>
        <v>#N/A</v>
      </c>
      <c r="R8" s="20" t="e">
        <f>ROUNDDOWN((Eigenschaften!$G$27-I8)/J8,0)</f>
        <v>#DIV/0!</v>
      </c>
      <c r="S8" s="20">
        <f>26-I8</f>
        <v>26</v>
      </c>
      <c r="T8" s="20">
        <f>7-J8</f>
        <v>7</v>
      </c>
      <c r="U8" s="20">
        <f>ROUNDDOWN((Eigenschaften!$G$25-S8)/T8,0)</f>
        <v>-1</v>
      </c>
      <c r="V8" s="21">
        <f>MAX(ROUNDDOWN((AB8-11)/10,0)*0)</f>
        <v>0</v>
      </c>
      <c r="W8" s="21" t="e">
        <f>O8+R8</f>
        <v>#DIV/0!</v>
      </c>
      <c r="X8" s="21" t="b">
        <f ca="1">NOT(ISERROR(MATCH(G8,INDIRECT("Kampftechniken!L"&amp;_xlfn.XMATCH(F8,Kampftechniken!B:B)&amp;":O"&amp;_xlfn.XMATCH(F8,Kampftechniken!B:B)),0)))</f>
        <v>0</v>
      </c>
      <c r="Y8" s="22" t="e" cm="1">
        <f t="array" aca="1" ref="Y8" ca="1">_xlfn.XLOOKUP(F8,Nahkampftalente,Kampftechniken!$I$4:$I$20+$F$2+L8+IF(X8,1,0))+ROUNDDOWN(Q8/2,0)</f>
        <v>#N/A</v>
      </c>
      <c r="Z8" s="22" t="e" cm="1">
        <f t="array" aca="1" ref="Z8" ca="1">_xlfn.XLOOKUP(F8,Nahkampftalente,Kampftechniken!$J$4:$J$20+$J$2+M8+IF(X8,1,0))+ROUNDUP(Q8/2,0)</f>
        <v>#N/A</v>
      </c>
      <c r="AA8" s="22" t="e">
        <f>N8&amp;"W6"&amp;IF(W8&gt;0,"+","")&amp;W8</f>
        <v>#DIV/0!</v>
      </c>
      <c r="AB8" s="22">
        <f>$S$64+U8+K8</f>
        <v>-1</v>
      </c>
      <c r="AC8" s="23" t="s">
        <v>1349</v>
      </c>
      <c r="AG8"/>
      <c r="AH8" s="258" t="s">
        <v>1350</v>
      </c>
      <c r="AI8" s="262" t="s">
        <v>294</v>
      </c>
      <c r="AJ8" s="262"/>
      <c r="AK8" s="262" t="b">
        <f>IF(AND(AI8="Ja",AJ8="Ja"),TRUE,FALSE)</f>
        <v>0</v>
      </c>
      <c r="AL8" s="262">
        <v>2</v>
      </c>
      <c r="AM8" s="41">
        <v>1</v>
      </c>
      <c r="AN8" s="280" t="s">
        <v>294</v>
      </c>
      <c r="AO8" s="263" t="s">
        <v>1243</v>
      </c>
      <c r="AP8" s="263" t="s">
        <v>1243</v>
      </c>
      <c r="AQ8" s="263" t="s">
        <v>1243</v>
      </c>
      <c r="AR8" s="42">
        <f>IF(AP8="Ja",-2,IF(AO8="Ja",-1,IF(AN8="Ja",IF(COUNTIF(AK7:AK11,TRUE)&gt;0,-1,0),0)))</f>
        <v>-1</v>
      </c>
      <c r="AS8"/>
    </row>
    <row r="9" spans="2:45">
      <c r="B9" s="473"/>
      <c r="C9" s="474"/>
      <c r="D9" s="474"/>
      <c r="E9" s="474"/>
      <c r="F9" s="252"/>
      <c r="G9" s="255"/>
      <c r="H9" s="252"/>
      <c r="I9" s="252"/>
      <c r="J9" s="252"/>
      <c r="K9" s="252"/>
      <c r="L9" s="252"/>
      <c r="M9" s="252"/>
      <c r="N9" s="252"/>
      <c r="O9" s="252"/>
      <c r="P9" s="20" t="e">
        <f>_xlfn.XLOOKUP(F9,Nahkampftalente,Kampftechniken!$G$4:$G$20)</f>
        <v>#N/A</v>
      </c>
      <c r="Q9" s="20" t="e">
        <f>IF(-$AS$11-P9&gt;0,0,-$AS$11-P9)</f>
        <v>#N/A</v>
      </c>
      <c r="R9" s="20" t="e">
        <f>ROUNDDOWN((Eigenschaften!$G$27-I9)/J9,0)</f>
        <v>#DIV/0!</v>
      </c>
      <c r="S9" s="20">
        <f>26-I9</f>
        <v>26</v>
      </c>
      <c r="T9" s="20">
        <f>7-J9</f>
        <v>7</v>
      </c>
      <c r="U9" s="20">
        <f>ROUNDDOWN((Eigenschaften!$G$25-S9)/T9,0)</f>
        <v>-1</v>
      </c>
      <c r="V9" s="21">
        <f>MAX(ROUNDDOWN((AB9-11)/10,0)*0)</f>
        <v>0</v>
      </c>
      <c r="W9" s="21" t="e">
        <f>O9+R9</f>
        <v>#DIV/0!</v>
      </c>
      <c r="X9" s="21" t="b">
        <f ca="1">NOT(ISERROR(MATCH(G9,INDIRECT("Kampftechniken!L"&amp;_xlfn.XMATCH(F9,Kampftechniken!B:B)&amp;":O"&amp;_xlfn.XMATCH(F9,Kampftechniken!B:B)),0)))</f>
        <v>0</v>
      </c>
      <c r="Y9" s="22" t="e" cm="1">
        <f t="array" aca="1" ref="Y9" ca="1">_xlfn.XLOOKUP(F9,Nahkampftalente,Kampftechniken!$I$4:$I$20+$F$2+L9+IF(X9,1,0))+ROUNDDOWN(Q9/2,0)</f>
        <v>#N/A</v>
      </c>
      <c r="Z9" s="22" t="e" cm="1">
        <f t="array" aca="1" ref="Z9" ca="1">_xlfn.XLOOKUP(F9,Nahkampftalente,Kampftechniken!$J$4:$J$20+$J$2+M9+IF(X9,1,0))+ROUNDUP(Q9/2,0)</f>
        <v>#N/A</v>
      </c>
      <c r="AA9" s="22" t="e">
        <f>N9&amp;"W6"&amp;IF(W9&gt;0,"+","")&amp;W9</f>
        <v>#DIV/0!</v>
      </c>
      <c r="AB9" s="22">
        <f>$S$64+U9+K9</f>
        <v>-1</v>
      </c>
      <c r="AC9" s="23">
        <v>1</v>
      </c>
      <c r="AG9"/>
      <c r="AH9" s="258"/>
      <c r="AI9" s="262"/>
      <c r="AJ9" s="262"/>
      <c r="AK9" s="262" t="b">
        <f>IF(AND(AI9="Ja",AJ9="Ja"),TRUE,FALSE)</f>
        <v>0</v>
      </c>
      <c r="AL9" s="262"/>
      <c r="AM9" s="41"/>
      <c r="AN9" s="45" t="s">
        <v>1283</v>
      </c>
      <c r="AO9" s="262">
        <f>AL12+SUMIF(AI7:AI11,"Ja",AL7:AL11)</f>
        <v>7</v>
      </c>
      <c r="AP9" t="s">
        <v>1284</v>
      </c>
      <c r="AQ9">
        <f>AM12+SUMIF(AI7:AI11,"Ja",AM7:AM11)+AR8</f>
        <v>3</v>
      </c>
      <c r="AR9"/>
      <c r="AS9"/>
    </row>
    <row r="10" spans="2:45">
      <c r="B10" s="473"/>
      <c r="C10" s="474"/>
      <c r="D10" s="474"/>
      <c r="E10" s="474"/>
      <c r="F10" s="252"/>
      <c r="G10" s="252"/>
      <c r="H10" s="252"/>
      <c r="I10" s="252"/>
      <c r="J10" s="252"/>
      <c r="K10" s="252"/>
      <c r="L10" s="252"/>
      <c r="M10" s="252"/>
      <c r="N10" s="252"/>
      <c r="O10" s="252"/>
      <c r="P10" s="20" t="e">
        <f>_xlfn.XLOOKUP(F10,Nahkampftalente,Kampftechniken!$G$4:$G$20)</f>
        <v>#N/A</v>
      </c>
      <c r="Q10" s="20" t="e">
        <f>IF(-$AS$11-P10&gt;0,0,-$AS$11-P10)</f>
        <v>#N/A</v>
      </c>
      <c r="R10" s="20" t="e">
        <f>ROUNDDOWN((Eigenschaften!$G$27-I10)/J10,0)</f>
        <v>#DIV/0!</v>
      </c>
      <c r="S10" s="20">
        <f>26-I10</f>
        <v>26</v>
      </c>
      <c r="T10" s="20">
        <f>7-J10</f>
        <v>7</v>
      </c>
      <c r="U10" s="20">
        <f>ROUNDDOWN((Eigenschaften!$G$25-S10)/T10,0)</f>
        <v>-1</v>
      </c>
      <c r="V10" s="21">
        <f>MAX(ROUNDDOWN((AB10-11)/10,0)*0)</f>
        <v>0</v>
      </c>
      <c r="W10" s="21" t="e">
        <f>O10+R10</f>
        <v>#DIV/0!</v>
      </c>
      <c r="X10" s="21" t="b">
        <f ca="1">NOT(ISERROR(MATCH(G10,INDIRECT("Kampftechniken!L"&amp;_xlfn.XMATCH(F10,Kampftechniken!B:B)&amp;":O"&amp;_xlfn.XMATCH(F10,Kampftechniken!B:B)),0)))</f>
        <v>0</v>
      </c>
      <c r="Y10" s="22" t="e" cm="1">
        <f t="array" aca="1" ref="Y10" ca="1">_xlfn.XLOOKUP(F10,Nahkampftalente,Kampftechniken!$I$4:$I$20+$F$2+L10+IF(X10,1,0))+ROUNDDOWN(Q10/2,0)</f>
        <v>#N/A</v>
      </c>
      <c r="Z10" s="22" t="e" cm="1">
        <f t="array" aca="1" ref="Z10" ca="1">_xlfn.XLOOKUP(F10,Nahkampftalente,Kampftechniken!$J$4:$J$20+$J$2+M10+IF(X10,1,0))+ROUNDUP(Q10/2,0)</f>
        <v>#N/A</v>
      </c>
      <c r="AA10" s="22" t="e">
        <f>N10&amp;"W6"&amp;IF(W10&gt;0,"+","")&amp;W10</f>
        <v>#DIV/0!</v>
      </c>
      <c r="AB10" s="22">
        <f>$S$64+U10+K10</f>
        <v>-1</v>
      </c>
      <c r="AC10" s="23">
        <v>2</v>
      </c>
      <c r="AG10"/>
      <c r="AH10" s="258"/>
      <c r="AI10" s="262"/>
      <c r="AJ10" s="262"/>
      <c r="AK10" s="262" t="b">
        <f>IF(AND(AI10="Ja",AJ10="Ja"),TRUE,FALSE)</f>
        <v>0</v>
      </c>
      <c r="AL10" s="262"/>
      <c r="AM10" s="41"/>
      <c r="AN10" t="s">
        <v>1286</v>
      </c>
      <c r="AO10">
        <f>AQ9</f>
        <v>3</v>
      </c>
      <c r="AP10"/>
      <c r="AS10"/>
    </row>
    <row r="11" spans="2:45" ht="26.25" thickBot="1">
      <c r="B11" s="473"/>
      <c r="C11" s="474"/>
      <c r="D11" s="474"/>
      <c r="E11" s="474"/>
      <c r="F11" s="252"/>
      <c r="G11" s="252"/>
      <c r="H11" s="252"/>
      <c r="I11" s="252"/>
      <c r="J11" s="252"/>
      <c r="K11" s="252"/>
      <c r="L11" s="252"/>
      <c r="M11" s="252"/>
      <c r="N11" s="252"/>
      <c r="O11" s="252"/>
      <c r="P11" s="20" t="e">
        <f>_xlfn.XLOOKUP(F11,Nahkampftalente,Kampftechniken!$G$4:$G$20)</f>
        <v>#N/A</v>
      </c>
      <c r="Q11" s="20" t="e">
        <f>IF(-$AS$11-P11&gt;0,0,-$AS$11-P11)</f>
        <v>#N/A</v>
      </c>
      <c r="R11" s="20" t="e">
        <f>ROUNDDOWN((Eigenschaften!G31-I11)/J11,0)</f>
        <v>#DIV/0!</v>
      </c>
      <c r="S11" s="20">
        <f>26-I11</f>
        <v>26</v>
      </c>
      <c r="T11" s="20">
        <f>7-J11</f>
        <v>7</v>
      </c>
      <c r="U11" s="20">
        <f>ROUNDDOWN((Eigenschaften!$G$25-S11)/T11,0)</f>
        <v>-1</v>
      </c>
      <c r="V11" s="21">
        <f>MAX(ROUNDDOWN((AB11-11)/10,0)*0)</f>
        <v>0</v>
      </c>
      <c r="W11" s="21" t="e">
        <f>O11+R11</f>
        <v>#DIV/0!</v>
      </c>
      <c r="X11" s="21" t="b">
        <f ca="1">NOT(ISERROR(MATCH(G11,INDIRECT("Kampftechniken!L"&amp;_xlfn.XMATCH(F11,Kampftechniken!B:B)&amp;":O"&amp;_xlfn.XMATCH(F11,Kampftechniken!B:B)),0)))</f>
        <v>0</v>
      </c>
      <c r="Y11" s="22" t="e" cm="1">
        <f t="array" aca="1" ref="Y11" ca="1">_xlfn.XLOOKUP(F11,Nahkampftalente,Kampftechniken!$I$4:$I$20+$F$2+L11+IF(X11,1,0))+ROUNDDOWN(Q11/2,0)</f>
        <v>#N/A</v>
      </c>
      <c r="Z11" s="22" t="e" cm="1">
        <f t="array" aca="1" ref="Z11" ca="1">_xlfn.XLOOKUP(F11,Nahkampftalente,Kampftechniken!$J$4:$J$20+$J$2+M11+IF(X11,1,0))+ROUNDUP(Q11/2,0)</f>
        <v>#N/A</v>
      </c>
      <c r="AA11" s="22" t="e">
        <f>N11&amp;"W6"&amp;IF(W11&gt;0,"+","")&amp;W11</f>
        <v>#DIV/0!</v>
      </c>
      <c r="AB11" s="24"/>
      <c r="AC11" s="25"/>
      <c r="AG11"/>
      <c r="AH11" s="259"/>
      <c r="AI11" s="263"/>
      <c r="AJ11" s="263"/>
      <c r="AK11" s="263" t="b">
        <f>IF(AND(AI11="Ja",AJ11="Ja"),TRUE,FALSE)</f>
        <v>0</v>
      </c>
      <c r="AL11" s="263"/>
      <c r="AM11" s="42"/>
      <c r="AN11"/>
      <c r="AO11"/>
      <c r="AP11"/>
      <c r="AQ11"/>
      <c r="AR11"/>
      <c r="AS11"/>
    </row>
    <row r="12" spans="2:45" ht="26.25" thickBot="1">
      <c r="B12" s="464"/>
      <c r="C12" s="465"/>
      <c r="D12" s="465"/>
      <c r="E12" s="465"/>
      <c r="F12" s="282"/>
      <c r="G12" s="26"/>
      <c r="H12" s="26"/>
      <c r="I12" s="26"/>
      <c r="J12" s="282"/>
      <c r="K12" s="27"/>
      <c r="L12" s="28"/>
      <c r="M12" s="282"/>
      <c r="N12" s="29"/>
      <c r="O12" s="30"/>
      <c r="P12" s="27"/>
      <c r="Q12" s="28"/>
      <c r="R12" s="28"/>
      <c r="S12" s="31"/>
      <c r="T12" s="282"/>
      <c r="U12" s="282"/>
      <c r="V12" s="282"/>
      <c r="W12" s="282"/>
      <c r="X12" s="282"/>
      <c r="Y12" s="32">
        <v>19</v>
      </c>
      <c r="Z12" s="26">
        <v>19</v>
      </c>
      <c r="AA12" s="33"/>
      <c r="AB12" s="33"/>
      <c r="AC12" s="34"/>
      <c r="AG12"/>
      <c r="AH12"/>
      <c r="AI12"/>
      <c r="AK12" s="40" t="s">
        <v>240</v>
      </c>
      <c r="AL12" s="43">
        <v>0</v>
      </c>
      <c r="AM12" s="44">
        <v>0</v>
      </c>
      <c r="AN12"/>
      <c r="AO12"/>
      <c r="AP12"/>
      <c r="AQ12"/>
      <c r="AR12"/>
      <c r="AS12"/>
    </row>
    <row r="13" spans="2:45">
      <c r="B13" s="466" t="s">
        <v>1287</v>
      </c>
      <c r="C13" s="467"/>
      <c r="D13" s="467"/>
      <c r="E13" s="467"/>
      <c r="F13" s="467"/>
      <c r="G13" s="467"/>
      <c r="H13" s="467"/>
      <c r="I13" s="467"/>
      <c r="J13" s="467"/>
      <c r="K13" s="467"/>
      <c r="L13" s="467"/>
      <c r="M13" s="467"/>
      <c r="N13" s="467"/>
      <c r="O13" s="467"/>
      <c r="P13" s="467"/>
      <c r="Q13" s="467"/>
      <c r="R13" s="467"/>
      <c r="S13" s="467"/>
      <c r="T13" s="467"/>
      <c r="U13" s="467"/>
      <c r="V13" s="467"/>
      <c r="W13" s="467"/>
      <c r="X13" s="467"/>
      <c r="Y13" s="467"/>
      <c r="Z13" s="467"/>
      <c r="AA13" s="467"/>
      <c r="AB13" s="467"/>
      <c r="AC13" s="468"/>
    </row>
    <row r="14" spans="2:45">
      <c r="B14" s="469" t="s">
        <v>1351</v>
      </c>
      <c r="C14" s="421"/>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2"/>
    </row>
    <row r="15" spans="2:45">
      <c r="B15" s="423"/>
      <c r="C15" s="424"/>
      <c r="D15" s="424"/>
      <c r="E15" s="424"/>
      <c r="F15" s="424"/>
      <c r="G15" s="424"/>
      <c r="H15" s="424"/>
      <c r="I15" s="424"/>
      <c r="J15" s="424"/>
      <c r="K15" s="424"/>
      <c r="L15" s="424"/>
      <c r="M15" s="424"/>
      <c r="N15" s="424"/>
      <c r="O15" s="424"/>
      <c r="P15" s="424"/>
      <c r="Q15" s="424"/>
      <c r="R15" s="424"/>
      <c r="S15" s="424"/>
      <c r="T15" s="424"/>
      <c r="U15" s="424"/>
      <c r="V15" s="424"/>
      <c r="W15" s="424"/>
      <c r="X15" s="424"/>
      <c r="Y15" s="424"/>
      <c r="Z15" s="424"/>
      <c r="AA15" s="424"/>
      <c r="AB15" s="424"/>
      <c r="AC15" s="425"/>
    </row>
    <row r="16" spans="2:45">
      <c r="B16" s="423"/>
      <c r="C16" s="424"/>
      <c r="D16" s="424"/>
      <c r="E16" s="424"/>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5"/>
    </row>
    <row r="17" spans="2:29">
      <c r="B17" s="423"/>
      <c r="C17" s="424"/>
      <c r="D17" s="424"/>
      <c r="E17" s="424"/>
      <c r="F17" s="424"/>
      <c r="G17" s="424"/>
      <c r="H17" s="424"/>
      <c r="I17" s="424"/>
      <c r="J17" s="424"/>
      <c r="K17" s="424"/>
      <c r="L17" s="424"/>
      <c r="M17" s="424"/>
      <c r="N17" s="424"/>
      <c r="O17" s="424"/>
      <c r="P17" s="424"/>
      <c r="Q17" s="424"/>
      <c r="R17" s="424"/>
      <c r="S17" s="424"/>
      <c r="T17" s="424"/>
      <c r="U17" s="424"/>
      <c r="V17" s="424"/>
      <c r="W17" s="424"/>
      <c r="X17" s="424"/>
      <c r="Y17" s="424"/>
      <c r="Z17" s="424"/>
      <c r="AA17" s="424"/>
      <c r="AB17" s="424"/>
      <c r="AC17" s="425"/>
    </row>
    <row r="18" spans="2:29">
      <c r="B18" s="423"/>
      <c r="C18" s="424"/>
      <c r="D18" s="424"/>
      <c r="E18" s="424"/>
      <c r="F18" s="424"/>
      <c r="G18" s="424"/>
      <c r="H18" s="424"/>
      <c r="I18" s="424"/>
      <c r="J18" s="424"/>
      <c r="K18" s="424"/>
      <c r="L18" s="424"/>
      <c r="M18" s="424"/>
      <c r="N18" s="424"/>
      <c r="O18" s="424"/>
      <c r="P18" s="424"/>
      <c r="Q18" s="424"/>
      <c r="R18" s="424"/>
      <c r="S18" s="424"/>
      <c r="T18" s="424"/>
      <c r="U18" s="424"/>
      <c r="V18" s="424"/>
      <c r="W18" s="424"/>
      <c r="X18" s="424"/>
      <c r="Y18" s="424"/>
      <c r="Z18" s="424"/>
      <c r="AA18" s="424"/>
      <c r="AB18" s="424"/>
      <c r="AC18" s="425"/>
    </row>
    <row r="19" spans="2:29" ht="26.25" thickBot="1">
      <c r="B19" s="426"/>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8"/>
    </row>
    <row r="20" spans="2:29" ht="27" thickTop="1" thickBot="1">
      <c r="H20" s="39" t="s">
        <v>1352</v>
      </c>
      <c r="I20" s="39"/>
      <c r="J20" s="39"/>
      <c r="K20" s="39"/>
      <c r="L20" s="417" t="s">
        <v>1353</v>
      </c>
      <c r="M20" s="470"/>
      <c r="N20" s="470"/>
      <c r="O20" s="418"/>
    </row>
    <row r="21" spans="2:29" ht="26.25" thickTop="1">
      <c r="B21" s="462" t="s">
        <v>1354</v>
      </c>
      <c r="C21" s="463"/>
      <c r="D21" s="463"/>
      <c r="E21" s="463"/>
      <c r="F21" s="17" t="s">
        <v>1253</v>
      </c>
      <c r="G21" s="17" t="s">
        <v>1254</v>
      </c>
      <c r="P21" s="463" t="s">
        <v>73</v>
      </c>
      <c r="Q21" s="463"/>
      <c r="R21" s="463" t="s">
        <v>1355</v>
      </c>
      <c r="S21" s="463"/>
      <c r="T21" s="471"/>
    </row>
    <row r="22" spans="2:29">
      <c r="B22" s="473"/>
      <c r="C22" s="474"/>
      <c r="D22" s="474"/>
      <c r="E22" s="474"/>
      <c r="F22" s="38"/>
      <c r="G22" s="38"/>
      <c r="H22" s="38"/>
      <c r="I22" s="38"/>
      <c r="J22" s="38"/>
      <c r="K22" s="38"/>
      <c r="L22" s="38"/>
      <c r="M22" s="38"/>
      <c r="N22" s="38"/>
      <c r="O22" s="38"/>
      <c r="P22" s="475"/>
      <c r="Q22" s="475"/>
      <c r="R22" s="474"/>
      <c r="S22" s="474"/>
      <c r="T22" s="476"/>
    </row>
    <row r="23" spans="2:29">
      <c r="B23" s="473"/>
      <c r="C23" s="474"/>
      <c r="D23" s="474"/>
      <c r="E23" s="474"/>
      <c r="F23" s="38"/>
      <c r="G23" s="38"/>
      <c r="H23" s="38"/>
      <c r="I23" s="38"/>
      <c r="J23" s="38"/>
      <c r="K23" s="38"/>
      <c r="L23" s="38"/>
      <c r="M23" s="38"/>
      <c r="N23" s="38"/>
      <c r="O23" s="38"/>
      <c r="P23" s="475"/>
      <c r="Q23" s="475"/>
      <c r="R23" s="474"/>
      <c r="S23" s="474"/>
      <c r="T23" s="476"/>
    </row>
    <row r="24" spans="2:29">
      <c r="B24" s="473"/>
      <c r="C24" s="474"/>
      <c r="D24" s="474"/>
      <c r="E24" s="474"/>
      <c r="F24" s="38"/>
      <c r="G24" s="38"/>
      <c r="H24" s="38"/>
      <c r="I24" s="38"/>
      <c r="J24" s="38"/>
      <c r="K24" s="38"/>
      <c r="L24" s="38"/>
      <c r="M24" s="38"/>
      <c r="N24" s="38"/>
      <c r="O24" s="38"/>
      <c r="P24" s="475"/>
      <c r="Q24" s="475"/>
      <c r="R24" s="474"/>
      <c r="S24" s="474"/>
      <c r="T24" s="476"/>
    </row>
    <row r="25" spans="2:29">
      <c r="B25" s="473"/>
      <c r="C25" s="474"/>
      <c r="D25" s="474"/>
      <c r="E25" s="474"/>
      <c r="F25" s="38"/>
      <c r="G25" s="38"/>
      <c r="H25" s="38"/>
      <c r="I25" s="38"/>
      <c r="J25" s="38"/>
      <c r="K25" s="38"/>
      <c r="L25" s="38"/>
      <c r="M25" s="38"/>
      <c r="N25" s="38"/>
      <c r="O25" s="38"/>
      <c r="P25" s="475"/>
      <c r="Q25" s="475"/>
      <c r="R25" s="474"/>
      <c r="S25" s="474"/>
      <c r="T25" s="476"/>
    </row>
    <row r="26" spans="2:29">
      <c r="B26" s="473"/>
      <c r="C26" s="474"/>
      <c r="D26" s="474"/>
      <c r="E26" s="474"/>
      <c r="F26" s="38"/>
      <c r="G26" s="38"/>
      <c r="H26" s="38"/>
      <c r="I26" s="38"/>
      <c r="J26" s="38"/>
      <c r="K26" s="38"/>
      <c r="L26" s="38"/>
      <c r="M26" s="38"/>
      <c r="N26" s="38"/>
      <c r="O26" s="38"/>
      <c r="P26" s="475"/>
      <c r="Q26" s="475"/>
      <c r="R26" s="474"/>
      <c r="S26" s="474"/>
      <c r="T26" s="476"/>
    </row>
    <row r="27" spans="2:29" ht="26.25" thickBot="1">
      <c r="B27" s="488"/>
      <c r="C27" s="489"/>
      <c r="D27" s="489"/>
      <c r="E27" s="489"/>
      <c r="F27" s="37"/>
      <c r="G27" s="37"/>
      <c r="H27" s="37"/>
      <c r="I27" s="37"/>
      <c r="J27" s="37"/>
      <c r="K27" s="37"/>
      <c r="L27" s="37"/>
      <c r="M27" s="37"/>
      <c r="N27" s="37"/>
      <c r="O27" s="37"/>
      <c r="P27" s="490"/>
      <c r="Q27" s="490"/>
      <c r="R27" s="489"/>
      <c r="S27" s="489"/>
      <c r="T27" s="491"/>
    </row>
    <row r="28" spans="2:29">
      <c r="B28" s="477" t="s">
        <v>1356</v>
      </c>
      <c r="C28" s="478"/>
      <c r="D28" s="478"/>
      <c r="E28" s="478"/>
      <c r="F28" s="478"/>
      <c r="G28" s="478"/>
      <c r="H28" s="478"/>
      <c r="I28" s="478"/>
      <c r="J28" s="478"/>
      <c r="K28" s="478"/>
      <c r="L28" s="478"/>
      <c r="M28" s="478"/>
      <c r="N28" s="478"/>
      <c r="O28" s="478"/>
      <c r="P28" s="478"/>
      <c r="Q28" s="478"/>
      <c r="R28" s="478"/>
      <c r="S28" s="478"/>
      <c r="T28" s="479"/>
    </row>
    <row r="29" spans="2:29">
      <c r="B29" s="480"/>
      <c r="C29" s="481"/>
      <c r="D29" s="481"/>
      <c r="E29" s="481"/>
      <c r="F29" s="481"/>
      <c r="G29" s="481"/>
      <c r="H29" s="481"/>
      <c r="I29" s="481"/>
      <c r="J29" s="481"/>
      <c r="K29" s="481"/>
      <c r="L29" s="481"/>
      <c r="M29" s="481"/>
      <c r="N29" s="481"/>
      <c r="O29" s="481"/>
      <c r="P29" s="481"/>
      <c r="Q29" s="481"/>
      <c r="R29" s="481"/>
      <c r="S29" s="481"/>
      <c r="T29" s="482"/>
    </row>
    <row r="30" spans="2:29">
      <c r="B30" s="483"/>
      <c r="C30" s="416"/>
      <c r="D30" s="416"/>
      <c r="E30" s="416"/>
      <c r="F30" s="416"/>
      <c r="G30" s="416"/>
      <c r="H30" s="416"/>
      <c r="I30" s="416"/>
      <c r="J30" s="416"/>
      <c r="K30" s="416"/>
      <c r="L30" s="416"/>
      <c r="M30" s="416"/>
      <c r="N30" s="416"/>
      <c r="O30" s="416"/>
      <c r="P30" s="416"/>
      <c r="Q30" s="416"/>
      <c r="R30" s="416"/>
      <c r="S30" s="416"/>
      <c r="T30" s="484"/>
    </row>
    <row r="31" spans="2:29">
      <c r="B31" s="483"/>
      <c r="C31" s="416"/>
      <c r="D31" s="416"/>
      <c r="E31" s="416"/>
      <c r="F31" s="416"/>
      <c r="G31" s="416"/>
      <c r="H31" s="416"/>
      <c r="I31" s="416"/>
      <c r="J31" s="416"/>
      <c r="K31" s="416"/>
      <c r="L31" s="416"/>
      <c r="M31" s="416"/>
      <c r="N31" s="416"/>
      <c r="O31" s="416"/>
      <c r="P31" s="416"/>
      <c r="Q31" s="416"/>
      <c r="R31" s="416"/>
      <c r="S31" s="416"/>
      <c r="T31" s="484"/>
    </row>
    <row r="32" spans="2:29">
      <c r="B32" s="483"/>
      <c r="C32" s="416"/>
      <c r="D32" s="416"/>
      <c r="E32" s="416"/>
      <c r="F32" s="416"/>
      <c r="G32" s="416"/>
      <c r="H32" s="416"/>
      <c r="I32" s="416"/>
      <c r="J32" s="416"/>
      <c r="K32" s="416"/>
      <c r="L32" s="416"/>
      <c r="M32" s="416"/>
      <c r="N32" s="416"/>
      <c r="O32" s="416"/>
      <c r="P32" s="416"/>
      <c r="Q32" s="416"/>
      <c r="R32" s="416"/>
      <c r="S32" s="416"/>
      <c r="T32" s="484"/>
    </row>
    <row r="33" spans="2:28">
      <c r="B33" s="483"/>
      <c r="C33" s="416"/>
      <c r="D33" s="416"/>
      <c r="E33" s="416"/>
      <c r="F33" s="416"/>
      <c r="G33" s="416"/>
      <c r="H33" s="416"/>
      <c r="I33" s="416"/>
      <c r="J33" s="416"/>
      <c r="K33" s="416"/>
      <c r="L33" s="416"/>
      <c r="M33" s="416"/>
      <c r="N33" s="416"/>
      <c r="O33" s="416"/>
      <c r="P33" s="416"/>
      <c r="Q33" s="416"/>
      <c r="R33" s="416"/>
      <c r="S33" s="416"/>
      <c r="T33" s="484"/>
    </row>
    <row r="34" spans="2:28" ht="26.25" thickBot="1">
      <c r="B34" s="485"/>
      <c r="C34" s="486"/>
      <c r="D34" s="486"/>
      <c r="E34" s="486"/>
      <c r="F34" s="486"/>
      <c r="G34" s="486"/>
      <c r="H34" s="486"/>
      <c r="I34" s="486"/>
      <c r="J34" s="486"/>
      <c r="K34" s="486"/>
      <c r="L34" s="486"/>
      <c r="M34" s="486"/>
      <c r="N34" s="486"/>
      <c r="O34" s="486"/>
      <c r="P34" s="486"/>
      <c r="Q34" s="486"/>
      <c r="R34" s="486"/>
      <c r="S34" s="486"/>
      <c r="T34" s="487"/>
    </row>
    <row r="35" spans="2:28" ht="27" thickTop="1" thickBot="1"/>
    <row r="36" spans="2:28" ht="26.25" thickTop="1">
      <c r="B36" s="439" t="s">
        <v>1274</v>
      </c>
      <c r="C36" s="440"/>
      <c r="D36" s="440"/>
      <c r="E36" s="441"/>
      <c r="F36" s="417" t="s">
        <v>1263</v>
      </c>
      <c r="G36" s="418"/>
      <c r="H36" s="281" t="s">
        <v>60</v>
      </c>
      <c r="I36" s="281" t="s">
        <v>65</v>
      </c>
      <c r="J36" s="281" t="s">
        <v>70</v>
      </c>
      <c r="K36" s="417" t="s">
        <v>1275</v>
      </c>
      <c r="L36" s="433"/>
      <c r="AA36"/>
      <c r="AB36"/>
    </row>
    <row r="37" spans="2:28">
      <c r="B37" s="402" t="s">
        <v>1170</v>
      </c>
      <c r="C37" s="403"/>
      <c r="D37" s="403"/>
      <c r="E37" s="404"/>
      <c r="F37" s="429" t="s">
        <v>1282</v>
      </c>
      <c r="G37" s="430"/>
      <c r="H37" s="283">
        <v>0</v>
      </c>
      <c r="I37" s="283"/>
      <c r="J37" s="283"/>
      <c r="K37" s="434"/>
      <c r="L37" s="435"/>
      <c r="AA37"/>
      <c r="AB37"/>
    </row>
    <row r="38" spans="2:28">
      <c r="B38" s="402" t="s">
        <v>1168</v>
      </c>
      <c r="C38" s="403"/>
      <c r="D38" s="403"/>
      <c r="E38" s="404"/>
      <c r="F38" s="429" t="s">
        <v>1282</v>
      </c>
      <c r="G38" s="430"/>
      <c r="H38" s="283">
        <v>0</v>
      </c>
      <c r="I38" s="283"/>
      <c r="J38" s="283"/>
      <c r="K38" s="434"/>
      <c r="L38" s="435"/>
      <c r="AA38"/>
      <c r="AB38"/>
    </row>
    <row r="39" spans="2:28">
      <c r="B39" s="443" t="s">
        <v>1285</v>
      </c>
      <c r="C39" s="444"/>
      <c r="D39" s="444"/>
      <c r="E39" s="444"/>
      <c r="F39" s="444"/>
      <c r="G39" s="444"/>
      <c r="H39" s="444"/>
      <c r="I39" s="444"/>
      <c r="J39" s="444"/>
      <c r="K39" s="444"/>
      <c r="L39" s="445"/>
      <c r="AA39"/>
      <c r="AB39"/>
    </row>
    <row r="40" spans="2:28">
      <c r="B40" s="420"/>
      <c r="C40" s="421"/>
      <c r="D40" s="421"/>
      <c r="E40" s="421"/>
      <c r="F40" s="421"/>
      <c r="G40" s="421"/>
      <c r="H40" s="421"/>
      <c r="I40" s="421"/>
      <c r="J40" s="421"/>
      <c r="K40" s="421"/>
      <c r="L40" s="422"/>
      <c r="AA40"/>
      <c r="AB40"/>
    </row>
    <row r="41" spans="2:28">
      <c r="B41" s="423"/>
      <c r="C41" s="424"/>
      <c r="D41" s="424"/>
      <c r="E41" s="424"/>
      <c r="F41" s="424"/>
      <c r="G41" s="424"/>
      <c r="H41" s="424"/>
      <c r="I41" s="424"/>
      <c r="J41" s="424"/>
      <c r="K41" s="424"/>
      <c r="L41" s="425"/>
      <c r="AA41"/>
      <c r="AB41"/>
    </row>
    <row r="42" spans="2:28">
      <c r="B42" s="423"/>
      <c r="C42" s="424"/>
      <c r="D42" s="424"/>
      <c r="E42" s="424"/>
      <c r="F42" s="424"/>
      <c r="G42" s="424"/>
      <c r="H42" s="424"/>
      <c r="I42" s="424"/>
      <c r="J42" s="424"/>
      <c r="K42" s="424"/>
      <c r="L42" s="425"/>
      <c r="AA42"/>
      <c r="AB42"/>
    </row>
    <row r="43" spans="2:28">
      <c r="B43" s="423"/>
      <c r="C43" s="424"/>
      <c r="D43" s="424"/>
      <c r="E43" s="424"/>
      <c r="F43" s="424"/>
      <c r="G43" s="424"/>
      <c r="H43" s="424"/>
      <c r="I43" s="424"/>
      <c r="J43" s="424"/>
      <c r="K43" s="424"/>
      <c r="L43" s="425"/>
    </row>
    <row r="44" spans="2:28">
      <c r="B44" s="423"/>
      <c r="C44" s="424"/>
      <c r="D44" s="424"/>
      <c r="E44" s="424"/>
      <c r="F44" s="424"/>
      <c r="G44" s="424"/>
      <c r="H44" s="424"/>
      <c r="I44" s="424"/>
      <c r="J44" s="424"/>
      <c r="K44" s="424"/>
      <c r="L44" s="425"/>
    </row>
    <row r="45" spans="2:28" ht="26.25" thickBot="1">
      <c r="B45" s="426"/>
      <c r="C45" s="427"/>
      <c r="D45" s="427"/>
      <c r="E45" s="427"/>
      <c r="F45" s="427"/>
      <c r="G45" s="427"/>
      <c r="H45" s="427"/>
      <c r="I45" s="427"/>
      <c r="J45" s="427"/>
      <c r="K45" s="427"/>
      <c r="L45" s="428"/>
    </row>
    <row r="46" spans="2:28" ht="27" thickTop="1" thickBot="1"/>
    <row r="47" spans="2:28" ht="26.25" thickTop="1">
      <c r="B47" s="439" t="s">
        <v>1357</v>
      </c>
      <c r="C47" s="440"/>
      <c r="D47" s="440"/>
      <c r="E47" s="441"/>
      <c r="F47" s="499" t="s">
        <v>91</v>
      </c>
      <c r="G47" s="500"/>
      <c r="H47" s="288" t="s">
        <v>60</v>
      </c>
      <c r="I47" s="499" t="s">
        <v>1358</v>
      </c>
      <c r="J47" s="500"/>
      <c r="K47" s="288" t="s">
        <v>70</v>
      </c>
      <c r="L47" s="289" t="s">
        <v>1268</v>
      </c>
      <c r="O47" s="409" t="s">
        <v>1289</v>
      </c>
      <c r="P47" s="409"/>
      <c r="Q47" s="409"/>
      <c r="R47" s="409"/>
      <c r="S47" s="409"/>
    </row>
    <row r="48" spans="2:28" ht="26.25" thickBot="1">
      <c r="B48" s="492"/>
      <c r="C48" s="493"/>
      <c r="D48" s="493"/>
      <c r="E48" s="494"/>
      <c r="F48" s="495"/>
      <c r="G48" s="494"/>
      <c r="H48" s="1"/>
      <c r="I48" s="495"/>
      <c r="J48" s="494"/>
      <c r="K48" s="1"/>
      <c r="L48" s="5"/>
    </row>
    <row r="49" spans="2:19" ht="26.25" thickTop="1">
      <c r="B49" s="492"/>
      <c r="C49" s="493"/>
      <c r="D49" s="493"/>
      <c r="E49" s="494"/>
      <c r="F49" s="495"/>
      <c r="G49" s="494"/>
      <c r="H49" s="1"/>
      <c r="I49" s="495"/>
      <c r="J49" s="494"/>
      <c r="K49" s="1"/>
      <c r="L49" s="5"/>
      <c r="N49" s="11"/>
      <c r="O49" s="496" t="s">
        <v>1290</v>
      </c>
      <c r="P49" s="497"/>
      <c r="Q49" s="497"/>
      <c r="R49" s="497"/>
      <c r="S49" s="498"/>
    </row>
    <row r="50" spans="2:19" ht="26.25" thickBot="1">
      <c r="B50" s="492"/>
      <c r="C50" s="493"/>
      <c r="D50" s="493"/>
      <c r="E50" s="494"/>
      <c r="F50" s="495"/>
      <c r="G50" s="494"/>
      <c r="H50" s="9"/>
      <c r="I50" s="495"/>
      <c r="J50" s="494"/>
      <c r="K50" s="9"/>
      <c r="L50" s="10"/>
      <c r="O50" s="483"/>
      <c r="P50" s="416"/>
      <c r="Q50" s="416"/>
      <c r="R50" s="416"/>
      <c r="S50" s="484"/>
    </row>
    <row r="51" spans="2:19">
      <c r="B51" s="503" t="s">
        <v>1015</v>
      </c>
      <c r="C51" s="504"/>
      <c r="D51" s="505" t="s">
        <v>1243</v>
      </c>
      <c r="E51" s="507" t="s">
        <v>1304</v>
      </c>
      <c r="F51" s="507"/>
      <c r="G51" s="507"/>
      <c r="H51" s="13" t="s">
        <v>1243</v>
      </c>
      <c r="I51" s="507" t="s">
        <v>1305</v>
      </c>
      <c r="J51" s="507"/>
      <c r="K51" s="507"/>
      <c r="L51" s="12" t="s">
        <v>1243</v>
      </c>
      <c r="N51" s="11"/>
      <c r="O51" s="483" t="s">
        <v>119</v>
      </c>
      <c r="P51" s="416"/>
      <c r="Q51" s="416"/>
      <c r="R51" s="416"/>
      <c r="S51" s="484"/>
    </row>
    <row r="52" spans="2:19" ht="26.25" thickBot="1">
      <c r="B52" s="426"/>
      <c r="C52" s="427"/>
      <c r="D52" s="506"/>
      <c r="E52" s="427" t="s">
        <v>1307</v>
      </c>
      <c r="F52" s="427"/>
      <c r="G52" s="427"/>
      <c r="H52" s="285" t="s">
        <v>1243</v>
      </c>
      <c r="I52" s="501" t="s">
        <v>1308</v>
      </c>
      <c r="J52" s="501"/>
      <c r="K52" s="501"/>
      <c r="L52" s="274" t="s">
        <v>1243</v>
      </c>
      <c r="O52" s="483" t="s">
        <v>96</v>
      </c>
      <c r="P52" s="416"/>
      <c r="Q52" s="416"/>
      <c r="R52" s="416"/>
      <c r="S52" s="484"/>
    </row>
    <row r="53" spans="2:19" ht="26.25" thickTop="1">
      <c r="O53" s="483"/>
      <c r="P53" s="416"/>
      <c r="Q53" s="416"/>
      <c r="R53" s="416"/>
      <c r="S53" s="484"/>
    </row>
    <row r="54" spans="2:19">
      <c r="B54" s="502" t="s">
        <v>1309</v>
      </c>
      <c r="C54" s="502"/>
      <c r="D54" s="502"/>
      <c r="E54" s="502"/>
      <c r="F54" s="502"/>
      <c r="G54" s="502"/>
      <c r="H54" s="502"/>
      <c r="I54" s="502"/>
      <c r="J54" s="502"/>
      <c r="K54" s="502"/>
      <c r="L54" s="502"/>
      <c r="M54" s="502"/>
      <c r="O54" s="483" t="s">
        <v>1359</v>
      </c>
      <c r="P54" s="416"/>
      <c r="Q54" s="416"/>
      <c r="R54" s="416"/>
      <c r="S54" s="484"/>
    </row>
    <row r="55" spans="2:19" ht="26.25" thickBot="1">
      <c r="O55" s="483" t="s">
        <v>1291</v>
      </c>
      <c r="P55" s="416"/>
      <c r="Q55" s="416"/>
      <c r="R55" s="416"/>
      <c r="S55" s="272" t="s">
        <v>1243</v>
      </c>
    </row>
    <row r="56" spans="2:19" ht="26.25" thickTop="1">
      <c r="B56" s="508" t="s">
        <v>1360</v>
      </c>
      <c r="C56" s="509"/>
      <c r="D56" s="286"/>
      <c r="E56" s="286" t="s">
        <v>96</v>
      </c>
      <c r="F56" s="286"/>
      <c r="G56" s="509" t="s">
        <v>1361</v>
      </c>
      <c r="H56" s="509"/>
      <c r="I56" s="509"/>
      <c r="J56" s="509"/>
      <c r="K56" s="286"/>
      <c r="L56" s="509" t="s">
        <v>1362</v>
      </c>
      <c r="M56" s="510"/>
      <c r="N56" s="3"/>
      <c r="O56" s="483" t="s">
        <v>1292</v>
      </c>
      <c r="P56" s="416"/>
      <c r="Q56" s="416"/>
      <c r="R56" s="416"/>
      <c r="S56" s="272" t="s">
        <v>1243</v>
      </c>
    </row>
    <row r="57" spans="2:19">
      <c r="B57" s="511">
        <f>Eigenschaften!P25</f>
        <v>11</v>
      </c>
      <c r="C57" s="512"/>
      <c r="D57" s="424" t="s">
        <v>119</v>
      </c>
      <c r="E57" s="424">
        <f>AS11</f>
        <v>0</v>
      </c>
      <c r="F57" s="424" t="s">
        <v>1359</v>
      </c>
      <c r="G57" s="416" t="s">
        <v>1298</v>
      </c>
      <c r="H57" s="416"/>
      <c r="I57" s="416"/>
      <c r="J57" s="271" t="s">
        <v>1243</v>
      </c>
      <c r="K57" s="424" t="s">
        <v>1363</v>
      </c>
      <c r="L57" s="512" t="e">
        <f>SUM(B57+E57+Rechner!C6+Rechner!C7+Rechner!C8+Rechner!C9+Rechner!C10+Rechner!C11+Fernkampf!J63)</f>
        <v>#REF!</v>
      </c>
      <c r="M57" s="518"/>
      <c r="N57" s="3"/>
      <c r="O57" s="483" t="s">
        <v>1364</v>
      </c>
      <c r="P57" s="416"/>
      <c r="Q57" s="416"/>
      <c r="R57" s="416"/>
      <c r="S57" s="3"/>
    </row>
    <row r="58" spans="2:19">
      <c r="B58" s="511"/>
      <c r="C58" s="512"/>
      <c r="D58" s="424"/>
      <c r="E58" s="424"/>
      <c r="F58" s="424"/>
      <c r="G58" s="416" t="s">
        <v>1299</v>
      </c>
      <c r="H58" s="416"/>
      <c r="I58" s="416"/>
      <c r="J58" s="271" t="s">
        <v>1243</v>
      </c>
      <c r="K58" s="424"/>
      <c r="L58" s="512"/>
      <c r="M58" s="518"/>
      <c r="O58" s="483" t="s">
        <v>1359</v>
      </c>
      <c r="P58" s="416"/>
      <c r="Q58" s="416"/>
      <c r="R58" s="416"/>
      <c r="S58" s="484"/>
    </row>
    <row r="59" spans="2:19">
      <c r="B59" s="511"/>
      <c r="C59" s="512"/>
      <c r="D59" s="424"/>
      <c r="E59" s="424"/>
      <c r="F59" s="424"/>
      <c r="G59" s="416" t="s">
        <v>1300</v>
      </c>
      <c r="H59" s="416"/>
      <c r="I59" s="416"/>
      <c r="J59" s="271" t="s">
        <v>1243</v>
      </c>
      <c r="K59" s="424"/>
      <c r="L59" s="512"/>
      <c r="M59" s="518"/>
      <c r="O59" s="483" t="s">
        <v>1365</v>
      </c>
      <c r="P59" s="416"/>
      <c r="Q59" s="416"/>
      <c r="R59" s="416"/>
      <c r="S59" s="484"/>
    </row>
    <row r="60" spans="2:19">
      <c r="B60" s="511"/>
      <c r="C60" s="512"/>
      <c r="D60" s="424"/>
      <c r="E60" s="424"/>
      <c r="F60" s="424"/>
      <c r="G60" s="416" t="s">
        <v>127</v>
      </c>
      <c r="H60" s="416"/>
      <c r="I60" s="416"/>
      <c r="J60" s="271">
        <f>'Fertigkeiten &amp; Talente'!P39</f>
        <v>4</v>
      </c>
      <c r="K60" s="424"/>
      <c r="L60" s="512"/>
      <c r="M60" s="518"/>
      <c r="O60" s="483">
        <v>6</v>
      </c>
      <c r="P60" s="416"/>
      <c r="Q60" s="416"/>
      <c r="R60" s="416"/>
      <c r="S60" s="484"/>
    </row>
    <row r="61" spans="2:19">
      <c r="B61" s="511"/>
      <c r="C61" s="512"/>
      <c r="D61" s="424"/>
      <c r="E61" s="424"/>
      <c r="F61" s="424"/>
      <c r="G61" s="416" t="s">
        <v>1302</v>
      </c>
      <c r="H61" s="416"/>
      <c r="I61" s="416"/>
      <c r="J61" s="271" t="s">
        <v>1243</v>
      </c>
      <c r="K61" s="424"/>
      <c r="L61" s="512"/>
      <c r="M61" s="518"/>
      <c r="O61" s="483" t="s">
        <v>1363</v>
      </c>
      <c r="P61" s="416"/>
      <c r="Q61" s="416"/>
      <c r="R61" s="416"/>
      <c r="S61" s="484"/>
    </row>
    <row r="62" spans="2:19">
      <c r="B62" s="511"/>
      <c r="C62" s="512"/>
      <c r="D62" s="424"/>
      <c r="E62" s="424"/>
      <c r="F62" s="424"/>
      <c r="G62" s="416" t="s">
        <v>1303</v>
      </c>
      <c r="H62" s="416"/>
      <c r="I62" s="416"/>
      <c r="J62" s="271" t="s">
        <v>1243</v>
      </c>
      <c r="K62" s="424"/>
      <c r="L62" s="512"/>
      <c r="M62" s="518"/>
      <c r="O62" s="483" t="s">
        <v>1362</v>
      </c>
      <c r="P62" s="416"/>
      <c r="Q62" s="416"/>
      <c r="R62" s="416"/>
      <c r="S62" s="484"/>
    </row>
    <row r="63" spans="2:19" ht="26.25" thickBot="1">
      <c r="B63" s="511"/>
      <c r="C63" s="512"/>
      <c r="D63" s="424"/>
      <c r="E63" s="424"/>
      <c r="F63" s="424"/>
      <c r="G63" s="416" t="s">
        <v>60</v>
      </c>
      <c r="H63" s="416"/>
      <c r="I63" s="416"/>
      <c r="J63" s="271">
        <f>IF(O63&lt;21,0,ROUNDUP((O63-20)/10,0))</f>
        <v>0</v>
      </c>
      <c r="K63" s="424"/>
      <c r="L63" s="512"/>
      <c r="M63" s="518"/>
      <c r="O63" s="515">
        <f>SUM(O50-O53+Rechner!C14+Rechner!C15+Fernkampf!S57+Fernkampf!O60:S60)</f>
        <v>6</v>
      </c>
      <c r="P63" s="516"/>
      <c r="Q63" s="516"/>
      <c r="R63" s="516"/>
      <c r="S63" s="517"/>
    </row>
    <row r="64" spans="2:19" ht="27" thickTop="1" thickBot="1">
      <c r="B64" s="513"/>
      <c r="C64" s="514"/>
      <c r="D64" s="427"/>
      <c r="E64" s="427"/>
      <c r="F64" s="427"/>
      <c r="G64" s="486" t="s">
        <v>1364</v>
      </c>
      <c r="H64" s="486"/>
      <c r="I64" s="486"/>
      <c r="J64" s="273"/>
      <c r="K64" s="427"/>
      <c r="L64" s="514"/>
      <c r="M64" s="519"/>
      <c r="O64" s="268"/>
      <c r="P64" s="268"/>
      <c r="Q64" s="268"/>
      <c r="R64" s="268"/>
      <c r="S64" s="268"/>
    </row>
    <row r="65" spans="2:20" ht="27" thickTop="1" thickBot="1">
      <c r="N65" s="266"/>
      <c r="O65" s="266"/>
      <c r="P65" s="266"/>
      <c r="Q65" s="266"/>
    </row>
    <row r="66" spans="2:20" ht="26.25" thickTop="1">
      <c r="B66" s="534"/>
      <c r="C66" s="535"/>
      <c r="D66" s="535"/>
      <c r="E66" s="529" t="s">
        <v>1311</v>
      </c>
      <c r="F66" s="529"/>
      <c r="G66" s="291" t="s">
        <v>1312</v>
      </c>
      <c r="H66" s="291" t="s">
        <v>1313</v>
      </c>
      <c r="I66" s="291" t="s">
        <v>1314</v>
      </c>
      <c r="J66" s="536" t="s">
        <v>28</v>
      </c>
      <c r="K66" s="537"/>
      <c r="N66" s="534"/>
      <c r="O66" s="535"/>
      <c r="P66" s="535"/>
      <c r="Q66" s="529" t="s">
        <v>1311</v>
      </c>
      <c r="R66" s="529"/>
      <c r="S66" s="529" t="s">
        <v>28</v>
      </c>
      <c r="T66" s="530"/>
    </row>
    <row r="67" spans="2:20">
      <c r="B67" s="473" t="s">
        <v>1315</v>
      </c>
      <c r="C67" s="474"/>
      <c r="D67" s="474"/>
      <c r="E67" s="531">
        <f>Eigenschaften!P21</f>
        <v>34</v>
      </c>
      <c r="F67" s="531"/>
      <c r="G67" s="290">
        <f>ROUND(E67/2,0)</f>
        <v>17</v>
      </c>
      <c r="H67" s="290">
        <f>ROUND(E67/3,0)</f>
        <v>11</v>
      </c>
      <c r="I67" s="290">
        <f>ROUND(E67/4,0)</f>
        <v>9</v>
      </c>
      <c r="J67" s="531"/>
      <c r="K67" s="532"/>
      <c r="N67" s="473" t="s">
        <v>46</v>
      </c>
      <c r="O67" s="474"/>
      <c r="P67" s="474"/>
      <c r="Q67" s="533" t="str">
        <f>Eigenschaften!P23</f>
        <v/>
      </c>
      <c r="R67" s="533"/>
      <c r="S67" s="531"/>
      <c r="T67" s="532"/>
    </row>
    <row r="68" spans="2:20" ht="26.25" thickBot="1">
      <c r="B68" s="520" t="s">
        <v>1316</v>
      </c>
      <c r="C68" s="521"/>
      <c r="D68" s="521"/>
      <c r="E68" s="522">
        <f>Eigenschaften!P21</f>
        <v>34</v>
      </c>
      <c r="F68" s="522"/>
      <c r="G68" s="287">
        <f>ROUND(E68/2,0)</f>
        <v>17</v>
      </c>
      <c r="H68" s="287">
        <f>ROUND(E68/3,0)</f>
        <v>11</v>
      </c>
      <c r="I68" s="287">
        <f>ROUND(E68/4,0)</f>
        <v>9</v>
      </c>
      <c r="J68" s="523"/>
      <c r="K68" s="524"/>
      <c r="N68" s="520" t="s">
        <v>1317</v>
      </c>
      <c r="O68" s="521"/>
      <c r="P68" s="525"/>
      <c r="Q68" s="526" t="e">
        <f>Eigenschaften!#REF!</f>
        <v>#REF!</v>
      </c>
      <c r="R68" s="526"/>
      <c r="S68" s="527"/>
      <c r="T68" s="528"/>
    </row>
    <row r="69" spans="2:20" ht="26.25" thickTop="1">
      <c r="N69" s="266"/>
      <c r="P69" s="6"/>
      <c r="Q69" s="6"/>
      <c r="R69" s="6"/>
      <c r="S69" s="6"/>
    </row>
  </sheetData>
  <mergeCells count="120">
    <mergeCell ref="O61:S61"/>
    <mergeCell ref="B68:D68"/>
    <mergeCell ref="E68:F68"/>
    <mergeCell ref="J68:K68"/>
    <mergeCell ref="N68:P68"/>
    <mergeCell ref="Q68:R68"/>
    <mergeCell ref="S68:T68"/>
    <mergeCell ref="S66:T66"/>
    <mergeCell ref="B67:D67"/>
    <mergeCell ref="E67:F67"/>
    <mergeCell ref="J67:K67"/>
    <mergeCell ref="N67:P67"/>
    <mergeCell ref="Q67:R67"/>
    <mergeCell ref="S67:T67"/>
    <mergeCell ref="B66:D66"/>
    <mergeCell ref="E66:F66"/>
    <mergeCell ref="J66:K66"/>
    <mergeCell ref="N66:P66"/>
    <mergeCell ref="Q66:R66"/>
    <mergeCell ref="B56:C56"/>
    <mergeCell ref="G56:J56"/>
    <mergeCell ref="L56:M56"/>
    <mergeCell ref="O56:R56"/>
    <mergeCell ref="B57:C64"/>
    <mergeCell ref="D57:D64"/>
    <mergeCell ref="E57:E64"/>
    <mergeCell ref="F57:F64"/>
    <mergeCell ref="G57:I57"/>
    <mergeCell ref="K57:K64"/>
    <mergeCell ref="G62:I62"/>
    <mergeCell ref="O62:S62"/>
    <mergeCell ref="G63:I63"/>
    <mergeCell ref="O63:S63"/>
    <mergeCell ref="G64:I64"/>
    <mergeCell ref="L57:M64"/>
    <mergeCell ref="O57:R57"/>
    <mergeCell ref="G58:I58"/>
    <mergeCell ref="O58:S58"/>
    <mergeCell ref="G59:I59"/>
    <mergeCell ref="O59:S59"/>
    <mergeCell ref="G60:I60"/>
    <mergeCell ref="O60:S60"/>
    <mergeCell ref="G61:I61"/>
    <mergeCell ref="I52:K52"/>
    <mergeCell ref="O52:S52"/>
    <mergeCell ref="O53:S53"/>
    <mergeCell ref="B54:M54"/>
    <mergeCell ref="O54:S54"/>
    <mergeCell ref="O55:R55"/>
    <mergeCell ref="B50:E50"/>
    <mergeCell ref="F50:G50"/>
    <mergeCell ref="I50:J50"/>
    <mergeCell ref="O50:S50"/>
    <mergeCell ref="B51:C52"/>
    <mergeCell ref="D51:D52"/>
    <mergeCell ref="E51:G51"/>
    <mergeCell ref="I51:K51"/>
    <mergeCell ref="O51:S51"/>
    <mergeCell ref="E52:G52"/>
    <mergeCell ref="O47:S47"/>
    <mergeCell ref="B48:E48"/>
    <mergeCell ref="F48:G48"/>
    <mergeCell ref="I48:J48"/>
    <mergeCell ref="B49:E49"/>
    <mergeCell ref="F49:G49"/>
    <mergeCell ref="I49:J49"/>
    <mergeCell ref="O49:S49"/>
    <mergeCell ref="B38:E38"/>
    <mergeCell ref="F38:G38"/>
    <mergeCell ref="K38:L38"/>
    <mergeCell ref="B39:L39"/>
    <mergeCell ref="B40:L45"/>
    <mergeCell ref="B47:E47"/>
    <mergeCell ref="F47:G47"/>
    <mergeCell ref="I47:J47"/>
    <mergeCell ref="B28:T28"/>
    <mergeCell ref="B29:T34"/>
    <mergeCell ref="B36:E36"/>
    <mergeCell ref="F36:G36"/>
    <mergeCell ref="K36:L36"/>
    <mergeCell ref="B37:E37"/>
    <mergeCell ref="F37:G37"/>
    <mergeCell ref="K37:L37"/>
    <mergeCell ref="B26:E26"/>
    <mergeCell ref="P26:Q26"/>
    <mergeCell ref="R26:T26"/>
    <mergeCell ref="B27:E27"/>
    <mergeCell ref="P27:Q27"/>
    <mergeCell ref="R27:T27"/>
    <mergeCell ref="B24:E24"/>
    <mergeCell ref="P24:Q24"/>
    <mergeCell ref="R24:T24"/>
    <mergeCell ref="B25:E25"/>
    <mergeCell ref="P25:Q25"/>
    <mergeCell ref="R25:T25"/>
    <mergeCell ref="B22:E22"/>
    <mergeCell ref="P22:Q22"/>
    <mergeCell ref="R22:T22"/>
    <mergeCell ref="B23:E23"/>
    <mergeCell ref="P23:Q23"/>
    <mergeCell ref="R23:T23"/>
    <mergeCell ref="L20:O20"/>
    <mergeCell ref="B21:E21"/>
    <mergeCell ref="P21:Q21"/>
    <mergeCell ref="R21:T21"/>
    <mergeCell ref="AN6:AR6"/>
    <mergeCell ref="B7:E7"/>
    <mergeCell ref="B8:E8"/>
    <mergeCell ref="B9:E9"/>
    <mergeCell ref="B10:E10"/>
    <mergeCell ref="B11:E11"/>
    <mergeCell ref="C2:E2"/>
    <mergeCell ref="G2:I2"/>
    <mergeCell ref="K2:N2"/>
    <mergeCell ref="P2:R2"/>
    <mergeCell ref="B4:T4"/>
    <mergeCell ref="B6:E6"/>
    <mergeCell ref="B12:E12"/>
    <mergeCell ref="B13:AC13"/>
    <mergeCell ref="B14:AC19"/>
  </mergeCells>
  <dataValidations count="1">
    <dataValidation type="list" allowBlank="1" showInputMessage="1" showErrorMessage="1" sqref="G7:G11" xr:uid="{D935ABC4-1276-4BFA-88E8-B28FCACAD616}">
      <formula1>INDIRECT(F7)</formula1>
    </dataValidation>
  </dataValidations>
  <pageMargins left="0.7" right="0.7" top="0.78740157499999996" bottom="0.78740157499999996" header="0.3" footer="0.3"/>
  <pageSetup paperSize="9" scale="38"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28B20FF6-5356-4FFA-895E-DBFB99AFAD34}">
          <x14:formula1>
            <xm:f>Kampftechniken!$B$4:$B$20</xm:f>
          </x14:formula1>
          <xm:sqref>F7:F11</xm:sqref>
        </x14:dataValidation>
        <x14:dataValidation type="list" allowBlank="1" showInputMessage="1" showErrorMessage="1" xr:uid="{5C81C097-7C2F-4E3F-9E13-2EE8C5C35C4C}">
          <x14:formula1>
            <xm:f>Rechner!$B$1:$B$2</xm:f>
          </x14:formula1>
          <xm:sqref>O60:S60</xm:sqref>
        </x14:dataValidation>
        <x14:dataValidation type="list" allowBlank="1" showInputMessage="1" showErrorMessage="1" xr:uid="{361B6991-6794-41CC-9E85-1338E9006057}">
          <x14:formula1>
            <xm:f>Rechner!$A$1:$A$2</xm:f>
          </x14:formula1>
          <xm:sqref>H51:H52 L51:L52 J57:J59 J61:J62 D51:D52 S55:S56 AN8:AQ8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D9B0-93E6-4153-8021-93E307221247}">
  <dimension ref="A1:B1"/>
  <sheetViews>
    <sheetView workbookViewId="0">
      <selection activeCell="B12" sqref="B12"/>
    </sheetView>
  </sheetViews>
  <sheetFormatPr baseColWidth="10" defaultColWidth="11.44140625" defaultRowHeight="15"/>
  <cols>
    <col min="2" max="2" width="122.88671875" customWidth="1"/>
  </cols>
  <sheetData>
    <row r="1" spans="1:2" ht="109.5" customHeight="1">
      <c r="A1" t="s">
        <v>1366</v>
      </c>
      <c r="B1" s="16" t="s">
        <v>1367</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4CD-A4BE-4EC5-B164-8A5086A180BB}">
  <sheetPr codeName="Tabelle7"/>
  <dimension ref="A1:P59"/>
  <sheetViews>
    <sheetView zoomScale="115" zoomScaleNormal="115" workbookViewId="0">
      <selection activeCell="C6" sqref="C6"/>
    </sheetView>
  </sheetViews>
  <sheetFormatPr baseColWidth="10" defaultColWidth="10.77734375" defaultRowHeight="15"/>
  <cols>
    <col min="1" max="1" width="14.33203125" customWidth="1"/>
    <col min="2" max="2" width="14" customWidth="1"/>
    <col min="8" max="8" width="19.5546875" customWidth="1"/>
  </cols>
  <sheetData>
    <row r="1" spans="1:8" ht="16.5" thickBot="1">
      <c r="A1" t="s">
        <v>1243</v>
      </c>
      <c r="B1">
        <v>6</v>
      </c>
      <c r="C1" t="b">
        <v>0</v>
      </c>
      <c r="H1" s="50" t="s">
        <v>1368</v>
      </c>
    </row>
    <row r="2" spans="1:8">
      <c r="A2" t="s">
        <v>294</v>
      </c>
      <c r="B2">
        <v>12</v>
      </c>
      <c r="C2" t="b">
        <v>1</v>
      </c>
      <c r="H2" s="47" t="str">
        <f>IF(ISTEXT(Nahkampf!B14),Nahkampf!B14,"")</f>
        <v>Dolch</v>
      </c>
    </row>
    <row r="3" spans="1:8">
      <c r="H3" s="48" t="str">
        <f>IF(ISTEXT(Nahkampf!B15),Nahkampf!B15,"")</f>
        <v>Kurzschwert</v>
      </c>
    </row>
    <row r="4" spans="1:8" ht="15.75" thickBot="1">
      <c r="H4" s="48" t="str">
        <f>IF(ISTEXT(Nahkampf!B16),Nahkampf!B16,"")</f>
        <v/>
      </c>
    </row>
    <row r="5" spans="1:8" ht="16.5" thickTop="1">
      <c r="A5" s="540" t="s">
        <v>1369</v>
      </c>
      <c r="B5" s="541"/>
      <c r="C5" s="542"/>
      <c r="H5" s="48" t="str">
        <f>IF(ISTEXT(Nahkampf!B17),Nahkampf!B17,"")</f>
        <v/>
      </c>
    </row>
    <row r="6" spans="1:8">
      <c r="A6" s="543" t="s">
        <v>1298</v>
      </c>
      <c r="B6" s="451"/>
      <c r="C6" s="14" t="e">
        <f>IF(Nahkampf!#REF!=TRUE,3,0)</f>
        <v>#REF!</v>
      </c>
      <c r="H6" s="48" t="str">
        <f>IF(ISTEXT(Nahkampf!B18),Nahkampf!B18,"")</f>
        <v/>
      </c>
    </row>
    <row r="7" spans="1:8">
      <c r="A7" s="543" t="s">
        <v>1299</v>
      </c>
      <c r="B7" s="451"/>
      <c r="C7" s="14" t="e">
        <f>IF(Nahkampf!#REF!="JA",3,0)</f>
        <v>#REF!</v>
      </c>
      <c r="H7" s="48" t="str">
        <f>IF(ISTEXT(Nahkampf!B19),Nahkampf!B19,"")</f>
        <v/>
      </c>
    </row>
    <row r="8" spans="1:8">
      <c r="A8" s="543" t="s">
        <v>1300</v>
      </c>
      <c r="B8" s="451"/>
      <c r="C8" s="14" t="e">
        <f>IF(Nahkampf!#REF!="JA",3,0)</f>
        <v>#REF!</v>
      </c>
      <c r="H8" s="48" t="str">
        <f>IF(ISTEXT(Nahkampf!B20),Nahkampf!B20,"")</f>
        <v/>
      </c>
    </row>
    <row r="9" spans="1:8">
      <c r="A9" s="543" t="s">
        <v>1302</v>
      </c>
      <c r="B9" s="451"/>
      <c r="C9" s="14" t="e">
        <f>IF(Nahkampf!#REF!="JA",1,0)</f>
        <v>#REF!</v>
      </c>
      <c r="H9" s="48" t="str">
        <f>IF(ISTEXT(Nahkampf!B31),Nahkampf!B31,"")</f>
        <v/>
      </c>
    </row>
    <row r="10" spans="1:8">
      <c r="A10" s="543" t="s">
        <v>1303</v>
      </c>
      <c r="B10" s="451"/>
      <c r="C10" s="14" t="e">
        <f>IF(Nahkampf!#REF!="JA",-1,0)</f>
        <v>#REF!</v>
      </c>
      <c r="H10" s="48" t="str">
        <f>IF(ISTEXT(Nahkampf!B32),Nahkampf!B32,"")</f>
        <v/>
      </c>
    </row>
    <row r="11" spans="1:8" ht="15.75" thickBot="1">
      <c r="A11" s="538" t="s">
        <v>1370</v>
      </c>
      <c r="B11" s="539"/>
      <c r="C11" s="15" t="e">
        <f>ROUNDDOWN(IF(Nahkampf!#REF!&lt;9,0,(Nahkampf!#REF!-9)/3),0)</f>
        <v>#REF!</v>
      </c>
      <c r="H11" s="48" t="str">
        <f>IF(ISTEXT(Nahkampf!B33),Nahkampf!B33,"")</f>
        <v/>
      </c>
    </row>
    <row r="12" spans="1:8" ht="16.5" thickTop="1" thickBot="1">
      <c r="H12" s="48" t="str">
        <f>IF(ISTEXT(Nahkampf!B36),Nahkampf!B36,"")</f>
        <v/>
      </c>
    </row>
    <row r="13" spans="1:8" ht="16.5" thickTop="1">
      <c r="A13" s="540" t="s">
        <v>1371</v>
      </c>
      <c r="B13" s="541"/>
      <c r="C13" s="542"/>
      <c r="H13" s="48" t="str">
        <f>IF(ISTEXT(Nahkampf!B37),Nahkampf!B37,"")</f>
        <v/>
      </c>
    </row>
    <row r="14" spans="1:8" ht="15.75" thickBot="1">
      <c r="A14" s="543" t="s">
        <v>1291</v>
      </c>
      <c r="B14" s="451"/>
      <c r="C14" s="14">
        <f>IF(Nahkampf!AJ25="JA",2,0)</f>
        <v>0</v>
      </c>
      <c r="H14" s="49" t="str">
        <f>IF(ISTEXT(Nahkampf!B38),Nahkampf!B38,"")</f>
        <v/>
      </c>
    </row>
    <row r="15" spans="1:8" ht="15.75" thickBot="1">
      <c r="A15" s="538" t="s">
        <v>1292</v>
      </c>
      <c r="B15" s="539"/>
      <c r="C15" s="15">
        <f>IF(Nahkampf!AJ26="JA",4,0)</f>
        <v>0</v>
      </c>
      <c r="H15" t="str">
        <f>IF(ISTEXT(Nahkampf!B29),Nahkampf!B29,"")</f>
        <v/>
      </c>
    </row>
    <row r="16" spans="1:8" ht="15.75" thickTop="1"/>
    <row r="17" spans="1:16">
      <c r="A17" t="s">
        <v>1372</v>
      </c>
      <c r="B17">
        <v>1</v>
      </c>
    </row>
    <row r="18" spans="1:16">
      <c r="A18" t="s">
        <v>128</v>
      </c>
      <c r="B18">
        <v>2</v>
      </c>
    </row>
    <row r="19" spans="1:16">
      <c r="A19" t="s">
        <v>125</v>
      </c>
      <c r="B19">
        <v>3</v>
      </c>
    </row>
    <row r="20" spans="1:16">
      <c r="A20" t="s">
        <v>110</v>
      </c>
      <c r="B20">
        <v>4</v>
      </c>
    </row>
    <row r="21" spans="1:16">
      <c r="A21" t="s">
        <v>113</v>
      </c>
      <c r="B21">
        <v>5</v>
      </c>
    </row>
    <row r="22" spans="1:16">
      <c r="A22" t="s">
        <v>429</v>
      </c>
      <c r="B22">
        <v>6</v>
      </c>
    </row>
    <row r="23" spans="1:16">
      <c r="A23" t="s">
        <v>530</v>
      </c>
      <c r="B23">
        <v>7</v>
      </c>
    </row>
    <row r="24" spans="1:16">
      <c r="A24" t="s">
        <v>1373</v>
      </c>
      <c r="B24">
        <v>8</v>
      </c>
    </row>
    <row r="25" spans="1:16">
      <c r="A25" t="s">
        <v>1276</v>
      </c>
      <c r="B25">
        <v>9</v>
      </c>
    </row>
    <row r="31" spans="1:16" ht="15.75" thickBot="1"/>
    <row r="32" spans="1:16" ht="45.75" thickBot="1">
      <c r="A32" s="157"/>
      <c r="B32" s="158" t="s">
        <v>1374</v>
      </c>
      <c r="C32" s="158" t="s">
        <v>1002</v>
      </c>
      <c r="D32" s="158" t="s">
        <v>1375</v>
      </c>
      <c r="E32" s="158" t="s">
        <v>1376</v>
      </c>
      <c r="F32" s="158" t="s">
        <v>1377</v>
      </c>
      <c r="G32" s="158" t="s">
        <v>1378</v>
      </c>
      <c r="H32" s="158" t="s">
        <v>1379</v>
      </c>
      <c r="I32" s="158" t="s">
        <v>1091</v>
      </c>
      <c r="J32" s="158" t="s">
        <v>1093</v>
      </c>
      <c r="K32" s="158" t="s">
        <v>1106</v>
      </c>
      <c r="L32" s="158" t="s">
        <v>1119</v>
      </c>
      <c r="M32" s="158" t="s">
        <v>1136</v>
      </c>
      <c r="N32" s="158" t="s">
        <v>1380</v>
      </c>
      <c r="O32" s="158" t="s">
        <v>1381</v>
      </c>
      <c r="P32" s="158" t="s">
        <v>1382</v>
      </c>
    </row>
    <row r="33" spans="1:16" ht="15.75" thickBot="1">
      <c r="A33" s="159" t="s">
        <v>935</v>
      </c>
      <c r="B33" s="160" t="s">
        <v>1383</v>
      </c>
      <c r="C33" s="160" t="s">
        <v>1383</v>
      </c>
      <c r="D33" s="160" t="s">
        <v>1383</v>
      </c>
      <c r="E33" s="160"/>
      <c r="F33" s="160" t="s">
        <v>1383</v>
      </c>
      <c r="G33" s="160" t="s">
        <v>1383</v>
      </c>
      <c r="H33" s="160"/>
      <c r="I33" s="160"/>
      <c r="J33" s="160" t="s">
        <v>1383</v>
      </c>
      <c r="K33" s="160" t="s">
        <v>1383</v>
      </c>
      <c r="L33" s="160" t="s">
        <v>1383</v>
      </c>
      <c r="M33" s="160" t="s">
        <v>1383</v>
      </c>
      <c r="N33" s="160"/>
      <c r="O33" s="160"/>
      <c r="P33" s="160"/>
    </row>
    <row r="34" spans="1:16" ht="30.75" thickBot="1">
      <c r="A34" s="161" t="s">
        <v>936</v>
      </c>
      <c r="B34" s="162" t="s">
        <v>1383</v>
      </c>
      <c r="C34" s="162"/>
      <c r="D34" s="162"/>
      <c r="E34" s="162" t="s">
        <v>1383</v>
      </c>
      <c r="F34" s="162" t="s">
        <v>1383</v>
      </c>
      <c r="G34" s="162" t="s">
        <v>1383</v>
      </c>
      <c r="H34" s="162" t="s">
        <v>1383</v>
      </c>
      <c r="I34" s="162"/>
      <c r="J34" s="162" t="s">
        <v>1383</v>
      </c>
      <c r="K34" s="162" t="s">
        <v>1383</v>
      </c>
      <c r="L34" s="162"/>
      <c r="M34" s="162" t="s">
        <v>1383</v>
      </c>
      <c r="N34" s="162" t="s">
        <v>1383</v>
      </c>
      <c r="O34" s="162" t="s">
        <v>1383</v>
      </c>
      <c r="P34" s="162" t="s">
        <v>1383</v>
      </c>
    </row>
    <row r="35" spans="1:16" ht="30.75" thickBot="1">
      <c r="A35" s="159" t="s">
        <v>937</v>
      </c>
      <c r="B35" s="160" t="s">
        <v>1383</v>
      </c>
      <c r="C35" s="160"/>
      <c r="D35" s="160"/>
      <c r="E35" s="160" t="s">
        <v>1383</v>
      </c>
      <c r="F35" s="160"/>
      <c r="G35" s="160" t="s">
        <v>107</v>
      </c>
      <c r="H35" s="160"/>
      <c r="I35" s="160"/>
      <c r="J35" s="160" t="s">
        <v>1383</v>
      </c>
      <c r="K35" s="160" t="s">
        <v>1383</v>
      </c>
      <c r="L35" s="160"/>
      <c r="M35" s="160" t="s">
        <v>1383</v>
      </c>
      <c r="N35" s="160"/>
      <c r="O35" s="160"/>
      <c r="P35" s="160"/>
    </row>
    <row r="36" spans="1:16" ht="15.75" thickBot="1">
      <c r="A36" s="161" t="s">
        <v>938</v>
      </c>
      <c r="B36" s="162" t="s">
        <v>1383</v>
      </c>
      <c r="C36" s="162" t="s">
        <v>1383</v>
      </c>
      <c r="D36" s="162" t="s">
        <v>1383</v>
      </c>
      <c r="E36" s="162"/>
      <c r="F36" s="162" t="s">
        <v>1383</v>
      </c>
      <c r="G36" s="162" t="s">
        <v>1383</v>
      </c>
      <c r="H36" s="162"/>
      <c r="I36" s="162"/>
      <c r="J36" s="162" t="s">
        <v>1383</v>
      </c>
      <c r="K36" s="162" t="s">
        <v>1383</v>
      </c>
      <c r="L36" s="162" t="s">
        <v>1383</v>
      </c>
      <c r="M36" s="162" t="s">
        <v>1383</v>
      </c>
      <c r="N36" s="162"/>
      <c r="O36" s="162"/>
      <c r="P36" s="162"/>
    </row>
    <row r="37" spans="1:16" ht="30.75" thickBot="1">
      <c r="A37" s="159" t="s">
        <v>939</v>
      </c>
      <c r="B37" s="160" t="s">
        <v>1383</v>
      </c>
      <c r="C37" s="160" t="s">
        <v>1383</v>
      </c>
      <c r="D37" s="160" t="s">
        <v>1383</v>
      </c>
      <c r="E37" s="160" t="s">
        <v>1383</v>
      </c>
      <c r="F37" s="160" t="s">
        <v>1383</v>
      </c>
      <c r="G37" s="160" t="s">
        <v>1383</v>
      </c>
      <c r="H37" s="160"/>
      <c r="I37" s="160"/>
      <c r="J37" s="160" t="s">
        <v>1383</v>
      </c>
      <c r="K37" s="160" t="s">
        <v>1383</v>
      </c>
      <c r="L37" s="160" t="s">
        <v>1383</v>
      </c>
      <c r="M37" s="160" t="s">
        <v>1383</v>
      </c>
      <c r="N37" s="160"/>
      <c r="O37" s="160" t="s">
        <v>1383</v>
      </c>
      <c r="P37" s="160" t="s">
        <v>1383</v>
      </c>
    </row>
    <row r="38" spans="1:16" ht="15.75" thickBot="1">
      <c r="A38" s="161" t="s">
        <v>940</v>
      </c>
      <c r="B38" s="162"/>
      <c r="C38" s="162" t="s">
        <v>1383</v>
      </c>
      <c r="D38" s="162" t="s">
        <v>1383</v>
      </c>
      <c r="E38" s="162" t="s">
        <v>1383</v>
      </c>
      <c r="F38" s="162"/>
      <c r="G38" s="162" t="s">
        <v>1383</v>
      </c>
      <c r="H38" s="162"/>
      <c r="I38" s="162"/>
      <c r="J38" s="162" t="s">
        <v>1383</v>
      </c>
      <c r="K38" s="162" t="s">
        <v>1383</v>
      </c>
      <c r="L38" s="162"/>
      <c r="M38" s="162"/>
      <c r="N38" s="162"/>
      <c r="O38" s="162"/>
      <c r="P38" s="162"/>
    </row>
    <row r="39" spans="1:16" ht="15.75" thickBot="1">
      <c r="A39" s="159" t="s">
        <v>941</v>
      </c>
      <c r="B39" s="160" t="s">
        <v>1383</v>
      </c>
      <c r="C39" s="160" t="s">
        <v>1383</v>
      </c>
      <c r="D39" s="160" t="s">
        <v>1384</v>
      </c>
      <c r="E39" s="160"/>
      <c r="F39" s="160" t="s">
        <v>1383</v>
      </c>
      <c r="G39" s="160" t="s">
        <v>1383</v>
      </c>
      <c r="H39" s="160"/>
      <c r="I39" s="160" t="s">
        <v>1383</v>
      </c>
      <c r="J39" s="160" t="s">
        <v>1383</v>
      </c>
      <c r="K39" s="160" t="s">
        <v>1383</v>
      </c>
      <c r="L39" s="160" t="s">
        <v>1383</v>
      </c>
      <c r="M39" s="160" t="s">
        <v>1383</v>
      </c>
      <c r="N39" s="160"/>
      <c r="O39" s="160"/>
      <c r="P39" s="160" t="s">
        <v>1385</v>
      </c>
    </row>
    <row r="40" spans="1:16" ht="15.75" thickBot="1">
      <c r="A40" s="161" t="s">
        <v>943</v>
      </c>
      <c r="B40" s="162"/>
      <c r="C40" s="162"/>
      <c r="D40" s="162"/>
      <c r="E40" s="162"/>
      <c r="F40" s="162"/>
      <c r="G40" s="162"/>
      <c r="H40" s="162"/>
      <c r="I40" s="162"/>
      <c r="J40" s="162"/>
      <c r="K40" s="162"/>
      <c r="L40" s="162" t="s">
        <v>1386</v>
      </c>
      <c r="M40" s="162"/>
      <c r="N40" s="162"/>
      <c r="O40" s="162"/>
      <c r="P40" s="162"/>
    </row>
    <row r="41" spans="1:16" ht="15.75" thickBot="1">
      <c r="A41" s="159" t="s">
        <v>944</v>
      </c>
      <c r="B41" s="160" t="s">
        <v>1383</v>
      </c>
      <c r="C41" s="160" t="s">
        <v>1383</v>
      </c>
      <c r="D41" s="160" t="s">
        <v>1383</v>
      </c>
      <c r="E41" s="160" t="s">
        <v>1383</v>
      </c>
      <c r="F41" s="160" t="s">
        <v>1383</v>
      </c>
      <c r="G41" s="160" t="s">
        <v>1383</v>
      </c>
      <c r="H41" s="160"/>
      <c r="I41" s="160"/>
      <c r="J41" s="160" t="s">
        <v>1383</v>
      </c>
      <c r="K41" s="160" t="s">
        <v>1383</v>
      </c>
      <c r="L41" s="160" t="s">
        <v>1383</v>
      </c>
      <c r="M41" s="160" t="s">
        <v>1383</v>
      </c>
      <c r="N41" s="160"/>
      <c r="O41" s="160"/>
      <c r="P41" s="160" t="s">
        <v>1383</v>
      </c>
    </row>
    <row r="42" spans="1:16" ht="15.75" thickBot="1">
      <c r="A42" s="161" t="s">
        <v>945</v>
      </c>
      <c r="B42" s="162"/>
      <c r="C42" s="162"/>
      <c r="D42" s="162"/>
      <c r="E42" s="162"/>
      <c r="F42" s="162"/>
      <c r="G42" s="162"/>
      <c r="H42" s="162"/>
      <c r="I42" s="162"/>
      <c r="J42" s="162"/>
      <c r="K42" s="162"/>
      <c r="L42" s="162" t="s">
        <v>1383</v>
      </c>
      <c r="M42" s="162"/>
      <c r="N42" s="162"/>
      <c r="O42" s="162"/>
      <c r="P42" s="162"/>
    </row>
    <row r="43" spans="1:16" ht="30.75" thickBot="1">
      <c r="A43" s="159" t="s">
        <v>946</v>
      </c>
      <c r="B43" s="160"/>
      <c r="C43" s="160"/>
      <c r="D43" s="160"/>
      <c r="E43" s="160"/>
      <c r="F43" s="160" t="s">
        <v>1383</v>
      </c>
      <c r="G43" s="160"/>
      <c r="H43" s="160"/>
      <c r="I43" s="160"/>
      <c r="J43" s="160"/>
      <c r="K43" s="160"/>
      <c r="L43" s="160"/>
      <c r="M43" s="160"/>
      <c r="N43" s="160"/>
      <c r="O43" s="160"/>
      <c r="P43" s="160" t="s">
        <v>1383</v>
      </c>
    </row>
    <row r="44" spans="1:16" ht="15.75" thickBot="1">
      <c r="A44" s="161" t="s">
        <v>947</v>
      </c>
      <c r="B44" s="162" t="s">
        <v>1383</v>
      </c>
      <c r="C44" s="162" t="s">
        <v>1383</v>
      </c>
      <c r="D44" s="162" t="s">
        <v>1383</v>
      </c>
      <c r="E44" s="162" t="s">
        <v>1383</v>
      </c>
      <c r="F44" s="162" t="s">
        <v>1383</v>
      </c>
      <c r="G44" s="162" t="s">
        <v>1383</v>
      </c>
      <c r="H44" s="162"/>
      <c r="I44" s="162"/>
      <c r="J44" s="162" t="s">
        <v>1383</v>
      </c>
      <c r="K44" s="162" t="s">
        <v>1383</v>
      </c>
      <c r="L44" s="162" t="s">
        <v>1383</v>
      </c>
      <c r="M44" s="162" t="s">
        <v>1383</v>
      </c>
      <c r="N44" s="162"/>
      <c r="O44" s="162" t="s">
        <v>1383</v>
      </c>
      <c r="P44" s="162" t="s">
        <v>1383</v>
      </c>
    </row>
    <row r="45" spans="1:16" ht="15.75" thickBot="1">
      <c r="A45" s="159" t="s">
        <v>948</v>
      </c>
      <c r="B45" s="160" t="s">
        <v>1383</v>
      </c>
      <c r="C45" s="160" t="s">
        <v>1383</v>
      </c>
      <c r="D45" s="160" t="s">
        <v>1383</v>
      </c>
      <c r="E45" s="160"/>
      <c r="F45" s="160"/>
      <c r="G45" s="160"/>
      <c r="H45" s="160"/>
      <c r="I45" s="160"/>
      <c r="J45" s="160"/>
      <c r="K45" s="160" t="s">
        <v>1387</v>
      </c>
      <c r="L45" s="160" t="s">
        <v>1383</v>
      </c>
      <c r="M45" s="160"/>
      <c r="N45" s="160"/>
      <c r="O45" s="160"/>
      <c r="P45" s="160"/>
    </row>
    <row r="46" spans="1:16" ht="15.75" thickBot="1">
      <c r="A46" s="161" t="s">
        <v>949</v>
      </c>
      <c r="B46" s="162" t="s">
        <v>1383</v>
      </c>
      <c r="C46" s="162"/>
      <c r="D46" s="162"/>
      <c r="E46" s="162"/>
      <c r="F46" s="162" t="s">
        <v>1383</v>
      </c>
      <c r="G46" s="162"/>
      <c r="H46" s="162"/>
      <c r="I46" s="162"/>
      <c r="J46" s="162"/>
      <c r="K46" s="162" t="s">
        <v>1388</v>
      </c>
      <c r="L46" s="162"/>
      <c r="M46" s="162" t="s">
        <v>1389</v>
      </c>
      <c r="N46" s="162"/>
      <c r="O46" s="162"/>
      <c r="P46" s="162" t="s">
        <v>1383</v>
      </c>
    </row>
    <row r="47" spans="1:16" ht="15.75" thickBot="1">
      <c r="A47" s="159" t="s">
        <v>950</v>
      </c>
      <c r="B47" s="160" t="s">
        <v>1390</v>
      </c>
      <c r="C47" s="160"/>
      <c r="D47" s="160"/>
      <c r="E47" s="160" t="s">
        <v>1391</v>
      </c>
      <c r="F47" s="160" t="s">
        <v>1383</v>
      </c>
      <c r="G47" s="160"/>
      <c r="H47" s="160" t="s">
        <v>1383</v>
      </c>
      <c r="I47" s="160"/>
      <c r="J47" s="160"/>
      <c r="K47" s="160"/>
      <c r="L47" s="160"/>
      <c r="M47" s="160"/>
      <c r="N47" s="160" t="s">
        <v>1383</v>
      </c>
      <c r="O47" s="160" t="s">
        <v>1383</v>
      </c>
      <c r="P47" s="160" t="s">
        <v>1383</v>
      </c>
    </row>
    <row r="48" spans="1:16" ht="15.75" thickBot="1">
      <c r="A48" s="161" t="s">
        <v>951</v>
      </c>
      <c r="B48" s="162" t="s">
        <v>1383</v>
      </c>
      <c r="C48" s="162" t="s">
        <v>1383</v>
      </c>
      <c r="D48" s="162" t="s">
        <v>1383</v>
      </c>
      <c r="E48" s="162"/>
      <c r="F48" s="162" t="s">
        <v>1383</v>
      </c>
      <c r="G48" s="162" t="s">
        <v>1383</v>
      </c>
      <c r="H48" s="162"/>
      <c r="I48" s="162"/>
      <c r="J48" s="162" t="s">
        <v>1383</v>
      </c>
      <c r="K48" s="162" t="s">
        <v>1383</v>
      </c>
      <c r="L48" s="162" t="s">
        <v>1383</v>
      </c>
      <c r="M48" s="162" t="s">
        <v>1383</v>
      </c>
      <c r="N48" s="162"/>
      <c r="O48" s="162"/>
      <c r="P48" s="162"/>
    </row>
    <row r="49" spans="1:16" ht="15.75" thickBot="1">
      <c r="A49" s="159" t="s">
        <v>952</v>
      </c>
      <c r="B49" s="160" t="s">
        <v>1383</v>
      </c>
      <c r="C49" s="160" t="s">
        <v>1383</v>
      </c>
      <c r="D49" s="160" t="s">
        <v>1383</v>
      </c>
      <c r="E49" s="160"/>
      <c r="F49" s="160" t="s">
        <v>1383</v>
      </c>
      <c r="G49" s="160" t="s">
        <v>1383</v>
      </c>
      <c r="H49" s="160"/>
      <c r="I49" s="160"/>
      <c r="J49" s="160" t="s">
        <v>1383</v>
      </c>
      <c r="K49" s="160" t="s">
        <v>1383</v>
      </c>
      <c r="L49" s="160" t="s">
        <v>1383</v>
      </c>
      <c r="M49" s="160" t="s">
        <v>1383</v>
      </c>
      <c r="N49" s="160"/>
      <c r="O49" s="160"/>
      <c r="P49" s="160"/>
    </row>
    <row r="50" spans="1:16" ht="15.75" thickBot="1">
      <c r="A50" s="161" t="s">
        <v>953</v>
      </c>
      <c r="B50" s="162" t="s">
        <v>1383</v>
      </c>
      <c r="C50" s="162" t="s">
        <v>1383</v>
      </c>
      <c r="D50" s="162" t="s">
        <v>1383</v>
      </c>
      <c r="E50" s="162" t="s">
        <v>1383</v>
      </c>
      <c r="F50" s="162" t="s">
        <v>1383</v>
      </c>
      <c r="G50" s="162" t="s">
        <v>1383</v>
      </c>
      <c r="H50" s="162"/>
      <c r="I50" s="162"/>
      <c r="J50" s="162" t="s">
        <v>1383</v>
      </c>
      <c r="K50" s="162" t="s">
        <v>1383</v>
      </c>
      <c r="L50" s="162" t="s">
        <v>1383</v>
      </c>
      <c r="M50" s="162" t="s">
        <v>1383</v>
      </c>
      <c r="N50" s="162"/>
      <c r="O50" s="162" t="s">
        <v>1383</v>
      </c>
      <c r="P50" s="162" t="s">
        <v>1383</v>
      </c>
    </row>
    <row r="51" spans="1:16" ht="15.75" thickBot="1">
      <c r="A51" s="159" t="s">
        <v>954</v>
      </c>
      <c r="B51" s="160" t="s">
        <v>1383</v>
      </c>
      <c r="C51" s="160"/>
      <c r="D51" s="160"/>
      <c r="E51" s="160" t="s">
        <v>1391</v>
      </c>
      <c r="F51" s="160" t="s">
        <v>1383</v>
      </c>
      <c r="G51" s="160" t="s">
        <v>1383</v>
      </c>
      <c r="H51" s="160" t="s">
        <v>1383</v>
      </c>
      <c r="I51" s="160"/>
      <c r="J51" s="160" t="s">
        <v>1392</v>
      </c>
      <c r="K51" s="160" t="s">
        <v>1383</v>
      </c>
      <c r="L51" s="160"/>
      <c r="M51" s="160" t="s">
        <v>1383</v>
      </c>
      <c r="N51" s="160" t="s">
        <v>1383</v>
      </c>
      <c r="O51" s="160" t="s">
        <v>1383</v>
      </c>
      <c r="P51" s="160" t="s">
        <v>1383</v>
      </c>
    </row>
    <row r="52" spans="1:16" ht="15.75" thickBot="1">
      <c r="A52" s="161" t="s">
        <v>958</v>
      </c>
      <c r="B52" s="162"/>
      <c r="C52" s="162"/>
      <c r="D52" s="162"/>
      <c r="E52" s="162" t="s">
        <v>1391</v>
      </c>
      <c r="F52" s="162"/>
      <c r="G52" s="162"/>
      <c r="H52" s="162" t="s">
        <v>1383</v>
      </c>
      <c r="I52" s="162"/>
      <c r="J52" s="162"/>
      <c r="K52" s="162"/>
      <c r="L52" s="162"/>
      <c r="M52" s="162"/>
      <c r="N52" s="162" t="s">
        <v>1383</v>
      </c>
      <c r="O52" s="162" t="s">
        <v>1383</v>
      </c>
      <c r="P52" s="162" t="s">
        <v>1383</v>
      </c>
    </row>
    <row r="53" spans="1:16" ht="30.75" thickBot="1">
      <c r="A53" s="159" t="s">
        <v>959</v>
      </c>
      <c r="B53" s="160" t="s">
        <v>1383</v>
      </c>
      <c r="C53" s="160"/>
      <c r="D53" s="160"/>
      <c r="E53" s="160" t="s">
        <v>1383</v>
      </c>
      <c r="F53" s="160"/>
      <c r="G53" s="160" t="s">
        <v>1383</v>
      </c>
      <c r="H53" s="160"/>
      <c r="I53" s="160"/>
      <c r="J53" s="160" t="s">
        <v>1383</v>
      </c>
      <c r="K53" s="160" t="s">
        <v>1383</v>
      </c>
      <c r="L53" s="160"/>
      <c r="M53" s="160" t="s">
        <v>1383</v>
      </c>
      <c r="N53" s="160"/>
      <c r="O53" s="160"/>
      <c r="P53" s="160"/>
    </row>
    <row r="54" spans="1:16" ht="15.75" thickBot="1">
      <c r="A54" s="161" t="s">
        <v>960</v>
      </c>
      <c r="B54" s="162" t="s">
        <v>1383</v>
      </c>
      <c r="C54" s="162"/>
      <c r="D54" s="162"/>
      <c r="E54" s="162" t="s">
        <v>1391</v>
      </c>
      <c r="F54" s="162" t="s">
        <v>1383</v>
      </c>
      <c r="G54" s="162" t="s">
        <v>1383</v>
      </c>
      <c r="H54" s="162" t="s">
        <v>1383</v>
      </c>
      <c r="I54" s="162"/>
      <c r="J54" s="162" t="s">
        <v>1383</v>
      </c>
      <c r="K54" s="162" t="s">
        <v>1383</v>
      </c>
      <c r="L54" s="162" t="s">
        <v>1393</v>
      </c>
      <c r="M54" s="162" t="s">
        <v>1383</v>
      </c>
      <c r="N54" s="162" t="s">
        <v>1383</v>
      </c>
      <c r="O54" s="162" t="s">
        <v>1383</v>
      </c>
      <c r="P54" s="162" t="s">
        <v>1383</v>
      </c>
    </row>
    <row r="55" spans="1:16" ht="15.75" thickBot="1">
      <c r="A55" s="159" t="s">
        <v>961</v>
      </c>
      <c r="B55" s="160"/>
      <c r="C55" s="160" t="s">
        <v>1383</v>
      </c>
      <c r="D55" s="160" t="s">
        <v>1383</v>
      </c>
      <c r="E55" s="160"/>
      <c r="F55" s="160"/>
      <c r="G55" s="160"/>
      <c r="H55" s="160"/>
      <c r="I55" s="160"/>
      <c r="J55" s="160"/>
      <c r="K55" s="160" t="s">
        <v>1394</v>
      </c>
      <c r="L55" s="160" t="s">
        <v>1383</v>
      </c>
      <c r="M55" s="160"/>
      <c r="N55" s="160"/>
      <c r="O55" s="160"/>
      <c r="P55" s="160"/>
    </row>
    <row r="56" spans="1:16" ht="15.75" thickBot="1">
      <c r="A56" s="161" t="s">
        <v>962</v>
      </c>
      <c r="B56" s="162"/>
      <c r="C56" s="162"/>
      <c r="D56" s="162"/>
      <c r="E56" s="162"/>
      <c r="F56" s="162" t="s">
        <v>1395</v>
      </c>
      <c r="G56" s="162"/>
      <c r="H56" s="162"/>
      <c r="I56" s="162" t="s">
        <v>1383</v>
      </c>
      <c r="J56" s="162"/>
      <c r="K56" s="162"/>
      <c r="L56" s="162" t="s">
        <v>1383</v>
      </c>
      <c r="M56" s="162" t="s">
        <v>1383</v>
      </c>
      <c r="N56" s="162"/>
      <c r="O56" s="162"/>
      <c r="P56" s="162" t="s">
        <v>1396</v>
      </c>
    </row>
    <row r="57" spans="1:16" ht="15.75" thickBot="1">
      <c r="A57" s="159" t="s">
        <v>963</v>
      </c>
      <c r="B57" s="160" t="s">
        <v>1383</v>
      </c>
      <c r="C57" s="160"/>
      <c r="D57" s="160"/>
      <c r="E57" s="160" t="s">
        <v>1383</v>
      </c>
      <c r="F57" s="160" t="s">
        <v>1383</v>
      </c>
      <c r="G57" s="160" t="s">
        <v>1383</v>
      </c>
      <c r="H57" s="160" t="s">
        <v>1383</v>
      </c>
      <c r="I57" s="160"/>
      <c r="J57" s="160" t="s">
        <v>1383</v>
      </c>
      <c r="K57" s="160" t="s">
        <v>1383</v>
      </c>
      <c r="L57" s="160"/>
      <c r="M57" s="160" t="s">
        <v>1383</v>
      </c>
      <c r="N57" s="160" t="s">
        <v>1383</v>
      </c>
      <c r="O57" s="160" t="s">
        <v>1383</v>
      </c>
      <c r="P57" s="160" t="s">
        <v>1383</v>
      </c>
    </row>
    <row r="58" spans="1:16" ht="15.75" thickBot="1">
      <c r="A58" s="163" t="s">
        <v>964</v>
      </c>
      <c r="B58" s="164" t="s">
        <v>1383</v>
      </c>
      <c r="C58" s="164"/>
      <c r="D58" s="164"/>
      <c r="E58" s="164" t="s">
        <v>1383</v>
      </c>
      <c r="F58" s="164" t="s">
        <v>1383</v>
      </c>
      <c r="G58" s="164" t="s">
        <v>1383</v>
      </c>
      <c r="H58" s="164" t="s">
        <v>1383</v>
      </c>
      <c r="I58" s="164"/>
      <c r="J58" s="164" t="s">
        <v>1383</v>
      </c>
      <c r="K58" s="164" t="s">
        <v>1383</v>
      </c>
      <c r="L58" s="164"/>
      <c r="M58" s="164" t="s">
        <v>1383</v>
      </c>
      <c r="N58" s="164" t="s">
        <v>1383</v>
      </c>
      <c r="O58" s="164" t="s">
        <v>1383</v>
      </c>
      <c r="P58" s="164" t="s">
        <v>1383</v>
      </c>
    </row>
    <row r="59" spans="1:16" ht="15.75" thickTop="1"/>
  </sheetData>
  <mergeCells count="10">
    <mergeCell ref="A15:B15"/>
    <mergeCell ref="A5:C5"/>
    <mergeCell ref="A6:B6"/>
    <mergeCell ref="A7:B7"/>
    <mergeCell ref="A8:B8"/>
    <mergeCell ref="A9:B9"/>
    <mergeCell ref="A10:B10"/>
    <mergeCell ref="A11:B11"/>
    <mergeCell ref="A13:C13"/>
    <mergeCell ref="A14:B14"/>
  </mergeCells>
  <hyperlinks>
    <hyperlink ref="B32" r:id="rId1" tooltip="Anderthalbhänder (Talent)" display="https://de.wiki-aventurica.de/wiki/Anderthalbh%C3%A4nder_(Talent)" xr:uid="{75102793-0B05-49A3-A20A-748129A897C9}"/>
    <hyperlink ref="C32" r:id="rId2" tooltip="Dolch" display="https://de.wiki-aventurica.de/wiki/Dolch" xr:uid="{6733405C-A811-4131-BA68-CE69E6D25B56}"/>
    <hyperlink ref="D32" r:id="rId3" tooltip="Fechtwaffen" display="https://de.wiki-aventurica.de/wiki/Fechtwaffen" xr:uid="{91E60E84-D97D-4B83-B66B-72FA4AC6279F}"/>
    <hyperlink ref="E32" r:id="rId4" tooltip="Hiebwaffen" display="https://de.wiki-aventurica.de/wiki/Hiebwaffen" xr:uid="{AC3E6D7E-2498-49C1-AB00-1EFAAA3EE44E}"/>
    <hyperlink ref="F32" r:id="rId5" tooltip="Infanteriewaffen" display="https://de.wiki-aventurica.de/wiki/Infanteriewaffen" xr:uid="{96C62709-4AF3-4417-BF00-7779B4A96CA7}"/>
    <hyperlink ref="G32" r:id="rId6" tooltip="Kettenstäbe" display="https://de.wiki-aventurica.de/wiki/Kettenst%C3%A4be" xr:uid="{B39CA092-E40E-4E47-B293-C578C71A94CB}"/>
    <hyperlink ref="H32" r:id="rId7" tooltip="Kettenwaffen" display="https://de.wiki-aventurica.de/wiki/Kettenwaffen" xr:uid="{C4F309D2-082E-4923-87C2-08E8FE698F8E}"/>
    <hyperlink ref="I32" r:id="rId8" tooltip="Peitsche" display="https://de.wiki-aventurica.de/wiki/Peitsche" xr:uid="{14CE2BF6-F841-46B5-8E1B-DB316227714A}"/>
    <hyperlink ref="J32" r:id="rId9" tooltip="Säbel" display="https://de.wiki-aventurica.de/wiki/S%C3%A4bel" xr:uid="{2999BCD5-0A07-4ADF-A907-90E539EC5782}"/>
    <hyperlink ref="K32" r:id="rId10" tooltip="Schwert" display="https://de.wiki-aventurica.de/wiki/Schwert" xr:uid="{55C039D3-344A-4CCD-81D0-66522C334F01}"/>
    <hyperlink ref="L32" r:id="rId11" tooltip="Speere" display="https://de.wiki-aventurica.de/wiki/Speere" xr:uid="{32B5A45D-055D-493E-AB3D-49CE53DFCBA3}"/>
    <hyperlink ref="M32" r:id="rId12" tooltip="Stäbe" display="https://de.wiki-aventurica.de/wiki/St%C3%A4be" xr:uid="{9BB5A73E-192E-47E1-8C6D-6BAC735E0EDA}"/>
    <hyperlink ref="N32" r:id="rId13" tooltip="Zweihandflegel" display="https://de.wiki-aventurica.de/wiki/Zweihandflegel" xr:uid="{2F1E61FF-3C65-4CBA-952D-B766905F118A}"/>
    <hyperlink ref="O32" r:id="rId14" tooltip="Zweihand-Hiebwaffen" display="https://de.wiki-aventurica.de/wiki/Zweihand-Hiebwaffen" xr:uid="{5B9AB63B-DFF5-4F9A-B163-B48F3DE972B1}"/>
    <hyperlink ref="P32" r:id="rId15" tooltip="Zweihandschwerter/-säbel" display="https://de.wiki-aventurica.de/wiki/Zweihandschwerter/-s%C3%A4bel" xr:uid="{02FE3A3E-0500-49D7-B9BD-43FBECD9F95F}"/>
    <hyperlink ref="A33" r:id="rId16" tooltip="Ausfall (Zweikampf)" display="https://de.wiki-aventurica.de/wiki/Ausfall_(Zweikampf)" xr:uid="{C0CA44E3-C3F7-4964-9D3E-31E42D414240}"/>
    <hyperlink ref="A34" r:id="rId17" tooltip="Befreiungsschlag" display="https://de.wiki-aventurica.de/wiki/Befreiungsschlag" xr:uid="{BEBC02E9-B291-40FA-B214-3E39090FAA1B}"/>
    <hyperlink ref="A35" r:id="rId18" tooltip="Betäubungsschlag" display="https://de.wiki-aventurica.de/wiki/Bet%C3%A4ubungsschlag" xr:uid="{F44E74F6-C818-4F7B-AC20-1D7E8E5FC21E}"/>
    <hyperlink ref="A36" r:id="rId19" tooltip="Binden" display="https://de.wiki-aventurica.de/wiki/Binden" xr:uid="{A35571A5-F1C6-459A-86F8-9CDBE88DE3E0}"/>
    <hyperlink ref="A37" r:id="rId20" tooltip="Defensiver Kampfstil" display="https://de.wiki-aventurica.de/wiki/Defensiver_Kampfstil" xr:uid="{1EC7FE26-DB91-4B7A-B0E8-71DFE78986D0}"/>
    <hyperlink ref="A38" r:id="rId21" tooltip="Doppelangriff" display="https://de.wiki-aventurica.de/wiki/Doppelangriff" xr:uid="{038544DD-7A28-4E40-A7A4-CB1C038BC25B}"/>
    <hyperlink ref="A39" r:id="rId22" tooltip="Entwaffnen" display="https://de.wiki-aventurica.de/wiki/Entwaffnen" xr:uid="{6C3D0BEB-C2A4-480B-82BA-73EB9E3308D4}"/>
    <hyperlink ref="A40" r:id="rId23" tooltip="Festnageln" display="https://de.wiki-aventurica.de/wiki/Festnageln" xr:uid="{74981B33-0381-47BD-A345-0CAD44422C7F}"/>
    <hyperlink ref="A41" r:id="rId24" tooltip="Finte" display="https://de.wiki-aventurica.de/wiki/Finte" xr:uid="{78B23F25-4735-4E99-9427-CC3A72E08A05}"/>
    <hyperlink ref="A42" r:id="rId25" tooltip="Formation" display="https://de.wiki-aventurica.de/wiki/Formation" xr:uid="{68E75C94-FB56-41E6-BCCE-C83D597E2C6A}"/>
    <hyperlink ref="A43" r:id="rId26" tooltip="Formation" display="https://de.wiki-aventurica.de/wiki/Formation" xr:uid="{BDE3471B-8458-44F0-A8D3-0F8DBB962010}"/>
    <hyperlink ref="A44" r:id="rId27" tooltip="Gegenhalten" display="https://de.wiki-aventurica.de/wiki/Gegenhalten" xr:uid="{2E1983F2-0746-4C92-B25C-516A1AF0FA81}"/>
    <hyperlink ref="A45" r:id="rId28" tooltip="Gezielter Stich" display="https://de.wiki-aventurica.de/wiki/Gezielter_Stich" xr:uid="{DF15BA01-53F8-4633-BF68-C03327B0D1BC}"/>
    <hyperlink ref="A46" r:id="rId29" tooltip="Halbschwert" display="https://de.wiki-aventurica.de/wiki/Halbschwert" xr:uid="{88EF5BB0-4D06-4180-9F40-1953E66BDD5F}"/>
    <hyperlink ref="A47" r:id="rId30" tooltip="Hammerschlag (Sonderfertigkeit)" display="https://de.wiki-aventurica.de/wiki/Hammerschlag_(Sonderfertigkeit)" xr:uid="{024E4589-0316-4414-B106-A124F5E0618C}"/>
    <hyperlink ref="A48" r:id="rId31" tooltip="Klingensturm" display="https://de.wiki-aventurica.de/wiki/Klingensturm" xr:uid="{FBA62F68-07EC-4A24-A15A-5EA414111962}"/>
    <hyperlink ref="A49" r:id="rId32" tooltip="Klingenwand" display="https://de.wiki-aventurica.de/wiki/Klingenwand" xr:uid="{70E3B427-2A49-44A5-96FF-593B0CFD44D3}"/>
    <hyperlink ref="A50" r:id="rId33" tooltip="Meisterparade" display="https://de.wiki-aventurica.de/wiki/Meisterparade" xr:uid="{DD416119-E770-437F-BDD3-909A4C6BD008}"/>
    <hyperlink ref="A51" r:id="rId34" tooltip="Niederwerfen" display="https://de.wiki-aventurica.de/wiki/Niederwerfen" xr:uid="{D52645EE-AC73-4E4D-A9F2-ECCD84B0FE2E}"/>
    <hyperlink ref="A52" r:id="rId35" tooltip="Schildspalter" display="https://de.wiki-aventurica.de/wiki/Schildspalter" xr:uid="{0C17E9F6-E082-45F4-84B8-E207C0E728E1}"/>
    <hyperlink ref="A53" r:id="rId36" tooltip="Stumpfer Schlag (Seite nicht vorhanden)" display="https://de.wiki-aventurica.de/de/index.php?title=Stumpfer_Schlag&amp;action=edit&amp;redlink=1" xr:uid="{CF3FA928-9752-49FF-AD70-0837BD28ED09}"/>
    <hyperlink ref="A54" r:id="rId37" tooltip="Sturmangriff (Sonderfertigkeit)" display="https://de.wiki-aventurica.de/wiki/Sturmangriff_(Sonderfertigkeit)" xr:uid="{B993C887-A0FE-426A-B296-DA943D273F4A}"/>
    <hyperlink ref="A55" r:id="rId38" tooltip="Todesstoß" display="https://de.wiki-aventurica.de/wiki/Todessto%C3%9F" xr:uid="{F9951479-A39B-46B0-A552-2636407682E1}"/>
    <hyperlink ref="A56" r:id="rId39" tooltip="Umreißen" display="https://de.wiki-aventurica.de/wiki/Umrei%C3%9Fen" xr:uid="{194D22DA-B85D-46DA-A904-E1F79555BED2}"/>
    <hyperlink ref="A57" r:id="rId40" tooltip="Windmühle (Sonderfertigkeit)" display="https://de.wiki-aventurica.de/wiki/Windm%C3%BChle_(Sonderfertigkeit)" xr:uid="{1171FA9B-975B-40A3-BD28-61F000923C90}"/>
    <hyperlink ref="A58" r:id="rId41" tooltip="Wuchtschlag" display="https://de.wiki-aventurica.de/wiki/Wuchtschlag" xr:uid="{0C54A37A-F548-4A4F-9C0D-95235F7FE709}"/>
  </hyperlinks>
  <pageMargins left="0.7" right="0.7" top="0.78740157499999996" bottom="0.78740157499999996" header="0.3" footer="0.3"/>
  <pageSetup paperSize="9" orientation="portrait" r:id="rId4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3C1E59-6ED3-4D97-881A-399CCE80E6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vt:i4>
      </vt:variant>
      <vt:variant>
        <vt:lpstr>Benannte Bereiche</vt:lpstr>
      </vt:variant>
      <vt:variant>
        <vt:i4>24</vt:i4>
      </vt:variant>
    </vt:vector>
  </HeadingPairs>
  <TitlesOfParts>
    <vt:vector size="38" baseType="lpstr">
      <vt:lpstr>Eigenschaften</vt:lpstr>
      <vt:lpstr>Talente</vt:lpstr>
      <vt:lpstr>Fertigkeiten &amp; Talente</vt:lpstr>
      <vt:lpstr>Magie</vt:lpstr>
      <vt:lpstr>Zauberliste</vt:lpstr>
      <vt:lpstr>Rituale</vt:lpstr>
      <vt:lpstr>Verbindungen</vt:lpstr>
      <vt:lpstr>Inventar</vt:lpstr>
      <vt:lpstr>Waffen</vt:lpstr>
      <vt:lpstr>Kampftechniken</vt:lpstr>
      <vt:lpstr>Nahkampf</vt:lpstr>
      <vt:lpstr>Fernkampf</vt:lpstr>
      <vt:lpstr>Notizen</vt:lpstr>
      <vt:lpstr>Rechner</vt:lpstr>
      <vt:lpstr>Anderthalbhänder</vt:lpstr>
      <vt:lpstr>Dolche</vt:lpstr>
      <vt:lpstr>Fechtwaffen</vt:lpstr>
      <vt:lpstr>Fernkampftalente</vt:lpstr>
      <vt:lpstr>Hände</vt:lpstr>
      <vt:lpstr>Hiebwaffen</vt:lpstr>
      <vt:lpstr>Infanteriewaffen</vt:lpstr>
      <vt:lpstr>Kettenstäbe</vt:lpstr>
      <vt:lpstr>Kettenwaffen</vt:lpstr>
      <vt:lpstr>Lanzenreiten</vt:lpstr>
      <vt:lpstr>Lernkomplexität</vt:lpstr>
      <vt:lpstr>ManoeverTabelle</vt:lpstr>
      <vt:lpstr>Nahkampftalente</vt:lpstr>
      <vt:lpstr>NahkampfWaffenTabelle</vt:lpstr>
      <vt:lpstr>Peitsche</vt:lpstr>
      <vt:lpstr>Raufen</vt:lpstr>
      <vt:lpstr>Ringen</vt:lpstr>
      <vt:lpstr>Säbel</vt:lpstr>
      <vt:lpstr>Schwerter</vt:lpstr>
      <vt:lpstr>Speere</vt:lpstr>
      <vt:lpstr>Stäbe</vt:lpstr>
      <vt:lpstr>Zweihand_Hiebwaffen</vt:lpstr>
      <vt:lpstr>Zweihandflegel</vt:lpstr>
      <vt:lpstr>Zweihandschwerter_Säbel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Maximilian Everts</dc:creator>
  <cp:keywords/>
  <dc:description/>
  <cp:lastModifiedBy>Dennis Adamski</cp:lastModifiedBy>
  <cp:revision/>
  <dcterms:created xsi:type="dcterms:W3CDTF">2023-12-23T22:13:44Z</dcterms:created>
  <dcterms:modified xsi:type="dcterms:W3CDTF">2026-02-09T20:46:36Z</dcterms:modified>
  <cp:category/>
  <cp:contentStatus/>
</cp:coreProperties>
</file>